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wnloads\Boycode\"/>
    </mc:Choice>
  </mc:AlternateContent>
  <xr:revisionPtr revIDLastSave="0" documentId="13_ncr:1_{CD2F0737-39B6-4767-946D-F8E1C22EDCFE}" xr6:coauthVersionLast="47" xr6:coauthVersionMax="47" xr10:uidLastSave="{00000000-0000-0000-0000-000000000000}"/>
  <bookViews>
    <workbookView xWindow="-60" yWindow="-60" windowWidth="20610" windowHeight="11040" tabRatio="805" firstSheet="4" activeTab="9" xr2:uid="{00000000-000D-0000-FFFF-FFFF00000000}"/>
  </bookViews>
  <sheets>
    <sheet name="Segment Revenue and Profit" sheetId="7" r:id="rId1"/>
    <sheet name="Dashboard" sheetId="14" r:id="rId2"/>
    <sheet name="Case Study" sheetId="27" r:id="rId3"/>
    <sheet name="Data Cleaning Log" sheetId="26" r:id="rId4"/>
    <sheet name="Customer Summary" sheetId="25" r:id="rId5"/>
    <sheet name="Customer By Value" sheetId="12" r:id="rId6"/>
    <sheet name="Repeat Rate and AOV" sheetId="11" r:id="rId7"/>
    <sheet name="BoyCodeAfrica Ecommerce_Dataset" sheetId="1" r:id="rId8"/>
    <sheet name="Cleaned Data Set" sheetId="23" r:id="rId9"/>
    <sheet name="Sheet1" sheetId="28" r:id="rId10"/>
  </sheets>
  <definedNames>
    <definedName name="Slicer_Customer_Segment">#N/A</definedName>
  </definedNames>
  <calcPr calcId="191029" concurrentCalc="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7" l="1"/>
  <c r="J4" i="25"/>
  <c r="B5" i="7"/>
  <c r="AF2" i="14"/>
  <c r="H4" i="25"/>
  <c r="H5" i="25"/>
  <c r="H6" i="25"/>
  <c r="H7" i="25"/>
  <c r="H8" i="25"/>
  <c r="H9" i="25"/>
  <c r="H10" i="25"/>
  <c r="H11" i="25"/>
  <c r="H12" i="25"/>
  <c r="H13" i="25"/>
  <c r="H14" i="25"/>
  <c r="H15" i="25"/>
  <c r="H16" i="25"/>
  <c r="H17" i="25"/>
  <c r="H18" i="25"/>
  <c r="H19" i="25"/>
  <c r="H20" i="25"/>
  <c r="H21" i="25"/>
  <c r="H22" i="25"/>
  <c r="H23" i="25"/>
  <c r="H24" i="25"/>
  <c r="H25" i="25"/>
  <c r="H26" i="25"/>
  <c r="H27" i="25"/>
  <c r="H28" i="25"/>
  <c r="H29" i="25"/>
  <c r="H30" i="25"/>
  <c r="H31" i="25"/>
  <c r="H32" i="25"/>
  <c r="H33" i="25"/>
  <c r="H34" i="25"/>
  <c r="H35" i="25"/>
  <c r="H36" i="25"/>
  <c r="H37" i="25"/>
  <c r="H38" i="25"/>
  <c r="H39" i="25"/>
  <c r="H40" i="25"/>
  <c r="H41" i="25"/>
  <c r="H42" i="25"/>
  <c r="H43" i="25"/>
  <c r="H44" i="25"/>
  <c r="H45" i="25"/>
  <c r="H46" i="25"/>
  <c r="H47" i="25"/>
  <c r="H48" i="25"/>
  <c r="H49" i="25"/>
  <c r="H50" i="25"/>
  <c r="H51" i="25"/>
  <c r="H52" i="25"/>
  <c r="H53" i="25"/>
  <c r="H54" i="25"/>
  <c r="H55" i="25"/>
  <c r="H56" i="25"/>
  <c r="H57" i="25"/>
  <c r="H58" i="25"/>
  <c r="H59" i="25"/>
  <c r="H60" i="25"/>
  <c r="H61" i="25"/>
  <c r="H62" i="25"/>
  <c r="H63" i="25"/>
  <c r="H64" i="25"/>
  <c r="H65" i="25"/>
  <c r="H66" i="25"/>
  <c r="H67" i="25"/>
  <c r="H68" i="25"/>
  <c r="H69" i="25"/>
  <c r="H70" i="25"/>
  <c r="H71" i="25"/>
  <c r="H72" i="25"/>
  <c r="H73" i="25"/>
  <c r="H74" i="25"/>
  <c r="H75" i="25"/>
  <c r="H76" i="25"/>
  <c r="H77" i="25"/>
  <c r="H78" i="25"/>
  <c r="H79" i="25"/>
  <c r="H80" i="25"/>
  <c r="H81" i="25"/>
  <c r="H82" i="25"/>
  <c r="H83" i="25"/>
  <c r="H84" i="25"/>
  <c r="H85" i="25"/>
  <c r="H86" i="25"/>
  <c r="H87" i="25"/>
  <c r="H88" i="25"/>
  <c r="H89" i="25"/>
  <c r="H90" i="25"/>
  <c r="H91" i="25"/>
  <c r="H92" i="25"/>
  <c r="H93" i="25"/>
  <c r="H94" i="25"/>
  <c r="H95" i="25"/>
  <c r="H96" i="25"/>
  <c r="H97" i="25"/>
  <c r="H98" i="25"/>
  <c r="H99" i="25"/>
  <c r="H100" i="25"/>
  <c r="H101" i="25"/>
  <c r="H102" i="25"/>
  <c r="H103" i="25"/>
  <c r="H104" i="25"/>
  <c r="H105" i="25"/>
  <c r="H106" i="25"/>
  <c r="H107" i="25"/>
  <c r="H108" i="25"/>
  <c r="H109" i="25"/>
  <c r="H110" i="25"/>
  <c r="H111" i="25"/>
  <c r="H112" i="25"/>
  <c r="H113" i="25"/>
  <c r="H114" i="25"/>
  <c r="H115" i="25"/>
  <c r="H116" i="25"/>
  <c r="H117" i="25"/>
  <c r="H118" i="25"/>
  <c r="H119" i="25"/>
  <c r="H120" i="25"/>
  <c r="H121" i="25"/>
  <c r="H122" i="25"/>
  <c r="H123" i="25"/>
  <c r="H124" i="25"/>
  <c r="H125" i="25"/>
  <c r="H126" i="25"/>
  <c r="H127" i="25"/>
  <c r="H128" i="25"/>
  <c r="H129" i="25"/>
  <c r="H130" i="25"/>
  <c r="H131" i="25"/>
  <c r="H132" i="25"/>
  <c r="H133" i="25"/>
  <c r="H134" i="25"/>
  <c r="H135" i="25"/>
  <c r="H136" i="25"/>
  <c r="H137" i="25"/>
  <c r="H138" i="25"/>
  <c r="H139" i="25"/>
  <c r="H140" i="25"/>
  <c r="H141" i="25"/>
  <c r="H142" i="25"/>
  <c r="H143" i="25"/>
  <c r="H144" i="25"/>
  <c r="H145" i="25"/>
  <c r="H146" i="25"/>
  <c r="H147" i="25"/>
  <c r="H148" i="25"/>
  <c r="H149" i="25"/>
  <c r="H150" i="25"/>
  <c r="H151" i="25"/>
  <c r="H152" i="25"/>
  <c r="H153" i="25"/>
  <c r="H154" i="25"/>
  <c r="H155" i="25"/>
  <c r="H156" i="25"/>
  <c r="H157" i="25"/>
  <c r="H158" i="25"/>
  <c r="H159" i="25"/>
  <c r="H160" i="25"/>
  <c r="H161" i="25"/>
  <c r="H162" i="25"/>
  <c r="H163" i="25"/>
  <c r="H164" i="25"/>
  <c r="H165" i="25"/>
  <c r="H166" i="25"/>
  <c r="H167" i="25"/>
  <c r="H168" i="25"/>
  <c r="H169" i="25"/>
  <c r="H170" i="25"/>
  <c r="H171" i="25"/>
  <c r="H172" i="25"/>
  <c r="H173" i="25"/>
  <c r="H174" i="25"/>
  <c r="H175" i="25"/>
  <c r="H176" i="25"/>
  <c r="H177" i="25"/>
  <c r="H178" i="25"/>
  <c r="H179" i="25"/>
  <c r="H180" i="25"/>
  <c r="H181" i="25"/>
  <c r="H182" i="25"/>
  <c r="H183" i="25"/>
  <c r="H184" i="25"/>
  <c r="H185" i="25"/>
  <c r="H186" i="25"/>
  <c r="H187" i="25"/>
  <c r="H188" i="25"/>
  <c r="H189" i="25"/>
  <c r="H190" i="25"/>
  <c r="H191" i="25"/>
  <c r="H192" i="25"/>
  <c r="H193" i="25"/>
  <c r="H194" i="25"/>
  <c r="H195" i="25"/>
  <c r="H196" i="25"/>
  <c r="H197" i="25"/>
  <c r="H198" i="25"/>
  <c r="H199" i="25"/>
  <c r="H200" i="25"/>
  <c r="H201" i="25"/>
  <c r="H202" i="25"/>
  <c r="H203" i="25"/>
  <c r="H204" i="25"/>
  <c r="H205" i="25"/>
  <c r="H206" i="25"/>
  <c r="H207" i="25"/>
  <c r="H208" i="25"/>
  <c r="H209" i="25"/>
  <c r="H210" i="25"/>
  <c r="H211" i="25"/>
  <c r="H212" i="25"/>
  <c r="H213" i="25"/>
  <c r="H214" i="25"/>
  <c r="H215" i="25"/>
  <c r="H216" i="25"/>
  <c r="H217" i="25"/>
  <c r="H218" i="25"/>
  <c r="H219" i="25"/>
  <c r="H220" i="25"/>
  <c r="H221" i="25"/>
  <c r="H222" i="25"/>
  <c r="H223" i="25"/>
  <c r="H224" i="25"/>
  <c r="H225" i="25"/>
  <c r="H226" i="25"/>
  <c r="H227" i="25"/>
  <c r="H228" i="25"/>
  <c r="H229" i="25"/>
  <c r="H230" i="25"/>
  <c r="H231" i="25"/>
  <c r="H232" i="25"/>
  <c r="H233" i="25"/>
  <c r="H234" i="25"/>
  <c r="H235" i="25"/>
  <c r="H236" i="25"/>
  <c r="H237" i="25"/>
  <c r="H238" i="25"/>
  <c r="H239" i="25"/>
  <c r="H240" i="25"/>
  <c r="H241" i="25"/>
  <c r="H242" i="25"/>
  <c r="H243" i="25"/>
  <c r="H244" i="25"/>
  <c r="H245" i="25"/>
  <c r="H246" i="25"/>
  <c r="H247" i="25"/>
  <c r="H248" i="25"/>
  <c r="H249" i="25"/>
  <c r="H250" i="25"/>
  <c r="H251" i="25"/>
  <c r="H252" i="25"/>
  <c r="H253" i="25"/>
  <c r="H254" i="25"/>
  <c r="H255" i="25"/>
  <c r="H256" i="25"/>
  <c r="H257" i="25"/>
  <c r="H258" i="25"/>
  <c r="H259" i="25"/>
  <c r="H260" i="25"/>
  <c r="H261" i="25"/>
  <c r="H262" i="25"/>
  <c r="H263" i="25"/>
  <c r="H264" i="25"/>
  <c r="H265" i="25"/>
  <c r="H266" i="25"/>
  <c r="H267" i="25"/>
  <c r="H268" i="25"/>
  <c r="H269" i="25"/>
  <c r="H270" i="25"/>
  <c r="H271" i="25"/>
  <c r="H272" i="25"/>
  <c r="H273" i="25"/>
  <c r="H274" i="25"/>
  <c r="H275" i="25"/>
  <c r="H276" i="25"/>
  <c r="H277" i="25"/>
  <c r="H278" i="25"/>
  <c r="H279" i="25"/>
  <c r="H280" i="25"/>
  <c r="H281" i="25"/>
  <c r="H282" i="25"/>
  <c r="H283" i="25"/>
  <c r="H284" i="25"/>
  <c r="H285" i="25"/>
  <c r="H286" i="25"/>
  <c r="H287" i="25"/>
  <c r="H288" i="25"/>
  <c r="H289" i="25"/>
  <c r="H290" i="25"/>
  <c r="H291" i="25"/>
  <c r="H292" i="25"/>
  <c r="H293" i="25"/>
  <c r="H294" i="25"/>
  <c r="H295" i="25"/>
  <c r="H296" i="25"/>
  <c r="H297" i="25"/>
  <c r="H298" i="25"/>
  <c r="H299" i="25"/>
  <c r="H300" i="25"/>
  <c r="H301" i="25"/>
  <c r="H302" i="25"/>
  <c r="H303" i="25"/>
  <c r="H304" i="25"/>
  <c r="H305" i="25"/>
  <c r="H306" i="25"/>
  <c r="H307" i="25"/>
  <c r="H308" i="25"/>
  <c r="H309" i="25"/>
  <c r="H310" i="25"/>
  <c r="H311" i="25"/>
  <c r="H312" i="25"/>
  <c r="H313" i="25"/>
  <c r="H314" i="25"/>
  <c r="H315" i="25"/>
  <c r="H316" i="25"/>
  <c r="H317" i="25"/>
  <c r="H318" i="25"/>
  <c r="H319" i="25"/>
  <c r="H320" i="25"/>
  <c r="H321" i="25"/>
  <c r="H322" i="25"/>
  <c r="H323" i="25"/>
  <c r="H324" i="25"/>
  <c r="H325" i="25"/>
  <c r="H326" i="25"/>
  <c r="H327" i="25"/>
  <c r="H328" i="25"/>
  <c r="H329" i="25"/>
  <c r="H330" i="25"/>
  <c r="H331" i="25"/>
  <c r="H332" i="25"/>
  <c r="H333" i="25"/>
  <c r="H334" i="25"/>
  <c r="H335" i="25"/>
  <c r="H336" i="25"/>
  <c r="H337" i="25"/>
  <c r="H338" i="25"/>
  <c r="H339" i="25"/>
  <c r="H340" i="25"/>
  <c r="H341" i="25"/>
  <c r="H342" i="25"/>
  <c r="H343" i="25"/>
  <c r="H344" i="25"/>
  <c r="H345" i="25"/>
  <c r="H346" i="25"/>
  <c r="H347" i="25"/>
  <c r="H348" i="25"/>
  <c r="H349" i="25"/>
  <c r="H350" i="25"/>
  <c r="H351" i="25"/>
  <c r="H352" i="25"/>
  <c r="H353" i="25"/>
  <c r="H354" i="25"/>
  <c r="H355" i="25"/>
  <c r="H356" i="25"/>
  <c r="H357" i="25"/>
  <c r="H358" i="25"/>
  <c r="H359" i="25"/>
  <c r="H360" i="25"/>
  <c r="H361" i="25"/>
  <c r="H362" i="25"/>
  <c r="H363" i="25"/>
  <c r="H364" i="25"/>
  <c r="H365" i="25"/>
  <c r="H366" i="25"/>
  <c r="H367" i="25"/>
  <c r="H368" i="25"/>
  <c r="H369" i="25"/>
  <c r="H370" i="25"/>
  <c r="H371" i="25"/>
  <c r="H372" i="25"/>
  <c r="H373" i="25"/>
  <c r="H374" i="25"/>
  <c r="H375" i="25"/>
  <c r="H376" i="25"/>
  <c r="H377" i="25"/>
  <c r="H378" i="25"/>
  <c r="H379" i="25"/>
  <c r="H380" i="25"/>
  <c r="H381" i="25"/>
  <c r="H382" i="25"/>
  <c r="H383" i="25"/>
  <c r="H384" i="25"/>
  <c r="H385" i="25"/>
  <c r="H386" i="25"/>
  <c r="H387" i="25"/>
  <c r="H388" i="25"/>
  <c r="H389" i="25"/>
  <c r="H390" i="25"/>
  <c r="H391" i="25"/>
  <c r="H392" i="25"/>
  <c r="H393" i="25"/>
  <c r="H394" i="25"/>
  <c r="H395" i="25"/>
  <c r="H396" i="25"/>
  <c r="H397" i="25"/>
  <c r="H398" i="25"/>
  <c r="H399" i="25"/>
  <c r="H400" i="25"/>
  <c r="H401" i="25"/>
  <c r="H402" i="25"/>
  <c r="H403" i="25"/>
  <c r="H404" i="25"/>
  <c r="H405" i="25"/>
  <c r="H406" i="25"/>
  <c r="H407" i="25"/>
  <c r="H408" i="25"/>
  <c r="H409" i="25"/>
  <c r="H410" i="25"/>
  <c r="H411" i="25"/>
  <c r="H412" i="25"/>
  <c r="H413" i="25"/>
  <c r="H414" i="25"/>
  <c r="H415" i="25"/>
  <c r="H416" i="25"/>
  <c r="H417" i="25"/>
  <c r="H418" i="25"/>
  <c r="H419" i="25"/>
  <c r="H420" i="25"/>
  <c r="H421" i="25"/>
  <c r="H422" i="25"/>
  <c r="H423" i="25"/>
  <c r="H424" i="25"/>
  <c r="H425" i="25"/>
  <c r="H426" i="25"/>
  <c r="H427" i="25"/>
  <c r="H428" i="25"/>
  <c r="H429" i="25"/>
  <c r="H430" i="25"/>
  <c r="H431" i="25"/>
  <c r="H432" i="25"/>
  <c r="H433" i="25"/>
  <c r="H434" i="25"/>
  <c r="H435" i="25"/>
  <c r="H436" i="25"/>
  <c r="H437" i="25"/>
  <c r="H438" i="25"/>
  <c r="H439" i="25"/>
  <c r="H440" i="25"/>
  <c r="H441" i="25"/>
  <c r="H442" i="25"/>
  <c r="H443" i="25"/>
  <c r="H444" i="25"/>
  <c r="H445" i="25"/>
  <c r="H446" i="25"/>
  <c r="H447" i="25"/>
  <c r="H448" i="25"/>
  <c r="H449" i="25"/>
  <c r="H450" i="25"/>
  <c r="H451" i="25"/>
  <c r="H452" i="25"/>
  <c r="H453" i="25"/>
  <c r="H454" i="25"/>
  <c r="H455" i="25"/>
  <c r="H456" i="25"/>
  <c r="H457" i="25"/>
  <c r="H458" i="25"/>
  <c r="H459" i="25"/>
  <c r="H460" i="25"/>
  <c r="H461" i="25"/>
  <c r="H462" i="25"/>
  <c r="H463" i="25"/>
  <c r="H464" i="25"/>
  <c r="H465" i="25"/>
  <c r="H466" i="25"/>
  <c r="H467" i="25"/>
  <c r="H468" i="25"/>
  <c r="H469" i="25"/>
  <c r="H470" i="25"/>
  <c r="H471" i="25"/>
  <c r="H472" i="25"/>
  <c r="H473" i="25"/>
  <c r="H474" i="25"/>
  <c r="H475" i="25"/>
  <c r="H476" i="25"/>
  <c r="H477" i="25"/>
  <c r="H478" i="25"/>
  <c r="H479" i="25"/>
  <c r="H480" i="25"/>
  <c r="H481" i="25"/>
  <c r="H482" i="25"/>
  <c r="H483" i="25"/>
  <c r="H484" i="25"/>
  <c r="H485" i="25"/>
  <c r="H486" i="25"/>
  <c r="H487" i="25"/>
  <c r="H488" i="25"/>
  <c r="H489" i="25"/>
  <c r="H490" i="25"/>
  <c r="H491" i="25"/>
  <c r="H492" i="25"/>
  <c r="H493" i="25"/>
  <c r="H494" i="25"/>
  <c r="H495" i="25"/>
  <c r="H496" i="25"/>
  <c r="H497" i="25"/>
  <c r="H498" i="25"/>
  <c r="H499" i="25"/>
  <c r="H500" i="25"/>
  <c r="H501" i="25"/>
  <c r="H502" i="25"/>
  <c r="H503" i="25"/>
  <c r="H504" i="25"/>
  <c r="H505" i="25"/>
  <c r="H506" i="25"/>
  <c r="H507" i="25"/>
  <c r="H508" i="25"/>
  <c r="H509" i="25"/>
  <c r="H510" i="25"/>
  <c r="H511" i="25"/>
  <c r="H512" i="25"/>
  <c r="H513" i="25"/>
  <c r="H514" i="25"/>
  <c r="H515" i="25"/>
  <c r="H516" i="25"/>
  <c r="H517" i="25"/>
  <c r="H518" i="25"/>
  <c r="H519" i="25"/>
  <c r="H520" i="25"/>
  <c r="H521" i="25"/>
  <c r="H522" i="25"/>
  <c r="H523" i="25"/>
  <c r="H524" i="25"/>
  <c r="H525" i="25"/>
  <c r="H526" i="25"/>
  <c r="H527" i="25"/>
  <c r="H528" i="25"/>
  <c r="H529" i="25"/>
  <c r="H530" i="25"/>
  <c r="H531" i="25"/>
  <c r="H532" i="25"/>
  <c r="H533" i="25"/>
  <c r="H534" i="25"/>
  <c r="H535" i="25"/>
  <c r="H536" i="25"/>
  <c r="H537" i="25"/>
  <c r="H538" i="25"/>
  <c r="H539" i="25"/>
  <c r="H540" i="25"/>
  <c r="H541" i="25"/>
  <c r="H542" i="25"/>
  <c r="H543" i="25"/>
  <c r="H544" i="25"/>
  <c r="H545" i="25"/>
  <c r="H546" i="25"/>
  <c r="H547" i="25"/>
  <c r="H548" i="25"/>
  <c r="H549" i="25"/>
  <c r="H550" i="25"/>
  <c r="H551" i="25"/>
  <c r="H552" i="25"/>
  <c r="H553" i="25"/>
  <c r="H554" i="25"/>
  <c r="H555" i="25"/>
  <c r="H556" i="25"/>
  <c r="H557" i="25"/>
  <c r="H558" i="25"/>
  <c r="H559" i="25"/>
  <c r="H560" i="25"/>
  <c r="H561" i="25"/>
  <c r="H562" i="25"/>
  <c r="H563" i="25"/>
  <c r="H564" i="25"/>
  <c r="H565" i="25"/>
  <c r="H566" i="25"/>
  <c r="H567" i="25"/>
  <c r="H568" i="25"/>
  <c r="H569" i="25"/>
  <c r="H570" i="25"/>
  <c r="H571" i="25"/>
  <c r="H572" i="25"/>
  <c r="G4" i="25"/>
  <c r="G5" i="25"/>
  <c r="G6" i="25"/>
  <c r="G7" i="25"/>
  <c r="G8"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3" i="25"/>
  <c r="G154" i="25"/>
  <c r="G155" i="25"/>
  <c r="G156" i="25"/>
  <c r="G157" i="25"/>
  <c r="G158" i="25"/>
  <c r="G159" i="25"/>
  <c r="G160" i="25"/>
  <c r="G161" i="25"/>
  <c r="G162" i="25"/>
  <c r="G163" i="25"/>
  <c r="G164" i="25"/>
  <c r="G165" i="25"/>
  <c r="G166" i="25"/>
  <c r="G167" i="25"/>
  <c r="G168" i="25"/>
  <c r="G169" i="25"/>
  <c r="G170" i="25"/>
  <c r="G171" i="25"/>
  <c r="G172" i="25"/>
  <c r="G173" i="25"/>
  <c r="G174" i="25"/>
  <c r="G175" i="25"/>
  <c r="G176" i="25"/>
  <c r="G177" i="25"/>
  <c r="G178" i="25"/>
  <c r="G179" i="25"/>
  <c r="G180" i="25"/>
  <c r="G181" i="25"/>
  <c r="G182" i="25"/>
  <c r="G183" i="25"/>
  <c r="G184" i="25"/>
  <c r="G185" i="25"/>
  <c r="G186" i="25"/>
  <c r="G187" i="25"/>
  <c r="G188" i="25"/>
  <c r="G189" i="25"/>
  <c r="G190" i="25"/>
  <c r="G191" i="25"/>
  <c r="G192" i="25"/>
  <c r="G193" i="25"/>
  <c r="G194" i="25"/>
  <c r="G195" i="25"/>
  <c r="G196" i="25"/>
  <c r="G197" i="25"/>
  <c r="G198" i="25"/>
  <c r="G199" i="25"/>
  <c r="G200" i="25"/>
  <c r="G201" i="25"/>
  <c r="G202" i="25"/>
  <c r="G203" i="25"/>
  <c r="G204" i="25"/>
  <c r="G205" i="25"/>
  <c r="G206" i="25"/>
  <c r="G207" i="25"/>
  <c r="G208" i="25"/>
  <c r="G209" i="25"/>
  <c r="G210" i="25"/>
  <c r="G211" i="25"/>
  <c r="G212" i="25"/>
  <c r="G213" i="25"/>
  <c r="G214" i="25"/>
  <c r="G215" i="25"/>
  <c r="G216" i="25"/>
  <c r="G217" i="25"/>
  <c r="G218" i="25"/>
  <c r="G219" i="25"/>
  <c r="G220" i="25"/>
  <c r="G221" i="25"/>
  <c r="G222" i="25"/>
  <c r="G223" i="25"/>
  <c r="G224" i="25"/>
  <c r="G225" i="25"/>
  <c r="G226" i="25"/>
  <c r="G227" i="25"/>
  <c r="G228" i="25"/>
  <c r="G229" i="25"/>
  <c r="G230" i="25"/>
  <c r="G231" i="25"/>
  <c r="G232" i="25"/>
  <c r="G233" i="25"/>
  <c r="G234" i="25"/>
  <c r="G235" i="25"/>
  <c r="G236" i="25"/>
  <c r="G237" i="25"/>
  <c r="G238" i="25"/>
  <c r="G239" i="25"/>
  <c r="G240" i="25"/>
  <c r="G241" i="25"/>
  <c r="G242" i="25"/>
  <c r="G243" i="25"/>
  <c r="G244" i="25"/>
  <c r="G245" i="25"/>
  <c r="G246" i="25"/>
  <c r="G247" i="25"/>
  <c r="G248" i="25"/>
  <c r="G249" i="25"/>
  <c r="G250" i="25"/>
  <c r="G251" i="25"/>
  <c r="G252" i="25"/>
  <c r="G253" i="25"/>
  <c r="G254" i="25"/>
  <c r="G255" i="25"/>
  <c r="G256" i="25"/>
  <c r="G257" i="25"/>
  <c r="G258" i="25"/>
  <c r="G259" i="25"/>
  <c r="G260" i="25"/>
  <c r="G261" i="25"/>
  <c r="G262" i="25"/>
  <c r="G263" i="25"/>
  <c r="G264" i="25"/>
  <c r="G265" i="25"/>
  <c r="G266" i="25"/>
  <c r="G267" i="25"/>
  <c r="G268" i="25"/>
  <c r="G269" i="25"/>
  <c r="G270" i="25"/>
  <c r="G271" i="25"/>
  <c r="G272" i="25"/>
  <c r="G273" i="25"/>
  <c r="G274" i="25"/>
  <c r="G275" i="25"/>
  <c r="G276" i="25"/>
  <c r="G277" i="25"/>
  <c r="G278" i="25"/>
  <c r="G279" i="25"/>
  <c r="G280" i="25"/>
  <c r="G281" i="25"/>
  <c r="G282" i="25"/>
  <c r="G283" i="25"/>
  <c r="G284" i="25"/>
  <c r="G285" i="25"/>
  <c r="G286" i="25"/>
  <c r="G287" i="25"/>
  <c r="G288" i="25"/>
  <c r="G289" i="25"/>
  <c r="G290" i="25"/>
  <c r="G291" i="25"/>
  <c r="G292" i="25"/>
  <c r="G293" i="25"/>
  <c r="G294" i="25"/>
  <c r="G295" i="25"/>
  <c r="G296" i="25"/>
  <c r="G297" i="25"/>
  <c r="G298" i="25"/>
  <c r="G299" i="25"/>
  <c r="G300" i="25"/>
  <c r="G301" i="25"/>
  <c r="G302" i="25"/>
  <c r="G303" i="25"/>
  <c r="G304" i="25"/>
  <c r="G305" i="25"/>
  <c r="G306" i="25"/>
  <c r="G307" i="25"/>
  <c r="G308" i="25"/>
  <c r="G309" i="25"/>
  <c r="G310" i="25"/>
  <c r="G311" i="25"/>
  <c r="G312" i="25"/>
  <c r="G313" i="25"/>
  <c r="G314" i="25"/>
  <c r="G315" i="25"/>
  <c r="G316" i="25"/>
  <c r="G317" i="25"/>
  <c r="G318" i="25"/>
  <c r="G319" i="25"/>
  <c r="G320" i="25"/>
  <c r="G321" i="25"/>
  <c r="G322" i="25"/>
  <c r="G323" i="25"/>
  <c r="G324" i="25"/>
  <c r="G325" i="25"/>
  <c r="G326" i="25"/>
  <c r="G327" i="25"/>
  <c r="G328" i="25"/>
  <c r="G329" i="25"/>
  <c r="G330" i="25"/>
  <c r="G331" i="25"/>
  <c r="G332" i="25"/>
  <c r="G333" i="25"/>
  <c r="G334" i="25"/>
  <c r="G335" i="25"/>
  <c r="G336" i="25"/>
  <c r="G337" i="25"/>
  <c r="G338" i="25"/>
  <c r="G339" i="25"/>
  <c r="G340" i="25"/>
  <c r="G341" i="25"/>
  <c r="G342" i="25"/>
  <c r="G343" i="25"/>
  <c r="G344" i="25"/>
  <c r="G345" i="25"/>
  <c r="G346" i="25"/>
  <c r="G347" i="25"/>
  <c r="G348" i="25"/>
  <c r="G349" i="25"/>
  <c r="G350" i="25"/>
  <c r="G351" i="25"/>
  <c r="G352" i="25"/>
  <c r="G353" i="25"/>
  <c r="G354" i="25"/>
  <c r="G355" i="25"/>
  <c r="G356" i="25"/>
  <c r="G357" i="25"/>
  <c r="G358" i="25"/>
  <c r="G359" i="25"/>
  <c r="G360" i="25"/>
  <c r="G361" i="25"/>
  <c r="G362" i="25"/>
  <c r="G363" i="25"/>
  <c r="G364" i="25"/>
  <c r="G365" i="25"/>
  <c r="G366" i="25"/>
  <c r="G367" i="25"/>
  <c r="G368" i="25"/>
  <c r="G369" i="25"/>
  <c r="G370" i="25"/>
  <c r="G371" i="25"/>
  <c r="G372" i="25"/>
  <c r="G373" i="25"/>
  <c r="G374" i="25"/>
  <c r="G375" i="25"/>
  <c r="G376" i="25"/>
  <c r="G377" i="25"/>
  <c r="G378" i="25"/>
  <c r="G379" i="25"/>
  <c r="G380" i="25"/>
  <c r="G381" i="25"/>
  <c r="G382" i="25"/>
  <c r="G383" i="25"/>
  <c r="G384" i="25"/>
  <c r="G385" i="25"/>
  <c r="G386" i="25"/>
  <c r="G387" i="25"/>
  <c r="G388" i="25"/>
  <c r="G389" i="25"/>
  <c r="G390" i="25"/>
  <c r="G391" i="25"/>
  <c r="G392" i="25"/>
  <c r="G393" i="25"/>
  <c r="G394" i="25"/>
  <c r="G395" i="25"/>
  <c r="G396" i="25"/>
  <c r="G397" i="25"/>
  <c r="G398" i="25"/>
  <c r="G399" i="25"/>
  <c r="G400" i="25"/>
  <c r="G401" i="25"/>
  <c r="G402" i="25"/>
  <c r="G403" i="25"/>
  <c r="G404" i="25"/>
  <c r="G405" i="25"/>
  <c r="G406" i="25"/>
  <c r="G407" i="25"/>
  <c r="G408" i="25"/>
  <c r="G409" i="25"/>
  <c r="G410" i="25"/>
  <c r="G411" i="25"/>
  <c r="G412" i="25"/>
  <c r="G413" i="25"/>
  <c r="G414" i="25"/>
  <c r="G415" i="25"/>
  <c r="G416" i="25"/>
  <c r="G417" i="25"/>
  <c r="G418" i="25"/>
  <c r="G419" i="25"/>
  <c r="G420" i="25"/>
  <c r="G421" i="25"/>
  <c r="G422" i="25"/>
  <c r="G423" i="25"/>
  <c r="G424" i="25"/>
  <c r="G425" i="25"/>
  <c r="G426" i="25"/>
  <c r="G427" i="25"/>
  <c r="G428" i="25"/>
  <c r="G429" i="25"/>
  <c r="G430" i="25"/>
  <c r="G431" i="25"/>
  <c r="G432" i="25"/>
  <c r="G433" i="25"/>
  <c r="G434" i="25"/>
  <c r="G435" i="25"/>
  <c r="G436" i="25"/>
  <c r="G437" i="25"/>
  <c r="G438" i="25"/>
  <c r="G439" i="25"/>
  <c r="G440" i="25"/>
  <c r="G441" i="25"/>
  <c r="G442" i="25"/>
  <c r="G443" i="25"/>
  <c r="G444" i="25"/>
  <c r="G445" i="25"/>
  <c r="G446" i="25"/>
  <c r="G447" i="25"/>
  <c r="G448" i="25"/>
  <c r="G449" i="25"/>
  <c r="G450" i="25"/>
  <c r="G451" i="25"/>
  <c r="G452" i="25"/>
  <c r="G453" i="25"/>
  <c r="G454" i="25"/>
  <c r="G455" i="25"/>
  <c r="G456" i="25"/>
  <c r="G457" i="25"/>
  <c r="G458" i="25"/>
  <c r="G459" i="25"/>
  <c r="G460" i="25"/>
  <c r="G461" i="25"/>
  <c r="G462" i="25"/>
  <c r="G463" i="25"/>
  <c r="G464" i="25"/>
  <c r="G465" i="25"/>
  <c r="G466" i="25"/>
  <c r="G467" i="25"/>
  <c r="G468" i="25"/>
  <c r="G469" i="25"/>
  <c r="G470" i="25"/>
  <c r="G471" i="25"/>
  <c r="G472" i="25"/>
  <c r="G473" i="25"/>
  <c r="G474" i="25"/>
  <c r="G475" i="25"/>
  <c r="G476" i="25"/>
  <c r="G477" i="25"/>
  <c r="G478" i="25"/>
  <c r="G479" i="25"/>
  <c r="G480" i="25"/>
  <c r="G481" i="25"/>
  <c r="G482" i="25"/>
  <c r="G483" i="25"/>
  <c r="G484" i="25"/>
  <c r="G485" i="25"/>
  <c r="G486" i="25"/>
  <c r="G487" i="25"/>
  <c r="G488" i="25"/>
  <c r="G489" i="25"/>
  <c r="G490" i="25"/>
  <c r="G491" i="25"/>
  <c r="G492" i="25"/>
  <c r="G493" i="25"/>
  <c r="G494" i="25"/>
  <c r="G495" i="25"/>
  <c r="G496" i="25"/>
  <c r="G497" i="25"/>
  <c r="G498" i="25"/>
  <c r="G499" i="25"/>
  <c r="G500" i="25"/>
  <c r="G501" i="25"/>
  <c r="G502" i="25"/>
  <c r="G503" i="25"/>
  <c r="G504" i="25"/>
  <c r="G505" i="25"/>
  <c r="G506" i="25"/>
  <c r="G507" i="25"/>
  <c r="G508" i="25"/>
  <c r="G509" i="25"/>
  <c r="G510" i="25"/>
  <c r="G511" i="25"/>
  <c r="G512" i="25"/>
  <c r="G513" i="25"/>
  <c r="G514" i="25"/>
  <c r="G515" i="25"/>
  <c r="G516" i="25"/>
  <c r="G517" i="25"/>
  <c r="G518" i="25"/>
  <c r="G519" i="25"/>
  <c r="G520" i="25"/>
  <c r="G521" i="25"/>
  <c r="G522" i="25"/>
  <c r="G523" i="25"/>
  <c r="G524" i="25"/>
  <c r="G525" i="25"/>
  <c r="G526" i="25"/>
  <c r="G527" i="25"/>
  <c r="G528" i="25"/>
  <c r="G529" i="25"/>
  <c r="G530" i="25"/>
  <c r="G531" i="25"/>
  <c r="G532" i="25"/>
  <c r="G533" i="25"/>
  <c r="G534" i="25"/>
  <c r="G535" i="25"/>
  <c r="G536" i="25"/>
  <c r="G537" i="25"/>
  <c r="G538" i="25"/>
  <c r="G539" i="25"/>
  <c r="G540" i="25"/>
  <c r="G541" i="25"/>
  <c r="G542" i="25"/>
  <c r="G543" i="25"/>
  <c r="G544" i="25"/>
  <c r="G545" i="25"/>
  <c r="G546" i="25"/>
  <c r="G547" i="25"/>
  <c r="G548" i="25"/>
  <c r="G549" i="25"/>
  <c r="G550" i="25"/>
  <c r="G551" i="25"/>
  <c r="G552" i="25"/>
  <c r="G553" i="25"/>
  <c r="G554" i="25"/>
  <c r="G555" i="25"/>
  <c r="G556" i="25"/>
  <c r="G557" i="25"/>
  <c r="G558" i="25"/>
  <c r="G559" i="25"/>
  <c r="G560" i="25"/>
  <c r="G561" i="25"/>
  <c r="G562" i="25"/>
  <c r="G563" i="25"/>
  <c r="G564" i="25"/>
  <c r="G565" i="25"/>
  <c r="G566" i="25"/>
  <c r="G567" i="25"/>
  <c r="G568" i="25"/>
  <c r="G569" i="25"/>
  <c r="G570" i="25"/>
  <c r="G571" i="25"/>
  <c r="G572" i="25"/>
  <c r="N1814" i="1"/>
  <c r="L1814" i="1"/>
  <c r="W1814" i="1"/>
  <c r="R7" i="11"/>
  <c r="Q7" i="11"/>
  <c r="C5" i="7"/>
  <c r="AF3" i="14"/>
  <c r="P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DataSet" description="Connection to the 'DataSet' query in the workbook." type="5" refreshedVersion="7"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<sst xmlns="http://schemas.openxmlformats.org/spreadsheetml/2006/main" count="40555" uniqueCount="2562">
  <si>
    <t>Order_ID</t>
  </si>
  <si>
    <t>Order_Date</t>
  </si>
  <si>
    <t>Customer_ID</t>
  </si>
  <si>
    <t>Region</t>
  </si>
  <si>
    <t>Customer_Segment</t>
  </si>
  <si>
    <t>Category</t>
  </si>
  <si>
    <t>Product</t>
  </si>
  <si>
    <t>Quantity</t>
  </si>
  <si>
    <t>Unit_Price</t>
  </si>
  <si>
    <t>Discount_Pct</t>
  </si>
  <si>
    <t>Discount_Amount</t>
  </si>
  <si>
    <t>Revenue</t>
  </si>
  <si>
    <t>Cost</t>
  </si>
  <si>
    <t>Gross_Profit</t>
  </si>
  <si>
    <t>Acquisition_Channel</t>
  </si>
  <si>
    <t>Marketing_Cost</t>
  </si>
  <si>
    <t>Payment_Method</t>
  </si>
  <si>
    <t>Delivery_Type</t>
  </si>
  <si>
    <t>Promised_Days</t>
  </si>
  <si>
    <t>Delivery_Days</t>
  </si>
  <si>
    <t>Late_Delivery</t>
  </si>
  <si>
    <t>Order_Status</t>
  </si>
  <si>
    <t>Customer_Rating</t>
  </si>
  <si>
    <t>ORD00001</t>
  </si>
  <si>
    <t>CUST0193</t>
  </si>
  <si>
    <t>Kaduna</t>
  </si>
  <si>
    <t>Returning</t>
  </si>
  <si>
    <t>Beauty</t>
  </si>
  <si>
    <t>Lip Gloss</t>
  </si>
  <si>
    <t>Referral</t>
  </si>
  <si>
    <t>Cash on Delivery</t>
  </si>
  <si>
    <t>Standard</t>
  </si>
  <si>
    <t>No</t>
  </si>
  <si>
    <t>Delivered</t>
  </si>
  <si>
    <t>ORD00002</t>
  </si>
  <si>
    <t>CUST0163</t>
  </si>
  <si>
    <t>Loyal</t>
  </si>
  <si>
    <t>Accessories</t>
  </si>
  <si>
    <t>Cap</t>
  </si>
  <si>
    <t>Facebook</t>
  </si>
  <si>
    <t>Mobile Money</t>
  </si>
  <si>
    <t>Express</t>
  </si>
  <si>
    <t>Cancelled</t>
  </si>
  <si>
    <t>ORD00003</t>
  </si>
  <si>
    <t>CUST0084</t>
  </si>
  <si>
    <t>Edo</t>
  </si>
  <si>
    <t>New</t>
  </si>
  <si>
    <t>Fashion</t>
  </si>
  <si>
    <t>T-Shirt</t>
  </si>
  <si>
    <t>Organic Search</t>
  </si>
  <si>
    <t>Returned</t>
  </si>
  <si>
    <t>ORD00004</t>
  </si>
  <si>
    <t>CUST0521</t>
  </si>
  <si>
    <t>Electronics</t>
  </si>
  <si>
    <t>Power Bank</t>
  </si>
  <si>
    <t>Instagram</t>
  </si>
  <si>
    <t>Yes</t>
  </si>
  <si>
    <t>ORD00005</t>
  </si>
  <si>
    <t>CUST0135</t>
  </si>
  <si>
    <t>Bluetooth Speaker</t>
  </si>
  <si>
    <t>WhatsApp</t>
  </si>
  <si>
    <t>ORD00006</t>
  </si>
  <si>
    <t>CUST0245</t>
  </si>
  <si>
    <t>Kano</t>
  </si>
  <si>
    <t>Joggers</t>
  </si>
  <si>
    <t>ORD00007</t>
  </si>
  <si>
    <t>CUST0054</t>
  </si>
  <si>
    <t>Ogun</t>
  </si>
  <si>
    <t>Bank Transfer</t>
  </si>
  <si>
    <t>ORD00008</t>
  </si>
  <si>
    <t>CUST0028</t>
  </si>
  <si>
    <t>Enugu</t>
  </si>
  <si>
    <t>Hair Dryer</t>
  </si>
  <si>
    <t>USSD</t>
  </si>
  <si>
    <t>ORD00009</t>
  </si>
  <si>
    <t>CUST0481</t>
  </si>
  <si>
    <t>Perfume</t>
  </si>
  <si>
    <t>ORD00010</t>
  </si>
  <si>
    <t>CUST0469</t>
  </si>
  <si>
    <t>Abuja</t>
  </si>
  <si>
    <t>ORD00011</t>
  </si>
  <si>
    <t>CUST0370</t>
  </si>
  <si>
    <t>Phone Charger</t>
  </si>
  <si>
    <t>Card</t>
  </si>
  <si>
    <t>ORD00012</t>
  </si>
  <si>
    <t>CUST0107</t>
  </si>
  <si>
    <t>Home</t>
  </si>
  <si>
    <t>Blender</t>
  </si>
  <si>
    <t>ORD00013</t>
  </si>
  <si>
    <t>CUST0207</t>
  </si>
  <si>
    <t>Lagos</t>
  </si>
  <si>
    <t>Google</t>
  </si>
  <si>
    <t>ORD00014</t>
  </si>
  <si>
    <t>CUST0128</t>
  </si>
  <si>
    <t>Bedsheet</t>
  </si>
  <si>
    <t>ORD00015</t>
  </si>
  <si>
    <t>CUST0185</t>
  </si>
  <si>
    <t>Delta</t>
  </si>
  <si>
    <t>ORD00016</t>
  </si>
  <si>
    <t>CUST0282</t>
  </si>
  <si>
    <t>Phone Case</t>
  </si>
  <si>
    <t>ORD00017</t>
  </si>
  <si>
    <t>CUST0034</t>
  </si>
  <si>
    <t>ORD00018</t>
  </si>
  <si>
    <t>CUST0531</t>
  </si>
  <si>
    <t>Handbag</t>
  </si>
  <si>
    <t>ORD00019</t>
  </si>
  <si>
    <t>CUST0356</t>
  </si>
  <si>
    <t>ORD00020</t>
  </si>
  <si>
    <t>CUST0587</t>
  </si>
  <si>
    <t>Storage Box</t>
  </si>
  <si>
    <t>ORD00021</t>
  </si>
  <si>
    <t>CUST0530</t>
  </si>
  <si>
    <t>Face Cream</t>
  </si>
  <si>
    <t>ORD00022</t>
  </si>
  <si>
    <t>CUST0231</t>
  </si>
  <si>
    <t>ORD00023</t>
  </si>
  <si>
    <t>CUST0346</t>
  </si>
  <si>
    <t>ORD00024</t>
  </si>
  <si>
    <t>CUST0416</t>
  </si>
  <si>
    <t>ORD00025</t>
  </si>
  <si>
    <t>CUST0380</t>
  </si>
  <si>
    <t>ORD00026</t>
  </si>
  <si>
    <t>CUST0321</t>
  </si>
  <si>
    <t>Oyo</t>
  </si>
  <si>
    <t>ORD00027</t>
  </si>
  <si>
    <t>CUST0482</t>
  </si>
  <si>
    <t>Table Lamp</t>
  </si>
  <si>
    <t>ORD00028</t>
  </si>
  <si>
    <t>CUST0462</t>
  </si>
  <si>
    <t>ORD00029</t>
  </si>
  <si>
    <t>CUST0513</t>
  </si>
  <si>
    <t>ORD00030</t>
  </si>
  <si>
    <t>CUST0345</t>
  </si>
  <si>
    <t>ORD00031</t>
  </si>
  <si>
    <t>CUST0272</t>
  </si>
  <si>
    <t>ORD00032</t>
  </si>
  <si>
    <t>CUST0452</t>
  </si>
  <si>
    <t>Sneakers</t>
  </si>
  <si>
    <t>ORD00033</t>
  </si>
  <si>
    <t>CUST0471</t>
  </si>
  <si>
    <t>ORD00034</t>
  </si>
  <si>
    <t>CUST0501</t>
  </si>
  <si>
    <t>ORD00035</t>
  </si>
  <si>
    <t>CUST0081</t>
  </si>
  <si>
    <t>ORD00036</t>
  </si>
  <si>
    <t>Hoodie</t>
  </si>
  <si>
    <t>ORD00037</t>
  </si>
  <si>
    <t>CUST0061</t>
  </si>
  <si>
    <t>ORD00038</t>
  </si>
  <si>
    <t>CUST0306</t>
  </si>
  <si>
    <t>Wireless Earbuds</t>
  </si>
  <si>
    <t>ORD00039</t>
  </si>
  <si>
    <t>CUST0264</t>
  </si>
  <si>
    <t>Rivers</t>
  </si>
  <si>
    <t>ORD00040</t>
  </si>
  <si>
    <t>CUST0255</t>
  </si>
  <si>
    <t>ORD00041</t>
  </si>
  <si>
    <t>CUST0515</t>
  </si>
  <si>
    <t>ORD00042</t>
  </si>
  <si>
    <t>CUST0254</t>
  </si>
  <si>
    <t>Sunglasses</t>
  </si>
  <si>
    <t>ORD00043</t>
  </si>
  <si>
    <t>CUST0211</t>
  </si>
  <si>
    <t>Body Lotion</t>
  </si>
  <si>
    <t>ORD00044</t>
  </si>
  <si>
    <t>CUST0004</t>
  </si>
  <si>
    <t>ORD00045</t>
  </si>
  <si>
    <t>CUST0460</t>
  </si>
  <si>
    <t>ORD00046</t>
  </si>
  <si>
    <t>CUST0558</t>
  </si>
  <si>
    <t>ORD00047</t>
  </si>
  <si>
    <t>CUST0069</t>
  </si>
  <si>
    <t>ORD00048</t>
  </si>
  <si>
    <t>CUST0297</t>
  </si>
  <si>
    <t>ORD00049</t>
  </si>
  <si>
    <t>CUST0180</t>
  </si>
  <si>
    <t>ORD00050</t>
  </si>
  <si>
    <t>ORD00051</t>
  </si>
  <si>
    <t>CUST0549</t>
  </si>
  <si>
    <t>Air Fryer</t>
  </si>
  <si>
    <t>ORD00052</t>
  </si>
  <si>
    <t>CUST0249</t>
  </si>
  <si>
    <t>ORD00053</t>
  </si>
  <si>
    <t>ORD00054</t>
  </si>
  <si>
    <t>CUST0584</t>
  </si>
  <si>
    <t>ORD00055</t>
  </si>
  <si>
    <t>ORD00056</t>
  </si>
  <si>
    <t>CUST0383</t>
  </si>
  <si>
    <t>ORD00057</t>
  </si>
  <si>
    <t>ORD00058</t>
  </si>
  <si>
    <t>CUST0250</t>
  </si>
  <si>
    <t>ORD00059</t>
  </si>
  <si>
    <t>CUST0445</t>
  </si>
  <si>
    <t>ORD00060</t>
  </si>
  <si>
    <t>CUST0017</t>
  </si>
  <si>
    <t>ORD00061</t>
  </si>
  <si>
    <t>CUST0355</t>
  </si>
  <si>
    <t>ORD00062</t>
  </si>
  <si>
    <t>CUST0600</t>
  </si>
  <si>
    <t>ORD00063</t>
  </si>
  <si>
    <t>CUST0316</t>
  </si>
  <si>
    <t>ORD00064</t>
  </si>
  <si>
    <t>CUST0013</t>
  </si>
  <si>
    <t>ORD00065</t>
  </si>
  <si>
    <t>CUST0283</t>
  </si>
  <si>
    <t>ORD00066</t>
  </si>
  <si>
    <t>CUST0451</t>
  </si>
  <si>
    <t>ORD00067</t>
  </si>
  <si>
    <t>CUST0334</t>
  </si>
  <si>
    <t>ORD00068</t>
  </si>
  <si>
    <t>CUST0071</t>
  </si>
  <si>
    <t>ORD00069</t>
  </si>
  <si>
    <t>CUST0038</t>
  </si>
  <si>
    <t>ORD00070</t>
  </si>
  <si>
    <t>CUST0109</t>
  </si>
  <si>
    <t>ORD00071</t>
  </si>
  <si>
    <t>CUST0426</t>
  </si>
  <si>
    <t>ORD00072</t>
  </si>
  <si>
    <t>CUST0308</t>
  </si>
  <si>
    <t>ORD00073</t>
  </si>
  <si>
    <t>CUST0189</t>
  </si>
  <si>
    <t>ORD00074</t>
  </si>
  <si>
    <t>CUST0550</t>
  </si>
  <si>
    <t>Backpack</t>
  </si>
  <si>
    <t>ORD00075</t>
  </si>
  <si>
    <t>CUST0305</t>
  </si>
  <si>
    <t>ORD00076</t>
  </si>
  <si>
    <t>CUST0191</t>
  </si>
  <si>
    <t>ORD00077</t>
  </si>
  <si>
    <t>CUST0200</t>
  </si>
  <si>
    <t>ORD00078</t>
  </si>
  <si>
    <t>ORD00079</t>
  </si>
  <si>
    <t>CUST0224</t>
  </si>
  <si>
    <t>ORD00080</t>
  </si>
  <si>
    <t>CUST0360</t>
  </si>
  <si>
    <t>ORD00081</t>
  </si>
  <si>
    <t>CUST0274</t>
  </si>
  <si>
    <t>ORD00082</t>
  </si>
  <si>
    <t>CUST0592</t>
  </si>
  <si>
    <t>ORD00083</t>
  </si>
  <si>
    <t>CUST0065</t>
  </si>
  <si>
    <t>ORD00084</t>
  </si>
  <si>
    <t>ORD00085</t>
  </si>
  <si>
    <t>ORD00086</t>
  </si>
  <si>
    <t>CUST0352</t>
  </si>
  <si>
    <t>ORD00087</t>
  </si>
  <si>
    <t>CUST0544</t>
  </si>
  <si>
    <t>ORD00088</t>
  </si>
  <si>
    <t>CUST0394</t>
  </si>
  <si>
    <t>ORD00089</t>
  </si>
  <si>
    <t>CUST0056</t>
  </si>
  <si>
    <t>ORD00090</t>
  </si>
  <si>
    <t>CUST0177</t>
  </si>
  <si>
    <t>ORD00091</t>
  </si>
  <si>
    <t>CUST0157</t>
  </si>
  <si>
    <t>ORD00092</t>
  </si>
  <si>
    <t>CUST0057</t>
  </si>
  <si>
    <t>ORD00093</t>
  </si>
  <si>
    <t>CUST0344</t>
  </si>
  <si>
    <t>ORD00094</t>
  </si>
  <si>
    <t>CUST0234</t>
  </si>
  <si>
    <t>ORD00095</t>
  </si>
  <si>
    <t>CUST0080</t>
  </si>
  <si>
    <t>ORD00096</t>
  </si>
  <si>
    <t>CUST0567</t>
  </si>
  <si>
    <t>ORD00097</t>
  </si>
  <si>
    <t>CUST0555</t>
  </si>
  <si>
    <t>Smart Watch</t>
  </si>
  <si>
    <t>ORD00098</t>
  </si>
  <si>
    <t>CUST0045</t>
  </si>
  <si>
    <t>ORD00099</t>
  </si>
  <si>
    <t>CUST0299</t>
  </si>
  <si>
    <t>ORD00100</t>
  </si>
  <si>
    <t>CUST0169</t>
  </si>
  <si>
    <t>ORD00101</t>
  </si>
  <si>
    <t>CUST0336</t>
  </si>
  <si>
    <t>ORD00102</t>
  </si>
  <si>
    <t>CUST0097</t>
  </si>
  <si>
    <t>ORD00103</t>
  </si>
  <si>
    <t>CUST0203</t>
  </si>
  <si>
    <t>ORD00104</t>
  </si>
  <si>
    <t>CUST0437</t>
  </si>
  <si>
    <t>ORD00105</t>
  </si>
  <si>
    <t>CUST0205</t>
  </si>
  <si>
    <t>ORD00106</t>
  </si>
  <si>
    <t>CUST0027</t>
  </si>
  <si>
    <t>ORD00107</t>
  </si>
  <si>
    <t>CUST0058</t>
  </si>
  <si>
    <t>ORD00108</t>
  </si>
  <si>
    <t>CUST0556</t>
  </si>
  <si>
    <t>ORD00109</t>
  </si>
  <si>
    <t>CUST0023</t>
  </si>
  <si>
    <t>ORD00110</t>
  </si>
  <si>
    <t>CUST0325</t>
  </si>
  <si>
    <t>ORD00111</t>
  </si>
  <si>
    <t>ORD00112</t>
  </si>
  <si>
    <t>CUST0458</t>
  </si>
  <si>
    <t>ORD00113</t>
  </si>
  <si>
    <t>CUST0385</t>
  </si>
  <si>
    <t>ORD00114</t>
  </si>
  <si>
    <t>CUST0175</t>
  </si>
  <si>
    <t>ORD00115</t>
  </si>
  <si>
    <t>CUST0195</t>
  </si>
  <si>
    <t>ORD00116</t>
  </si>
  <si>
    <t>CUST0302</t>
  </si>
  <si>
    <t>ORD00117</t>
  </si>
  <si>
    <t>CUST0397</t>
  </si>
  <si>
    <t>ORD00118</t>
  </si>
  <si>
    <t>ORD00119</t>
  </si>
  <si>
    <t>CUST0586</t>
  </si>
  <si>
    <t>ORD00120</t>
  </si>
  <si>
    <t>CUST0328</t>
  </si>
  <si>
    <t>Wallet</t>
  </si>
  <si>
    <t>ORD00121</t>
  </si>
  <si>
    <t>ORD00122</t>
  </si>
  <si>
    <t>CUST0340</t>
  </si>
  <si>
    <t>ORD00123</t>
  </si>
  <si>
    <t>CUST0276</t>
  </si>
  <si>
    <t>ORD00124</t>
  </si>
  <si>
    <t>CUST0537</t>
  </si>
  <si>
    <t>ORD00125</t>
  </si>
  <si>
    <t>CUST0032</t>
  </si>
  <si>
    <t>ORD00126</t>
  </si>
  <si>
    <t>CUST0220</t>
  </si>
  <si>
    <t>ORD00127</t>
  </si>
  <si>
    <t>ORD00128</t>
  </si>
  <si>
    <t>CUST0111</t>
  </si>
  <si>
    <t>ORD00129</t>
  </si>
  <si>
    <t>CUST0144</t>
  </si>
  <si>
    <t>ORD00130</t>
  </si>
  <si>
    <t>ORD00131</t>
  </si>
  <si>
    <t>CUST0431</t>
  </si>
  <si>
    <t>ORD00132</t>
  </si>
  <si>
    <t>ORD00133</t>
  </si>
  <si>
    <t>CUST0173</t>
  </si>
  <si>
    <t>ORD00134</t>
  </si>
  <si>
    <t>CUST0330</t>
  </si>
  <si>
    <t>ORD00135</t>
  </si>
  <si>
    <t>CUST0467</t>
  </si>
  <si>
    <t>ORD00136</t>
  </si>
  <si>
    <t>CUST0517</t>
  </si>
  <si>
    <t>ORD00137</t>
  </si>
  <si>
    <t>CUST0455</t>
  </si>
  <si>
    <t>ORD00138</t>
  </si>
  <si>
    <t>CUST0121</t>
  </si>
  <si>
    <t>ORD00139</t>
  </si>
  <si>
    <t>CUST0241</t>
  </si>
  <si>
    <t>ORD00140</t>
  </si>
  <si>
    <t>CUST0052</t>
  </si>
  <si>
    <t>ORD00141</t>
  </si>
  <si>
    <t>CUST0449</t>
  </si>
  <si>
    <t>ORD00142</t>
  </si>
  <si>
    <t>CUST0136</t>
  </si>
  <si>
    <t>ORD00143</t>
  </si>
  <si>
    <t>ORD00144</t>
  </si>
  <si>
    <t>CUST0153</t>
  </si>
  <si>
    <t>ORD00145</t>
  </si>
  <si>
    <t>CUST0564</t>
  </si>
  <si>
    <t>ORD00146</t>
  </si>
  <si>
    <t>CUST0001</t>
  </si>
  <si>
    <t>ORD00147</t>
  </si>
  <si>
    <t>CUST0485</t>
  </si>
  <si>
    <t>ORD00148</t>
  </si>
  <si>
    <t>CUST0110</t>
  </si>
  <si>
    <t>ORD00149</t>
  </si>
  <si>
    <t>ORD00150</t>
  </si>
  <si>
    <t>ORD00151</t>
  </si>
  <si>
    <t>CUST0322</t>
  </si>
  <si>
    <t>ORD00152</t>
  </si>
  <si>
    <t>CUST0585</t>
  </si>
  <si>
    <t>ORD00153</t>
  </si>
  <si>
    <t>CUST0150</t>
  </si>
  <si>
    <t>ORD00154</t>
  </si>
  <si>
    <t>ORD00155</t>
  </si>
  <si>
    <t>ORD00156</t>
  </si>
  <si>
    <t>CUST0478</t>
  </si>
  <si>
    <t>ORD00157</t>
  </si>
  <si>
    <t>CUST0557</t>
  </si>
  <si>
    <t>ORD00158</t>
  </si>
  <si>
    <t>CUST0457</t>
  </si>
  <si>
    <t>ORD00159</t>
  </si>
  <si>
    <t>ORD00160</t>
  </si>
  <si>
    <t>ORD00161</t>
  </si>
  <si>
    <t>CUST0073</t>
  </si>
  <si>
    <t>ORD00162</t>
  </si>
  <si>
    <t>CUST0075</t>
  </si>
  <si>
    <t>ORD00163</t>
  </si>
  <si>
    <t>CUST0303</t>
  </si>
  <si>
    <t>ORD00164</t>
  </si>
  <si>
    <t>CUST0353</t>
  </si>
  <si>
    <t>ORD00165</t>
  </si>
  <si>
    <t>ORD00166</t>
  </si>
  <si>
    <t>ORD00167</t>
  </si>
  <si>
    <t>CUST0138</t>
  </si>
  <si>
    <t>ORD00168</t>
  </si>
  <si>
    <t>CUST0520</t>
  </si>
  <si>
    <t>ORD00169</t>
  </si>
  <si>
    <t>CUST0476</t>
  </si>
  <si>
    <t>ORD00170</t>
  </si>
  <si>
    <t>CUST0042</t>
  </si>
  <si>
    <t>ORD00171</t>
  </si>
  <si>
    <t>CUST0281</t>
  </si>
  <si>
    <t>ORD00172</t>
  </si>
  <si>
    <t>CUST0007</t>
  </si>
  <si>
    <t>ORD00173</t>
  </si>
  <si>
    <t>CUST0491</t>
  </si>
  <si>
    <t>ORD00174</t>
  </si>
  <si>
    <t>ORD00175</t>
  </si>
  <si>
    <t>CUST0597</t>
  </si>
  <si>
    <t>ORD00176</t>
  </si>
  <si>
    <t>CUST0099</t>
  </si>
  <si>
    <t>ORD00177</t>
  </si>
  <si>
    <t>ORD00178</t>
  </si>
  <si>
    <t>ORD00179</t>
  </si>
  <si>
    <t>CUST0268</t>
  </si>
  <si>
    <t>ORD00180</t>
  </si>
  <si>
    <t>CUST0142</t>
  </si>
  <si>
    <t>ORD00181</t>
  </si>
  <si>
    <t>CUST0483</t>
  </si>
  <si>
    <t>ORD00182</t>
  </si>
  <si>
    <t>CUST0450</t>
  </si>
  <si>
    <t>ORD00183</t>
  </si>
  <si>
    <t>CUST0089</t>
  </si>
  <si>
    <t>ORD00184</t>
  </si>
  <si>
    <t>CUST0414</t>
  </si>
  <si>
    <t>ORD00185</t>
  </si>
  <si>
    <t>CUST0387</t>
  </si>
  <si>
    <t>ORD00186</t>
  </si>
  <si>
    <t>CUST0423</t>
  </si>
  <si>
    <t>ORD00187</t>
  </si>
  <si>
    <t>ORD00188</t>
  </si>
  <si>
    <t>ORD00189</t>
  </si>
  <si>
    <t>ORD00190</t>
  </si>
  <si>
    <t>CUST0371</t>
  </si>
  <si>
    <t>ORD00191</t>
  </si>
  <si>
    <t>ORD00192</t>
  </si>
  <si>
    <t>ORD00193</t>
  </si>
  <si>
    <t>CUST0267</t>
  </si>
  <si>
    <t>ORD00194</t>
  </si>
  <si>
    <t>CUST0364</t>
  </si>
  <si>
    <t>ORD00195</t>
  </si>
  <si>
    <t>ORD00196</t>
  </si>
  <si>
    <t>ORD00197</t>
  </si>
  <si>
    <t>ORD00198</t>
  </si>
  <si>
    <t>CUST0479</t>
  </si>
  <si>
    <t>ORD00199</t>
  </si>
  <si>
    <t>CUST0375</t>
  </si>
  <si>
    <t>ORD00200</t>
  </si>
  <si>
    <t>CUST0237</t>
  </si>
  <si>
    <t>ORD00201</t>
  </si>
  <si>
    <t>CUST0279</t>
  </si>
  <si>
    <t>ORD00202</t>
  </si>
  <si>
    <t>CUST0020</t>
  </si>
  <si>
    <t>ORD00203</t>
  </si>
  <si>
    <t>CUST0381</t>
  </si>
  <si>
    <t>ORD00204</t>
  </si>
  <si>
    <t>ORD00205</t>
  </si>
  <si>
    <t>CUST0126</t>
  </si>
  <si>
    <t>ORD00206</t>
  </si>
  <si>
    <t>CUST0596</t>
  </si>
  <si>
    <t>ORD00207</t>
  </si>
  <si>
    <t>CUST0500</t>
  </si>
  <si>
    <t>ORD00208</t>
  </si>
  <si>
    <t>ORD00209</t>
  </si>
  <si>
    <t>ORD00210</t>
  </si>
  <si>
    <t>CUST0290</t>
  </si>
  <si>
    <t>ORD00211</t>
  </si>
  <si>
    <t>CUST0502</t>
  </si>
  <si>
    <t>ORD00212</t>
  </si>
  <si>
    <t>CUST0378</t>
  </si>
  <si>
    <t>ORD00213</t>
  </si>
  <si>
    <t>CUST0572</t>
  </si>
  <si>
    <t>ORD00214</t>
  </si>
  <si>
    <t>CUST0454</t>
  </si>
  <si>
    <t>ORD00215</t>
  </si>
  <si>
    <t>CUST0459</t>
  </si>
  <si>
    <t>ORD00216</t>
  </si>
  <si>
    <t>CUST0570</t>
  </si>
  <si>
    <t>ORD00217</t>
  </si>
  <si>
    <t>CUST0495</t>
  </si>
  <si>
    <t>ORD00218</t>
  </si>
  <si>
    <t>CUST0427</t>
  </si>
  <si>
    <t>ORD00219</t>
  </si>
  <si>
    <t>CUST0403</t>
  </si>
  <si>
    <t>ORD00220</t>
  </si>
  <si>
    <t>ORD00221</t>
  </si>
  <si>
    <t>CUST0424</t>
  </si>
  <si>
    <t>ORD00222</t>
  </si>
  <si>
    <t>ORD00223</t>
  </si>
  <si>
    <t>CUST0217</t>
  </si>
  <si>
    <t>ORD00224</t>
  </si>
  <si>
    <t>CUST0055</t>
  </si>
  <si>
    <t>ORD00225</t>
  </si>
  <si>
    <t>CUST0545</t>
  </si>
  <si>
    <t>ORD00226</t>
  </si>
  <si>
    <t>CUST0310</t>
  </si>
  <si>
    <t>ORD00227</t>
  </si>
  <si>
    <t>CUST0428</t>
  </si>
  <si>
    <t>ORD00228</t>
  </si>
  <si>
    <t>CUST0149</t>
  </si>
  <si>
    <t>ORD00229</t>
  </si>
  <si>
    <t>ORD00230</t>
  </si>
  <si>
    <t>ORD00231</t>
  </si>
  <si>
    <t>CUST0182</t>
  </si>
  <si>
    <t>ORD00232</t>
  </si>
  <si>
    <t>CUST0532</t>
  </si>
  <si>
    <t>ORD00233</t>
  </si>
  <si>
    <t>ORD00234</t>
  </si>
  <si>
    <t>CUST0093</t>
  </si>
  <si>
    <t>ORD00235</t>
  </si>
  <si>
    <t>CUST0388</t>
  </si>
  <si>
    <t>ORD00236</t>
  </si>
  <si>
    <t>ORD00237</t>
  </si>
  <si>
    <t>CUST0453</t>
  </si>
  <si>
    <t>ORD00238</t>
  </si>
  <si>
    <t>ORD00239</t>
  </si>
  <si>
    <t>CUST0070</t>
  </si>
  <si>
    <t>ORD00240</t>
  </si>
  <si>
    <t>CUST0295</t>
  </si>
  <si>
    <t>ORD00241</t>
  </si>
  <si>
    <t>CUST0199</t>
  </si>
  <si>
    <t>ORD00242</t>
  </si>
  <si>
    <t>ORD00243</t>
  </si>
  <si>
    <t>CUST0140</t>
  </si>
  <si>
    <t>ORD00244</t>
  </si>
  <si>
    <t>CUST0363</t>
  </si>
  <si>
    <t>ORD00245</t>
  </si>
  <si>
    <t>CUST0244</t>
  </si>
  <si>
    <t>ORD00246</t>
  </si>
  <si>
    <t>ORD00247</t>
  </si>
  <si>
    <t>CUST0005</t>
  </si>
  <si>
    <t>ORD00248</t>
  </si>
  <si>
    <t>CUST0198</t>
  </si>
  <si>
    <t>ORD00249</t>
  </si>
  <si>
    <t>CUST0145</t>
  </si>
  <si>
    <t>ORD00250</t>
  </si>
  <si>
    <t>ORD00251</t>
  </si>
  <si>
    <t>CUST0230</t>
  </si>
  <si>
    <t>ORD00252</t>
  </si>
  <si>
    <t>CUST0357</t>
  </si>
  <si>
    <t>ORD00253</t>
  </si>
  <si>
    <t>ORD00254</t>
  </si>
  <si>
    <t>CUST0475</t>
  </si>
  <si>
    <t>ORD00255</t>
  </si>
  <si>
    <t>ORD00256</t>
  </si>
  <si>
    <t>CUST0009</t>
  </si>
  <si>
    <t>ORD00257</t>
  </si>
  <si>
    <t>CUST0404</t>
  </si>
  <si>
    <t>ORD00258</t>
  </si>
  <si>
    <t>CUST0074</t>
  </si>
  <si>
    <t>ORD00259</t>
  </si>
  <si>
    <t>ORD00260</t>
  </si>
  <si>
    <t>CUST0116</t>
  </si>
  <si>
    <t>ORD00261</t>
  </si>
  <si>
    <t>CUST0320</t>
  </si>
  <si>
    <t>ORD00262</t>
  </si>
  <si>
    <t>ORD00263</t>
  </si>
  <si>
    <t>CUST0288</t>
  </si>
  <si>
    <t>ORD00264</t>
  </si>
  <si>
    <t>CUST0087</t>
  </si>
  <si>
    <t>ORD00265</t>
  </si>
  <si>
    <t>ORD00266</t>
  </si>
  <si>
    <t>CUST0543</t>
  </si>
  <si>
    <t>ORD00267</t>
  </si>
  <si>
    <t>CUST0533</t>
  </si>
  <si>
    <t>ORD00268</t>
  </si>
  <si>
    <t>CUST0035</t>
  </si>
  <si>
    <t>ORD00269</t>
  </si>
  <si>
    <t>ORD00270</t>
  </si>
  <si>
    <t>CUST0265</t>
  </si>
  <si>
    <t>ORD00271</t>
  </si>
  <si>
    <t>CUST0036</t>
  </si>
  <si>
    <t>ORD00272</t>
  </si>
  <si>
    <t>CUST0528</t>
  </si>
  <si>
    <t>ORD00273</t>
  </si>
  <si>
    <t>CUST0411</t>
  </si>
  <si>
    <t>ORD00274</t>
  </si>
  <si>
    <t>CUST0368</t>
  </si>
  <si>
    <t>ORD00275</t>
  </si>
  <si>
    <t>CUST0348</t>
  </si>
  <si>
    <t>ORD00276</t>
  </si>
  <si>
    <t>CUST0047</t>
  </si>
  <si>
    <t>ORD00277</t>
  </si>
  <si>
    <t>CUST0226</t>
  </si>
  <si>
    <t>ORD00278</t>
  </si>
  <si>
    <t>ORD00279</t>
  </si>
  <si>
    <t>CUST0008</t>
  </si>
  <si>
    <t>ORD00280</t>
  </si>
  <si>
    <t>ORD00281</t>
  </si>
  <si>
    <t>ORD00282</t>
  </si>
  <si>
    <t>CUST0343</t>
  </si>
  <si>
    <t>ORD00283</t>
  </si>
  <si>
    <t>CUST0204</t>
  </si>
  <si>
    <t>ORD00284</t>
  </si>
  <si>
    <t>CUST0466</t>
  </si>
  <si>
    <t>ORD00285</t>
  </si>
  <si>
    <t>CUST0176</t>
  </si>
  <si>
    <t>ORD00286</t>
  </si>
  <si>
    <t>CUST0286</t>
  </si>
  <si>
    <t>ORD00287</t>
  </si>
  <si>
    <t>CUST0436</t>
  </si>
  <si>
    <t>ORD00288</t>
  </si>
  <si>
    <t>ORD00289</t>
  </si>
  <si>
    <t>CUST0395</t>
  </si>
  <si>
    <t>ORD00290</t>
  </si>
  <si>
    <t>CUST0393</t>
  </si>
  <si>
    <t>ORD00291</t>
  </si>
  <si>
    <t>CUST0215</t>
  </si>
  <si>
    <t>ORD00292</t>
  </si>
  <si>
    <t>CUST0377</t>
  </si>
  <si>
    <t>ORD00293</t>
  </si>
  <si>
    <t>CUST0301</t>
  </si>
  <si>
    <t>ORD00294</t>
  </si>
  <si>
    <t>ORD00295</t>
  </si>
  <si>
    <t>CUST0049</t>
  </si>
  <si>
    <t>ORD00296</t>
  </si>
  <si>
    <t>ORD00297</t>
  </si>
  <si>
    <t>CUST0470</t>
  </si>
  <si>
    <t>ORD00298</t>
  </si>
  <si>
    <t>CUST0565</t>
  </si>
  <si>
    <t>ORD00299</t>
  </si>
  <si>
    <t>CUST0086</t>
  </si>
  <si>
    <t>ORD00300</t>
  </si>
  <si>
    <t>CUST0382</t>
  </si>
  <si>
    <t>ORD00301</t>
  </si>
  <si>
    <t>ORD00302</t>
  </si>
  <si>
    <t>ORD00303</t>
  </si>
  <si>
    <t>ORD00304</t>
  </si>
  <si>
    <t>CUST0123</t>
  </si>
  <si>
    <t>ORD00305</t>
  </si>
  <si>
    <t>CUST0050</t>
  </si>
  <si>
    <t>ORD00306</t>
  </si>
  <si>
    <t>CUST0594</t>
  </si>
  <si>
    <t>ORD00307</t>
  </si>
  <si>
    <t>ORD00308</t>
  </si>
  <si>
    <t>ORD00309</t>
  </si>
  <si>
    <t>CUST0496</t>
  </si>
  <si>
    <t>ORD00310</t>
  </si>
  <si>
    <t>ORD00311</t>
  </si>
  <si>
    <t>CUST0542</t>
  </si>
  <si>
    <t>ORD00312</t>
  </si>
  <si>
    <t>ORD00313</t>
  </si>
  <si>
    <t>CUST0119</t>
  </si>
  <si>
    <t>ORD00314</t>
  </si>
  <si>
    <t>CUST0014</t>
  </si>
  <si>
    <t>ORD00315</t>
  </si>
  <si>
    <t>ORD00316</t>
  </si>
  <si>
    <t>CUST0415</t>
  </si>
  <si>
    <t>ORD00317</t>
  </si>
  <si>
    <t>CUST0184</t>
  </si>
  <si>
    <t>ORD00318</t>
  </si>
  <si>
    <t>ORD00319</t>
  </si>
  <si>
    <t>CUST0504</t>
  </si>
  <si>
    <t>ORD00320</t>
  </si>
  <si>
    <t>CUST0401</t>
  </si>
  <si>
    <t>ORD00321</t>
  </si>
  <si>
    <t>CUST0390</t>
  </si>
  <si>
    <t>ORD00322</t>
  </si>
  <si>
    <t>ORD00323</t>
  </si>
  <si>
    <t>ORD00324</t>
  </si>
  <si>
    <t>CUST0232</t>
  </si>
  <si>
    <t>ORD00325</t>
  </si>
  <si>
    <t>ORD00326</t>
  </si>
  <si>
    <t>ORD00327</t>
  </si>
  <si>
    <t>ORD00328</t>
  </si>
  <si>
    <t>ORD00329</t>
  </si>
  <si>
    <t>ORD00330</t>
  </si>
  <si>
    <t>CUST0400</t>
  </si>
  <si>
    <t>ORD00331</t>
  </si>
  <si>
    <t>ORD00332</t>
  </si>
  <si>
    <t>CUST0243</t>
  </si>
  <si>
    <t>ORD00333</t>
  </si>
  <si>
    <t>CUST0083</t>
  </si>
  <si>
    <t>ORD00334</t>
  </si>
  <si>
    <t>CUST0029</t>
  </si>
  <si>
    <t>ORD00335</t>
  </si>
  <si>
    <t>CUST0421</t>
  </si>
  <si>
    <t>ORD00336</t>
  </si>
  <si>
    <t>CUST0024</t>
  </si>
  <si>
    <t>ORD00337</t>
  </si>
  <si>
    <t>ORD00338</t>
  </si>
  <si>
    <t>CUST0221</t>
  </si>
  <si>
    <t>ORD00339</t>
  </si>
  <si>
    <t>ORD00340</t>
  </si>
  <si>
    <t>ORD00341</t>
  </si>
  <si>
    <t>ORD00342</t>
  </si>
  <si>
    <t>CUST0155</t>
  </si>
  <si>
    <t>ORD00343</t>
  </si>
  <si>
    <t>CUST0366</t>
  </si>
  <si>
    <t>ORD00344</t>
  </si>
  <si>
    <t>CUST0218</t>
  </si>
  <si>
    <t>ORD00345</t>
  </si>
  <si>
    <t>ORD00346</t>
  </si>
  <si>
    <t>ORD00347</t>
  </si>
  <si>
    <t>CUST0292</t>
  </si>
  <si>
    <t>ORD00348</t>
  </si>
  <si>
    <t>ORD00349</t>
  </si>
  <si>
    <t>CUST0480</t>
  </si>
  <si>
    <t>ORD00350</t>
  </si>
  <si>
    <t>ORD00351</t>
  </si>
  <si>
    <t>ORD00352</t>
  </si>
  <si>
    <t>CUST0405</t>
  </si>
  <si>
    <t>ORD00353</t>
  </si>
  <si>
    <t>CUST0129</t>
  </si>
  <si>
    <t>ORD00354</t>
  </si>
  <si>
    <t>CUST0433</t>
  </si>
  <si>
    <t>ORD00355</t>
  </si>
  <si>
    <t>ORD00356</t>
  </si>
  <si>
    <t>CUST0591</t>
  </si>
  <si>
    <t>ORD00357</t>
  </si>
  <si>
    <t>CUST0238</t>
  </si>
  <si>
    <t>ORD00358</t>
  </si>
  <si>
    <t>ORD00359</t>
  </si>
  <si>
    <t>CUST0179</t>
  </si>
  <si>
    <t>ORD00360</t>
  </si>
  <si>
    <t>ORD00361</t>
  </si>
  <si>
    <t>CUST0300</t>
  </si>
  <si>
    <t>ORD00362</t>
  </si>
  <si>
    <t>CUST0294</t>
  </si>
  <si>
    <t>ORD00363</t>
  </si>
  <si>
    <t>ORD00364</t>
  </si>
  <si>
    <t>CUST0060</t>
  </si>
  <si>
    <t>ORD00365</t>
  </si>
  <si>
    <t>ORD00366</t>
  </si>
  <si>
    <t>ORD00367</t>
  </si>
  <si>
    <t>ORD00368</t>
  </si>
  <si>
    <t>ORD00369</t>
  </si>
  <si>
    <t>ORD00370</t>
  </si>
  <si>
    <t>CUST0497</t>
  </si>
  <si>
    <t>ORD00371</t>
  </si>
  <si>
    <t>CUST0379</t>
  </si>
  <si>
    <t>ORD00372</t>
  </si>
  <si>
    <t>ORD00373</t>
  </si>
  <si>
    <t>ORD00374</t>
  </si>
  <si>
    <t>CUST0170</t>
  </si>
  <si>
    <t>ORD00375</t>
  </si>
  <si>
    <t>CUST0124</t>
  </si>
  <si>
    <t>ORD00376</t>
  </si>
  <si>
    <t>ORD00377</t>
  </si>
  <si>
    <t>ORD00378</t>
  </si>
  <si>
    <t>ORD00379</t>
  </si>
  <si>
    <t>CUST0104</t>
  </si>
  <si>
    <t>ORD00380</t>
  </si>
  <si>
    <t>CUST0569</t>
  </si>
  <si>
    <t>ORD00381</t>
  </si>
  <si>
    <t>ORD00382</t>
  </si>
  <si>
    <t>CUST0464</t>
  </si>
  <si>
    <t>ORD00383</t>
  </si>
  <si>
    <t>ORD00384</t>
  </si>
  <si>
    <t>ORD00385</t>
  </si>
  <si>
    <t>ORD00386</t>
  </si>
  <si>
    <t>ORD00387</t>
  </si>
  <si>
    <t>CUST0417</t>
  </si>
  <si>
    <t>ORD00388</t>
  </si>
  <si>
    <t>ORD00389</t>
  </si>
  <si>
    <t>CUST0257</t>
  </si>
  <si>
    <t>ORD00390</t>
  </si>
  <si>
    <t>CUST0088</t>
  </si>
  <si>
    <t>ORD00391</t>
  </si>
  <si>
    <t>CUST0391</t>
  </si>
  <si>
    <t>ORD00392</t>
  </si>
  <si>
    <t>CUST0337</t>
  </si>
  <si>
    <t>ORD00393</t>
  </si>
  <si>
    <t>ORD00394</t>
  </si>
  <si>
    <t>ORD00395</t>
  </si>
  <si>
    <t>CUST0593</t>
  </si>
  <si>
    <t>ORD00396</t>
  </si>
  <si>
    <t>CUST0493</t>
  </si>
  <si>
    <t>ORD00397</t>
  </si>
  <si>
    <t>CUST0031</t>
  </si>
  <si>
    <t>ORD00398</t>
  </si>
  <si>
    <t>CUST0347</t>
  </si>
  <si>
    <t>ORD00399</t>
  </si>
  <si>
    <t>CUST0440</t>
  </si>
  <si>
    <t>ORD00400</t>
  </si>
  <si>
    <t>ORD00401</t>
  </si>
  <si>
    <t>ORD00402</t>
  </si>
  <si>
    <t>ORD00403</t>
  </si>
  <si>
    <t>CUST0392</t>
  </si>
  <si>
    <t>ORD00404</t>
  </si>
  <si>
    <t>CUST0560</t>
  </si>
  <si>
    <t>ORD00405</t>
  </si>
  <si>
    <t>ORD00406</t>
  </si>
  <si>
    <t>ORD00407</t>
  </si>
  <si>
    <t>CUST0430</t>
  </si>
  <si>
    <t>ORD00408</t>
  </si>
  <si>
    <t>ORD00409</t>
  </si>
  <si>
    <t>ORD00410</t>
  </si>
  <si>
    <t>CUST0161</t>
  </si>
  <si>
    <t>ORD00411</t>
  </si>
  <si>
    <t>ORD00412</t>
  </si>
  <si>
    <t>CUST0468</t>
  </si>
  <si>
    <t>ORD00413</t>
  </si>
  <si>
    <t>ORD00414</t>
  </si>
  <si>
    <t>CUST0420</t>
  </si>
  <si>
    <t>ORD00415</t>
  </si>
  <si>
    <t>CUST0335</t>
  </si>
  <si>
    <t>ORD00416</t>
  </si>
  <si>
    <t>ORD00417</t>
  </si>
  <si>
    <t>ORD00418</t>
  </si>
  <si>
    <t>ORD00419</t>
  </si>
  <si>
    <t>CUST0178</t>
  </si>
  <si>
    <t>ORD00420</t>
  </si>
  <si>
    <t>CUST0583</t>
  </si>
  <si>
    <t>ORD00421</t>
  </si>
  <si>
    <t>ORD00422</t>
  </si>
  <si>
    <t>CUST0511</t>
  </si>
  <si>
    <t>ORD00423</t>
  </si>
  <si>
    <t>ORD00424</t>
  </si>
  <si>
    <t>ORD00425</t>
  </si>
  <si>
    <t>ORD00426</t>
  </si>
  <si>
    <t>CUST0021</t>
  </si>
  <si>
    <t>ORD00427</t>
  </si>
  <si>
    <t>CUST0342</t>
  </si>
  <si>
    <t>ORD00428</t>
  </si>
  <si>
    <t>ORD00429</t>
  </si>
  <si>
    <t>CUST0435</t>
  </si>
  <si>
    <t>ORD00430</t>
  </si>
  <si>
    <t>CUST0095</t>
  </si>
  <si>
    <t>ORD00431</t>
  </si>
  <si>
    <t>ORD00432</t>
  </si>
  <si>
    <t>CUST0181</t>
  </si>
  <si>
    <t>ORD00433</t>
  </si>
  <si>
    <t>CUST0112</t>
  </si>
  <si>
    <t>ORD00434</t>
  </si>
  <si>
    <t>CUST0100</t>
  </si>
  <si>
    <t>ORD00435</t>
  </si>
  <si>
    <t>CUST0059</t>
  </si>
  <si>
    <t>ORD00436</t>
  </si>
  <si>
    <t>ORD00437</t>
  </si>
  <si>
    <t>CUST0488</t>
  </si>
  <si>
    <t>ORD00438</t>
  </si>
  <si>
    <t>ORD00439</t>
  </si>
  <si>
    <t>ORD00440</t>
  </si>
  <si>
    <t>CUST0266</t>
  </si>
  <si>
    <t>ORD00441</t>
  </si>
  <si>
    <t>ORD00442</t>
  </si>
  <si>
    <t>ORD00443</t>
  </si>
  <si>
    <t>ORD00444</t>
  </si>
  <si>
    <t>CUST0402</t>
  </si>
  <si>
    <t>ORD00445</t>
  </si>
  <si>
    <t>ORD00446</t>
  </si>
  <si>
    <t>ORD00447</t>
  </si>
  <si>
    <t>ORD00448</t>
  </si>
  <si>
    <t>ORD00449</t>
  </si>
  <si>
    <t>ORD00450</t>
  </si>
  <si>
    <t>ORD00451</t>
  </si>
  <si>
    <t>ORD00452</t>
  </si>
  <si>
    <t>ORD00453</t>
  </si>
  <si>
    <t>ORD00454</t>
  </si>
  <si>
    <t>ORD00455</t>
  </si>
  <si>
    <t>CUST0101</t>
  </si>
  <si>
    <t>ORD00456</t>
  </si>
  <si>
    <t>CUST0326</t>
  </si>
  <si>
    <t>ORD00457</t>
  </si>
  <si>
    <t>ORD00458</t>
  </si>
  <si>
    <t>CUST0313</t>
  </si>
  <si>
    <t>ORD00459</t>
  </si>
  <si>
    <t>ORD00460</t>
  </si>
  <si>
    <t>CUST0044</t>
  </si>
  <si>
    <t>ORD00461</t>
  </si>
  <si>
    <t>ORD00462</t>
  </si>
  <si>
    <t>ORD00463</t>
  </si>
  <si>
    <t>CUST0158</t>
  </si>
  <si>
    <t>ORD00464</t>
  </si>
  <si>
    <t>ORD00465</t>
  </si>
  <si>
    <t>ORD00466</t>
  </si>
  <si>
    <t>ORD00467</t>
  </si>
  <si>
    <t>CUST0524</t>
  </si>
  <si>
    <t>ORD00468</t>
  </si>
  <si>
    <t>ORD00469</t>
  </si>
  <si>
    <t>ORD00470</t>
  </si>
  <si>
    <t>ORD00471</t>
  </si>
  <si>
    <t>ORD00472</t>
  </si>
  <si>
    <t>CUST0102</t>
  </si>
  <si>
    <t>ORD00473</t>
  </si>
  <si>
    <t>ORD00474</t>
  </si>
  <si>
    <t>CUST0546</t>
  </si>
  <si>
    <t>ORD00475</t>
  </si>
  <si>
    <t>CUST0538</t>
  </si>
  <si>
    <t>ORD00476</t>
  </si>
  <si>
    <t>CUST0053</t>
  </si>
  <si>
    <t>ORD00477</t>
  </si>
  <si>
    <t>CUST0225</t>
  </si>
  <si>
    <t>ORD00478</t>
  </si>
  <si>
    <t>ORD00479</t>
  </si>
  <si>
    <t>CUST0318</t>
  </si>
  <si>
    <t>ORD00480</t>
  </si>
  <si>
    <t>ORD00481</t>
  </si>
  <si>
    <t>ORD00482</t>
  </si>
  <si>
    <t>ORD00483</t>
  </si>
  <si>
    <t>CUST0174</t>
  </si>
  <si>
    <t>ORD00484</t>
  </si>
  <si>
    <t>ORD00485</t>
  </si>
  <si>
    <t>CUST0152</t>
  </si>
  <si>
    <t>ORD00486</t>
  </si>
  <si>
    <t>ORD00487</t>
  </si>
  <si>
    <t>CUST0595</t>
  </si>
  <si>
    <t>ORD00488</t>
  </si>
  <si>
    <t>CUST0358</t>
  </si>
  <si>
    <t>ORD00489</t>
  </si>
  <si>
    <t>ORD00490</t>
  </si>
  <si>
    <t>CUST0307</t>
  </si>
  <si>
    <t>ORD00491</t>
  </si>
  <si>
    <t>CUST0434</t>
  </si>
  <si>
    <t>ORD00492</t>
  </si>
  <si>
    <t>ORD00493</t>
  </si>
  <si>
    <t>CUST0277</t>
  </si>
  <si>
    <t>ORD00494</t>
  </si>
  <si>
    <t>ORD00495</t>
  </si>
  <si>
    <t>ORD00496</t>
  </si>
  <si>
    <t>CUST0298</t>
  </si>
  <si>
    <t>ORD00497</t>
  </si>
  <si>
    <t>CUST0442</t>
  </si>
  <si>
    <t>ORD00498</t>
  </si>
  <si>
    <t>ORD00499</t>
  </si>
  <si>
    <t>ORD00500</t>
  </si>
  <si>
    <t>ORD00501</t>
  </si>
  <si>
    <t>ORD00502</t>
  </si>
  <si>
    <t>ORD00503</t>
  </si>
  <si>
    <t>CUST0219</t>
  </si>
  <si>
    <t>ORD00504</t>
  </si>
  <si>
    <t>ORD00505</t>
  </si>
  <si>
    <t>ORD00506</t>
  </si>
  <si>
    <t>CUST0117</t>
  </si>
  <si>
    <t>ORD00507</t>
  </si>
  <si>
    <t>CUST0222</t>
  </si>
  <si>
    <t>ORD00508</t>
  </si>
  <si>
    <t>CUST0361</t>
  </si>
  <si>
    <t>ORD00509</t>
  </si>
  <si>
    <t>ORD00510</t>
  </si>
  <si>
    <t>ORD00511</t>
  </si>
  <si>
    <t>CUST0248</t>
  </si>
  <si>
    <t>ORD00512</t>
  </si>
  <si>
    <t>ORD00513</t>
  </si>
  <si>
    <t>ORD00514</t>
  </si>
  <si>
    <t>CUST0192</t>
  </si>
  <si>
    <t>ORD00515</t>
  </si>
  <si>
    <t>ORD00516</t>
  </si>
  <si>
    <t>ORD00517</t>
  </si>
  <si>
    <t>CUST0261</t>
  </si>
  <si>
    <t>ORD00518</t>
  </si>
  <si>
    <t>CUST0494</t>
  </si>
  <si>
    <t>ORD00519</t>
  </si>
  <si>
    <t>CUST0598</t>
  </si>
  <si>
    <t>ORD00520</t>
  </si>
  <si>
    <t>ORD00521</t>
  </si>
  <si>
    <t>CUST0252</t>
  </si>
  <si>
    <t>ORD00522</t>
  </si>
  <si>
    <t>ORD00523</t>
  </si>
  <si>
    <t>ORD00524</t>
  </si>
  <si>
    <t>CUST0541</t>
  </si>
  <si>
    <t>ORD00525</t>
  </si>
  <si>
    <t>CUST0506</t>
  </si>
  <si>
    <t>ORD00526</t>
  </si>
  <si>
    <t>ORD00527</t>
  </si>
  <si>
    <t>ORD00528</t>
  </si>
  <si>
    <t>CUST0077</t>
  </si>
  <si>
    <t>ORD00529</t>
  </si>
  <si>
    <t>ORD00530</t>
  </si>
  <si>
    <t>CUST0473</t>
  </si>
  <si>
    <t>ORD00531</t>
  </si>
  <si>
    <t>CUST0407</t>
  </si>
  <si>
    <t>ORD00532</t>
  </si>
  <si>
    <t>ORD00533</t>
  </si>
  <si>
    <t>ORD00534</t>
  </si>
  <si>
    <t>ORD00535</t>
  </si>
  <si>
    <t>ORD00536</t>
  </si>
  <si>
    <t>CUST0503</t>
  </si>
  <si>
    <t>ORD00537</t>
  </si>
  <si>
    <t>ORD00538</t>
  </si>
  <si>
    <t>ORD00539</t>
  </si>
  <si>
    <t>CUST0296</t>
  </si>
  <si>
    <t>ORD00540</t>
  </si>
  <si>
    <t>ORD00541</t>
  </si>
  <si>
    <t>ORD00542</t>
  </si>
  <si>
    <t>CUST0319</t>
  </si>
  <si>
    <t>ORD00543</t>
  </si>
  <si>
    <t>CUST0559</t>
  </si>
  <si>
    <t>ORD00544</t>
  </si>
  <si>
    <t>ORD00545</t>
  </si>
  <si>
    <t>ORD00546</t>
  </si>
  <si>
    <t>CUST0210</t>
  </si>
  <si>
    <t>ORD00547</t>
  </si>
  <si>
    <t>ORD00548</t>
  </si>
  <si>
    <t>ORD00549</t>
  </si>
  <si>
    <t>ORD00550</t>
  </si>
  <si>
    <t>ORD00551</t>
  </si>
  <si>
    <t>ORD00552</t>
  </si>
  <si>
    <t>CUST0133</t>
  </si>
  <si>
    <t>ORD00553</t>
  </si>
  <si>
    <t>ORD00554</t>
  </si>
  <si>
    <t>CUST0588</t>
  </si>
  <si>
    <t>ORD00555</t>
  </si>
  <si>
    <t>ORD00556</t>
  </si>
  <si>
    <t>ORD00557</t>
  </si>
  <si>
    <t>ORD00558</t>
  </si>
  <si>
    <t>ORD00559</t>
  </si>
  <si>
    <t>ORD00560</t>
  </si>
  <si>
    <t>ORD00561</t>
  </si>
  <si>
    <t>CUST0441</t>
  </si>
  <si>
    <t>ORD00562</t>
  </si>
  <si>
    <t>CUST0582</t>
  </si>
  <si>
    <t>ORD00563</t>
  </si>
  <si>
    <t>CUST0408</t>
  </si>
  <si>
    <t>ORD00564</t>
  </si>
  <si>
    <t>CUST0327</t>
  </si>
  <si>
    <t>ORD00565</t>
  </si>
  <si>
    <t>CUST0146</t>
  </si>
  <si>
    <t>ORD00566</t>
  </si>
  <si>
    <t>ORD00567</t>
  </si>
  <si>
    <t>CUST0269</t>
  </si>
  <si>
    <t>ORD00568</t>
  </si>
  <si>
    <t>ORD00569</t>
  </si>
  <si>
    <t>ORD00570</t>
  </si>
  <si>
    <t>ORD00571</t>
  </si>
  <si>
    <t>CUST0151</t>
  </si>
  <si>
    <t>ORD00572</t>
  </si>
  <si>
    <t>CUST0554</t>
  </si>
  <si>
    <t>ORD00573</t>
  </si>
  <si>
    <t>ORD00574</t>
  </si>
  <si>
    <t>ORD00575</t>
  </si>
  <si>
    <t>CUST0579</t>
  </si>
  <si>
    <t>ORD00576</t>
  </si>
  <si>
    <t>ORD00577</t>
  </si>
  <si>
    <t>CUST0429</t>
  </si>
  <si>
    <t>ORD00578</t>
  </si>
  <si>
    <t>CUST0590</t>
  </si>
  <si>
    <t>ORD00579</t>
  </si>
  <si>
    <t>CUST0171</t>
  </si>
  <si>
    <t>ORD00580</t>
  </si>
  <si>
    <t>ORD00581</t>
  </si>
  <si>
    <t>CUST0156</t>
  </si>
  <si>
    <t>ORD00582</t>
  </si>
  <si>
    <t>ORD00583</t>
  </si>
  <si>
    <t>ORD00584</t>
  </si>
  <si>
    <t>CUST0041</t>
  </si>
  <si>
    <t>ORD00585</t>
  </si>
  <si>
    <t>CUST0443</t>
  </si>
  <si>
    <t>ORD00586</t>
  </si>
  <si>
    <t>CUST0323</t>
  </si>
  <si>
    <t>ORD00587</t>
  </si>
  <si>
    <t>ORD00588</t>
  </si>
  <si>
    <t>ORD00589</t>
  </si>
  <si>
    <t>ORD00590</t>
  </si>
  <si>
    <t>CUST0422</t>
  </si>
  <si>
    <t>ORD00591</t>
  </si>
  <si>
    <t>CUST0275</t>
  </si>
  <si>
    <t>ORD00592</t>
  </si>
  <si>
    <t>CUST0022</t>
  </si>
  <si>
    <t>ORD00593</t>
  </si>
  <si>
    <t>CUST0166</t>
  </si>
  <si>
    <t>ORD00594</t>
  </si>
  <si>
    <t>ORD00595</t>
  </si>
  <si>
    <t>CUST0098</t>
  </si>
  <si>
    <t>ORD00596</t>
  </si>
  <si>
    <t>ORD00597</t>
  </si>
  <si>
    <t>ORD00598</t>
  </si>
  <si>
    <t>ORD00599</t>
  </si>
  <si>
    <t>CUST0006</t>
  </si>
  <si>
    <t>ORD00600</t>
  </si>
  <si>
    <t>ORD00601</t>
  </si>
  <si>
    <t>CUST0010</t>
  </si>
  <si>
    <t>ORD00602</t>
  </si>
  <si>
    <t>CUST0258</t>
  </si>
  <si>
    <t>ORD00603</t>
  </si>
  <si>
    <t>ORD00604</t>
  </si>
  <si>
    <t>ORD00605</t>
  </si>
  <si>
    <t>CUST0535</t>
  </si>
  <si>
    <t>ORD00606</t>
  </si>
  <si>
    <t>ORD00607</t>
  </si>
  <si>
    <t>ORD00608</t>
  </si>
  <si>
    <t>ORD00609</t>
  </si>
  <si>
    <t>ORD00610</t>
  </si>
  <si>
    <t>ORD00611</t>
  </si>
  <si>
    <t>CUST0085</t>
  </si>
  <si>
    <t>ORD00612</t>
  </si>
  <si>
    <t>CUST0376</t>
  </si>
  <si>
    <t>ORD00613</t>
  </si>
  <si>
    <t>CUST0518</t>
  </si>
  <si>
    <t>ORD00614</t>
  </si>
  <si>
    <t>CUST0187</t>
  </si>
  <si>
    <t>ORD00615</t>
  </si>
  <si>
    <t>ORD00616</t>
  </si>
  <si>
    <t>ORD00617</t>
  </si>
  <si>
    <t>CUST0516</t>
  </si>
  <si>
    <t>ORD00618</t>
  </si>
  <si>
    <t>CUST0578</t>
  </si>
  <si>
    <t>ORD00619</t>
  </si>
  <si>
    <t>ORD00620</t>
  </si>
  <si>
    <t>CUST0240</t>
  </si>
  <si>
    <t>ORD00621</t>
  </si>
  <si>
    <t>ORD00622</t>
  </si>
  <si>
    <t>CUST0251</t>
  </si>
  <si>
    <t>ORD00623</t>
  </si>
  <si>
    <t>ORD00624</t>
  </si>
  <si>
    <t>CUST0183</t>
  </si>
  <si>
    <t>ORD00625</t>
  </si>
  <si>
    <t>ORD00626</t>
  </si>
  <si>
    <t>ORD00627</t>
  </si>
  <si>
    <t>ORD00628</t>
  </si>
  <si>
    <t>ORD00629</t>
  </si>
  <si>
    <t>ORD00630</t>
  </si>
  <si>
    <t>ORD00631</t>
  </si>
  <si>
    <t>ORD00632</t>
  </si>
  <si>
    <t>CUST0384</t>
  </si>
  <si>
    <t>ORD00633</t>
  </si>
  <si>
    <t>ORD00634</t>
  </si>
  <si>
    <t>ORD00635</t>
  </si>
  <si>
    <t>ORD00636</t>
  </si>
  <si>
    <t>ORD00637</t>
  </si>
  <si>
    <t>CUST0127</t>
  </si>
  <si>
    <t>ORD00638</t>
  </si>
  <si>
    <t>ORD00639</t>
  </si>
  <si>
    <t>ORD00640</t>
  </si>
  <si>
    <t>CUST0094</t>
  </si>
  <si>
    <t>ORD00641</t>
  </si>
  <si>
    <t>ORD00642</t>
  </si>
  <si>
    <t>CUST0072</t>
  </si>
  <si>
    <t>ORD00643</t>
  </si>
  <si>
    <t>ORD00644</t>
  </si>
  <si>
    <t>ORD00645</t>
  </si>
  <si>
    <t>ORD00646</t>
  </si>
  <si>
    <t>ORD00647</t>
  </si>
  <si>
    <t>ORD00648</t>
  </si>
  <si>
    <t>ORD00649</t>
  </si>
  <si>
    <t>ORD00650</t>
  </si>
  <si>
    <t>ORD00651</t>
  </si>
  <si>
    <t>CUST0311</t>
  </si>
  <si>
    <t>ORD00652</t>
  </si>
  <si>
    <t>CUST0103</t>
  </si>
  <si>
    <t>ORD00653</t>
  </si>
  <si>
    <t>CUST0505</t>
  </si>
  <si>
    <t>ORD00654</t>
  </si>
  <si>
    <t>ORD00655</t>
  </si>
  <si>
    <t>CUST0514</t>
  </si>
  <si>
    <t>ORD00656</t>
  </si>
  <si>
    <t>CUST0486</t>
  </si>
  <si>
    <t>ORD00657</t>
  </si>
  <si>
    <t>ORD00658</t>
  </si>
  <si>
    <t>ORD00659</t>
  </si>
  <si>
    <t>ORD00660</t>
  </si>
  <si>
    <t>ORD00661</t>
  </si>
  <si>
    <t>ORD00662</t>
  </si>
  <si>
    <t>ORD00663</t>
  </si>
  <si>
    <t>ORD00664</t>
  </si>
  <si>
    <t>ORD00665</t>
  </si>
  <si>
    <t>CUST0229</t>
  </si>
  <si>
    <t>ORD00666</t>
  </si>
  <si>
    <t>ORD00667</t>
  </si>
  <si>
    <t>ORD00668</t>
  </si>
  <si>
    <t>ORD00669</t>
  </si>
  <si>
    <t>ORD00670</t>
  </si>
  <si>
    <t>CUST0332</t>
  </si>
  <si>
    <t>ORD00671</t>
  </si>
  <si>
    <t>CUST0425</t>
  </si>
  <si>
    <t>ORD00672</t>
  </si>
  <si>
    <t>CUST0030</t>
  </si>
  <si>
    <t>ORD00673</t>
  </si>
  <si>
    <t>CUST0068</t>
  </si>
  <si>
    <t>ORD00674</t>
  </si>
  <si>
    <t>CUST0490</t>
  </si>
  <si>
    <t>ORD00675</t>
  </si>
  <si>
    <t>ORD00676</t>
  </si>
  <si>
    <t>ORD00677</t>
  </si>
  <si>
    <t>ORD00678</t>
  </si>
  <si>
    <t>ORD00679</t>
  </si>
  <si>
    <t>ORD00680</t>
  </si>
  <si>
    <t>ORD00681</t>
  </si>
  <si>
    <t>ORD00682</t>
  </si>
  <si>
    <t>ORD00683</t>
  </si>
  <si>
    <t>CUST0412</t>
  </si>
  <si>
    <t>ORD00684</t>
  </si>
  <si>
    <t>ORD00685</t>
  </si>
  <si>
    <t>ORD00686</t>
  </si>
  <si>
    <t>ORD00687</t>
  </si>
  <si>
    <t>CUST0580</t>
  </si>
  <si>
    <t>ORD00688</t>
  </si>
  <si>
    <t>ORD00689</t>
  </si>
  <si>
    <t>ORD00690</t>
  </si>
  <si>
    <t>ORD00691</t>
  </si>
  <si>
    <t>ORD00692</t>
  </si>
  <si>
    <t>CUST0574</t>
  </si>
  <si>
    <t>ORD00693</t>
  </si>
  <si>
    <t>ORD00694</t>
  </si>
  <si>
    <t>CUST0304</t>
  </si>
  <si>
    <t>ORD00695</t>
  </si>
  <si>
    <t>CUST0270</t>
  </si>
  <si>
    <t>ORD00696</t>
  </si>
  <si>
    <t>ORD00697</t>
  </si>
  <si>
    <t>ORD00698</t>
  </si>
  <si>
    <t>CUST0137</t>
  </si>
  <si>
    <t>ORD00699</t>
  </si>
  <si>
    <t>ORD00700</t>
  </si>
  <si>
    <t>CUST0418</t>
  </si>
  <si>
    <t>ORD00701</t>
  </si>
  <si>
    <t>ORD00702</t>
  </si>
  <si>
    <t>CUST0577</t>
  </si>
  <si>
    <t>ORD00703</t>
  </si>
  <si>
    <t>ORD00704</t>
  </si>
  <si>
    <t>ORD00705</t>
  </si>
  <si>
    <t>CUST0492</t>
  </si>
  <si>
    <t>ORD00706</t>
  </si>
  <si>
    <t>ORD00707</t>
  </si>
  <si>
    <t>ORD00708</t>
  </si>
  <si>
    <t>ORD00709</t>
  </si>
  <si>
    <t>ORD00710</t>
  </si>
  <si>
    <t>ORD00711</t>
  </si>
  <si>
    <t>CUST0011</t>
  </si>
  <si>
    <t>ORD00712</t>
  </si>
  <si>
    <t>ORD00713</t>
  </si>
  <si>
    <t>CUST0115</t>
  </si>
  <si>
    <t>ORD00714</t>
  </si>
  <si>
    <t>ORD00715</t>
  </si>
  <si>
    <t>ORD00716</t>
  </si>
  <si>
    <t>ORD00717</t>
  </si>
  <si>
    <t>CUST0076</t>
  </si>
  <si>
    <t>ORD00718</t>
  </si>
  <si>
    <t>ORD00719</t>
  </si>
  <si>
    <t>ORD00720</t>
  </si>
  <si>
    <t>ORD00721</t>
  </si>
  <si>
    <t>ORD00722</t>
  </si>
  <si>
    <t>CUST0160</t>
  </si>
  <si>
    <t>ORD00723</t>
  </si>
  <si>
    <t>ORD00724</t>
  </si>
  <si>
    <t>ORD00725</t>
  </si>
  <si>
    <t>CUST0456</t>
  </si>
  <si>
    <t>ORD00726</t>
  </si>
  <si>
    <t>ORD00727</t>
  </si>
  <si>
    <t>CUST0507</t>
  </si>
  <si>
    <t>ORD00728</t>
  </si>
  <si>
    <t>ORD00729</t>
  </si>
  <si>
    <t>ORD00730</t>
  </si>
  <si>
    <t>CUST0289</t>
  </si>
  <si>
    <t>ORD00731</t>
  </si>
  <si>
    <t>ORD00732</t>
  </si>
  <si>
    <t>ORD00733</t>
  </si>
  <si>
    <t>CUST0063</t>
  </si>
  <si>
    <t>ORD00734</t>
  </si>
  <si>
    <t>ORD00735</t>
  </si>
  <si>
    <t>ORD00736</t>
  </si>
  <si>
    <t>ORD00737</t>
  </si>
  <si>
    <t>ORD00738</t>
  </si>
  <si>
    <t>ORD00739</t>
  </si>
  <si>
    <t>ORD00740</t>
  </si>
  <si>
    <t>ORD00741</t>
  </si>
  <si>
    <t>ORD00742</t>
  </si>
  <si>
    <t>ORD00743</t>
  </si>
  <si>
    <t>CUST0373</t>
  </si>
  <si>
    <t>ORD00744</t>
  </si>
  <si>
    <t>ORD00745</t>
  </si>
  <si>
    <t>CUST0432</t>
  </si>
  <si>
    <t>ORD00746</t>
  </si>
  <si>
    <t>CUST0167</t>
  </si>
  <si>
    <t>ORD00747</t>
  </si>
  <si>
    <t>ORD00748</t>
  </si>
  <si>
    <t>CUST0369</t>
  </si>
  <si>
    <t>ORD00749</t>
  </si>
  <si>
    <t>ORD00750</t>
  </si>
  <si>
    <t>CUST0331</t>
  </si>
  <si>
    <t>ORD00751</t>
  </si>
  <si>
    <t>ORD00752</t>
  </si>
  <si>
    <t>CUST0201</t>
  </si>
  <si>
    <t>ORD00753</t>
  </si>
  <si>
    <t>ORD00754</t>
  </si>
  <si>
    <t>CUST0398</t>
  </si>
  <si>
    <t>ORD00755</t>
  </si>
  <si>
    <t>ORD00756</t>
  </si>
  <si>
    <t>ORD00757</t>
  </si>
  <si>
    <t>ORD00758</t>
  </si>
  <si>
    <t>CUST0046</t>
  </si>
  <si>
    <t>ORD00759</t>
  </si>
  <si>
    <t>ORD00760</t>
  </si>
  <si>
    <t>ORD00761</t>
  </si>
  <si>
    <t>ORD00762</t>
  </si>
  <si>
    <t>ORD00763</t>
  </si>
  <si>
    <t>CUST0536</t>
  </si>
  <si>
    <t>ORD00764</t>
  </si>
  <si>
    <t>ORD00765</t>
  </si>
  <si>
    <t>ORD00766</t>
  </si>
  <si>
    <t>CUST0043</t>
  </si>
  <si>
    <t>ORD00767</t>
  </si>
  <si>
    <t>ORD00768</t>
  </si>
  <si>
    <t>ORD00769</t>
  </si>
  <si>
    <t>ORD00770</t>
  </si>
  <si>
    <t>ORD00771</t>
  </si>
  <si>
    <t>ORD00772</t>
  </si>
  <si>
    <t>CUST0090</t>
  </si>
  <si>
    <t>ORD00773</t>
  </si>
  <si>
    <t>ORD00774</t>
  </si>
  <si>
    <t>CUST0273</t>
  </si>
  <si>
    <t>ORD00775</t>
  </si>
  <si>
    <t>ORD00776</t>
  </si>
  <si>
    <t>ORD00777</t>
  </si>
  <si>
    <t>CUST0534</t>
  </si>
  <si>
    <t>ORD00778</t>
  </si>
  <si>
    <t>ORD00779</t>
  </si>
  <si>
    <t>CUST0278</t>
  </si>
  <si>
    <t>ORD00780</t>
  </si>
  <si>
    <t>CUST0143</t>
  </si>
  <si>
    <t>ORD00781</t>
  </si>
  <si>
    <t>ORD00782</t>
  </si>
  <si>
    <t>CUST0194</t>
  </si>
  <si>
    <t>ORD00783</t>
  </si>
  <si>
    <t>ORD00784</t>
  </si>
  <si>
    <t>CUST0062</t>
  </si>
  <si>
    <t>ORD00785</t>
  </si>
  <si>
    <t>ORD00786</t>
  </si>
  <si>
    <t>ORD00787</t>
  </si>
  <si>
    <t>ORD00788</t>
  </si>
  <si>
    <t>CUST0512</t>
  </si>
  <si>
    <t>ORD00789</t>
  </si>
  <si>
    <t>ORD00790</t>
  </si>
  <si>
    <t>CUST0447</t>
  </si>
  <si>
    <t>ORD00791</t>
  </si>
  <si>
    <t>CUST0235</t>
  </si>
  <si>
    <t>ORD00792</t>
  </si>
  <si>
    <t>ORD00793</t>
  </si>
  <si>
    <t>ORD00794</t>
  </si>
  <si>
    <t>ORD00795</t>
  </si>
  <si>
    <t>ORD00796</t>
  </si>
  <si>
    <t>ORD00797</t>
  </si>
  <si>
    <t>ORD00798</t>
  </si>
  <si>
    <t>CUST0233</t>
  </si>
  <si>
    <t>ORD00799</t>
  </si>
  <si>
    <t>CUST0359</t>
  </si>
  <si>
    <t>ORD00800</t>
  </si>
  <si>
    <t>CUST0012</t>
  </si>
  <si>
    <t>ORD00801</t>
  </si>
  <si>
    <t>ORD00802</t>
  </si>
  <si>
    <t>ORD00803</t>
  </si>
  <si>
    <t>CUST0438</t>
  </si>
  <si>
    <t>ORD00804</t>
  </si>
  <si>
    <t>ORD00805</t>
  </si>
  <si>
    <t>ORD00806</t>
  </si>
  <si>
    <t>ORD00807</t>
  </si>
  <si>
    <t>ORD00808</t>
  </si>
  <si>
    <t>ORD00809</t>
  </si>
  <si>
    <t>CUST0003</t>
  </si>
  <si>
    <t>ORD00810</t>
  </si>
  <si>
    <t>ORD00811</t>
  </si>
  <si>
    <t>ORD00812</t>
  </si>
  <si>
    <t>CUST0317</t>
  </si>
  <si>
    <t>ORD00813</t>
  </si>
  <si>
    <t>ORD00814</t>
  </si>
  <si>
    <t>CUST0033</t>
  </si>
  <si>
    <t>ORD00815</t>
  </si>
  <si>
    <t>ORD00816</t>
  </si>
  <si>
    <t>ORD00817</t>
  </si>
  <si>
    <t>CUST0202</t>
  </si>
  <si>
    <t>ORD00818</t>
  </si>
  <si>
    <t>ORD00819</t>
  </si>
  <si>
    <t>CUST0461</t>
  </si>
  <si>
    <t>ORD00820</t>
  </si>
  <si>
    <t>CUST0547</t>
  </si>
  <si>
    <t>ORD00821</t>
  </si>
  <si>
    <t>ORD00822</t>
  </si>
  <si>
    <t>CUST0125</t>
  </si>
  <si>
    <t>ORD00823</t>
  </si>
  <si>
    <t>CUST0365</t>
  </si>
  <si>
    <t>ORD00824</t>
  </si>
  <si>
    <t>ORD00825</t>
  </si>
  <si>
    <t>CUST0571</t>
  </si>
  <si>
    <t>ORD00826</t>
  </si>
  <si>
    <t>ORD00827</t>
  </si>
  <si>
    <t>ORD00828</t>
  </si>
  <si>
    <t>ORD00829</t>
  </si>
  <si>
    <t>ORD00830</t>
  </si>
  <si>
    <t>ORD00831</t>
  </si>
  <si>
    <t>ORD00832</t>
  </si>
  <si>
    <t>ORD00833</t>
  </si>
  <si>
    <t>ORD00834</t>
  </si>
  <si>
    <t>ORD00835</t>
  </si>
  <si>
    <t>CUST0216</t>
  </si>
  <si>
    <t>ORD00836</t>
  </si>
  <si>
    <t>ORD00837</t>
  </si>
  <si>
    <t>ORD00838</t>
  </si>
  <si>
    <t>CUST0206</t>
  </si>
  <si>
    <t>ORD00839</t>
  </si>
  <si>
    <t>ORD00840</t>
  </si>
  <si>
    <t>CUST0589</t>
  </si>
  <si>
    <t>ORD00841</t>
  </si>
  <si>
    <t>ORD00842</t>
  </si>
  <si>
    <t>ORD00843</t>
  </si>
  <si>
    <t>ORD00844</t>
  </si>
  <si>
    <t>CUST0096</t>
  </si>
  <si>
    <t>ORD00845</t>
  </si>
  <si>
    <t>ORD00846</t>
  </si>
  <si>
    <t>ORD00847</t>
  </si>
  <si>
    <t>ORD00848</t>
  </si>
  <si>
    <t>ORD00849</t>
  </si>
  <si>
    <t>CUST0324</t>
  </si>
  <si>
    <t>ORD00850</t>
  </si>
  <si>
    <t>ORD00851</t>
  </si>
  <si>
    <t>ORD00852</t>
  </si>
  <si>
    <t>CUST0092</t>
  </si>
  <si>
    <t>ORD00853</t>
  </si>
  <si>
    <t>ORD00854</t>
  </si>
  <si>
    <t>ORD00855</t>
  </si>
  <si>
    <t>ORD00856</t>
  </si>
  <si>
    <t>ORD00857</t>
  </si>
  <si>
    <t>ORD00858</t>
  </si>
  <si>
    <t>ORD00859</t>
  </si>
  <si>
    <t>ORD00860</t>
  </si>
  <si>
    <t>CUST0159</t>
  </si>
  <si>
    <t>ORD00861</t>
  </si>
  <si>
    <t>ORD00862</t>
  </si>
  <si>
    <t>ORD00863</t>
  </si>
  <si>
    <t>ORD00864</t>
  </si>
  <si>
    <t>ORD00865</t>
  </si>
  <si>
    <t>CUST0539</t>
  </si>
  <si>
    <t>ORD00866</t>
  </si>
  <si>
    <t>ORD00867</t>
  </si>
  <si>
    <t>ORD00868</t>
  </si>
  <si>
    <t>ORD00869</t>
  </si>
  <si>
    <t>ORD00870</t>
  </si>
  <si>
    <t>ORD00871</t>
  </si>
  <si>
    <t>ORD00872</t>
  </si>
  <si>
    <t>ORD00873</t>
  </si>
  <si>
    <t>ORD00874</t>
  </si>
  <si>
    <t>CUST0568</t>
  </si>
  <si>
    <t>ORD00875</t>
  </si>
  <si>
    <t>ORD00876</t>
  </si>
  <si>
    <t>CUST0413</t>
  </si>
  <si>
    <t>ORD00877</t>
  </si>
  <si>
    <t>ORD00878</t>
  </si>
  <si>
    <t>ORD00879</t>
  </si>
  <si>
    <t>ORD00880</t>
  </si>
  <si>
    <t>ORD00881</t>
  </si>
  <si>
    <t>ORD00882</t>
  </si>
  <si>
    <t>ORD00883</t>
  </si>
  <si>
    <t>ORD00884</t>
  </si>
  <si>
    <t>ORD00885</t>
  </si>
  <si>
    <t>ORD00886</t>
  </si>
  <si>
    <t>ORD00887</t>
  </si>
  <si>
    <t>ORD00888</t>
  </si>
  <si>
    <t>ORD00889</t>
  </si>
  <si>
    <t>CUST0508</t>
  </si>
  <si>
    <t>ORD00890</t>
  </si>
  <si>
    <t>ORD00891</t>
  </si>
  <si>
    <t>ORD00892</t>
  </si>
  <si>
    <t>ORD00893</t>
  </si>
  <si>
    <t>CUST0419</t>
  </si>
  <si>
    <t>ORD00894</t>
  </si>
  <si>
    <t>ORD00895</t>
  </si>
  <si>
    <t>ORD00896</t>
  </si>
  <si>
    <t>ORD00897</t>
  </si>
  <si>
    <t>ORD00898</t>
  </si>
  <si>
    <t>CUST0037</t>
  </si>
  <si>
    <t>ORD00899</t>
  </si>
  <si>
    <t>CUST0066</t>
  </si>
  <si>
    <t>ORD00900</t>
  </si>
  <si>
    <t>ORD00901</t>
  </si>
  <si>
    <t>ORD00902</t>
  </si>
  <si>
    <t>ORD00903</t>
  </si>
  <si>
    <t>ORD00904</t>
  </si>
  <si>
    <t>ORD00905</t>
  </si>
  <si>
    <t>ORD00906</t>
  </si>
  <si>
    <t>ORD00907</t>
  </si>
  <si>
    <t>ORD00908</t>
  </si>
  <si>
    <t>ORD00909</t>
  </si>
  <si>
    <t>CUST0527</t>
  </si>
  <si>
    <t>ORD00910</t>
  </si>
  <si>
    <t>ORD00911</t>
  </si>
  <si>
    <t>ORD00912</t>
  </si>
  <si>
    <t>ORD00913</t>
  </si>
  <si>
    <t>ORD00914</t>
  </si>
  <si>
    <t>CUST0172</t>
  </si>
  <si>
    <t>ORD00915</t>
  </si>
  <si>
    <t>ORD00916</t>
  </si>
  <si>
    <t>ORD00917</t>
  </si>
  <si>
    <t>ORD00918</t>
  </si>
  <si>
    <t>ORD00919</t>
  </si>
  <si>
    <t>ORD00920</t>
  </si>
  <si>
    <t>ORD00921</t>
  </si>
  <si>
    <t>CUST0260</t>
  </si>
  <si>
    <t>ORD00922</t>
  </si>
  <si>
    <t>CUST0540</t>
  </si>
  <si>
    <t>ORD00923</t>
  </si>
  <si>
    <t>ORD00924</t>
  </si>
  <si>
    <t>CUST0190</t>
  </si>
  <si>
    <t>ORD00925</t>
  </si>
  <si>
    <t>CUST0472</t>
  </si>
  <si>
    <t>ORD00926</t>
  </si>
  <si>
    <t>CUST0284</t>
  </si>
  <si>
    <t>ORD00927</t>
  </si>
  <si>
    <t>ORD00928</t>
  </si>
  <si>
    <t>CUST0186</t>
  </si>
  <si>
    <t>ORD00929</t>
  </si>
  <si>
    <t>ORD00930</t>
  </si>
  <si>
    <t>ORD00931</t>
  </si>
  <si>
    <t>CUST0002</t>
  </si>
  <si>
    <t>ORD00932</t>
  </si>
  <si>
    <t>ORD00933</t>
  </si>
  <si>
    <t>ORD00934</t>
  </si>
  <si>
    <t>ORD00935</t>
  </si>
  <si>
    <t>CUST0463</t>
  </si>
  <si>
    <t>ORD00936</t>
  </si>
  <si>
    <t>ORD00937</t>
  </si>
  <si>
    <t>ORD00938</t>
  </si>
  <si>
    <t>ORD00939</t>
  </si>
  <si>
    <t>ORD00940</t>
  </si>
  <si>
    <t>ORD00941</t>
  </si>
  <si>
    <t>ORD00942</t>
  </si>
  <si>
    <t>ORD00943</t>
  </si>
  <si>
    <t>ORD00944</t>
  </si>
  <si>
    <t>ORD00945</t>
  </si>
  <si>
    <t>CUST0188</t>
  </si>
  <si>
    <t>ORD00946</t>
  </si>
  <si>
    <t>ORD00947</t>
  </si>
  <si>
    <t>ORD00948</t>
  </si>
  <si>
    <t>ORD00949</t>
  </si>
  <si>
    <t>ORD00950</t>
  </si>
  <si>
    <t>ORD00951</t>
  </si>
  <si>
    <t>ORD00952</t>
  </si>
  <si>
    <t>ORD00953</t>
  </si>
  <si>
    <t>ORD00954</t>
  </si>
  <si>
    <t>CUST0396</t>
  </si>
  <si>
    <t>ORD00955</t>
  </si>
  <si>
    <t>ORD00956</t>
  </si>
  <si>
    <t>CUST0367</t>
  </si>
  <si>
    <t>ORD00957</t>
  </si>
  <si>
    <t>CUST0329</t>
  </si>
  <si>
    <t>ORD00958</t>
  </si>
  <si>
    <t>ORD00959</t>
  </si>
  <si>
    <t>ORD00960</t>
  </si>
  <si>
    <t>ORD00961</t>
  </si>
  <si>
    <t>ORD00962</t>
  </si>
  <si>
    <t>ORD00963</t>
  </si>
  <si>
    <t>ORD00964</t>
  </si>
  <si>
    <t>ORD00965</t>
  </si>
  <si>
    <t>ORD00966</t>
  </si>
  <si>
    <t>ORD00967</t>
  </si>
  <si>
    <t>ORD00968</t>
  </si>
  <si>
    <t>ORD00969</t>
  </si>
  <si>
    <t>CUST0082</t>
  </si>
  <si>
    <t>ORD00970</t>
  </si>
  <si>
    <t>CUST0209</t>
  </si>
  <si>
    <t>ORD00971</t>
  </si>
  <si>
    <t>ORD00972</t>
  </si>
  <si>
    <t>ORD00973</t>
  </si>
  <si>
    <t>ORD00974</t>
  </si>
  <si>
    <t>ORD00975</t>
  </si>
  <si>
    <t>ORD00976</t>
  </si>
  <si>
    <t>CUST0354</t>
  </si>
  <si>
    <t>ORD00977</t>
  </si>
  <si>
    <t>ORD00978</t>
  </si>
  <si>
    <t>ORD00979</t>
  </si>
  <si>
    <t>CUST0386</t>
  </si>
  <si>
    <t>ORD00980</t>
  </si>
  <si>
    <t>ORD00981</t>
  </si>
  <si>
    <t>ORD00982</t>
  </si>
  <si>
    <t>ORD00983</t>
  </si>
  <si>
    <t>CUST0523</t>
  </si>
  <si>
    <t>ORD00984</t>
  </si>
  <si>
    <t>ORD00985</t>
  </si>
  <si>
    <t>ORD00986</t>
  </si>
  <si>
    <t>CUST0409</t>
  </si>
  <si>
    <t>ORD00987</t>
  </si>
  <si>
    <t>ORD00988</t>
  </si>
  <si>
    <t>ORD00989</t>
  </si>
  <si>
    <t>ORD00990</t>
  </si>
  <si>
    <t>ORD00991</t>
  </si>
  <si>
    <t>ORD00992</t>
  </si>
  <si>
    <t>ORD00993</t>
  </si>
  <si>
    <t>ORD00994</t>
  </si>
  <si>
    <t>CUST0287</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</si>
  <si>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</si>
  <si>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</si>
  <si>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</si>
  <si>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</si>
  <si>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</si>
  <si>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</si>
  <si>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</si>
  <si>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</si>
  <si>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</si>
  <si>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</si>
  <si>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</si>
  <si>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</si>
  <si>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</si>
  <si>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</si>
  <si>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</si>
  <si>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</si>
  <si>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</si>
  <si>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</si>
  <si>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</si>
  <si>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</si>
  <si>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</si>
  <si>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</si>
  <si>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</si>
  <si>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CUST0130</t>
  </si>
  <si>
    <t>ORD01018</t>
  </si>
  <si>
    <t>ORD01019</t>
  </si>
  <si>
    <t>ORD01020</t>
  </si>
  <si>
    <t>CUST0561</t>
  </si>
  <si>
    <t>ORD01021</t>
  </si>
  <si>
    <t>CUST0489</t>
  </si>
  <si>
    <t>ORD01022</t>
  </si>
  <si>
    <t>ORD01023</t>
  </si>
  <si>
    <t>ORD01024</t>
  </si>
  <si>
    <t>CUST0406</t>
  </si>
  <si>
    <t>ORD01025</t>
  </si>
  <si>
    <t>ORD01026</t>
  </si>
  <si>
    <t>ORD01027</t>
  </si>
  <si>
    <t>ORD01028</t>
  </si>
  <si>
    <t>ORD01029</t>
  </si>
  <si>
    <t>ORD01030</t>
  </si>
  <si>
    <t>ORD01031</t>
  </si>
  <si>
    <t>ORD01032</t>
  </si>
  <si>
    <t>ORD01033</t>
  </si>
  <si>
    <t>ORD01034</t>
  </si>
  <si>
    <t>ORD01035</t>
  </si>
  <si>
    <t>ORD01036</t>
  </si>
  <si>
    <t>ORD01037</t>
  </si>
  <si>
    <t>CUST0019</t>
  </si>
  <si>
    <t>ORD01038</t>
  </si>
  <si>
    <t>ORD01039</t>
  </si>
  <si>
    <t>CUST0350</t>
  </si>
  <si>
    <t>ORD01040</t>
  </si>
  <si>
    <t>ORD01041</t>
  </si>
  <si>
    <t>ORD01042</t>
  </si>
  <si>
    <t>ORD01043</t>
  </si>
  <si>
    <t>CUST0131</t>
  </si>
  <si>
    <t>ORD01044</t>
  </si>
  <si>
    <t>ORD01045</t>
  </si>
  <si>
    <t>ORD01046</t>
  </si>
  <si>
    <t>ORD01047</t>
  </si>
  <si>
    <t>ORD01048</t>
  </si>
  <si>
    <t>ORD01049</t>
  </si>
  <si>
    <t>ORD01050</t>
  </si>
  <si>
    <t>ORD01051</t>
  </si>
  <si>
    <t>ORD01052</t>
  </si>
  <si>
    <t>ORD01053</t>
  </si>
  <si>
    <t>CUST0509</t>
  </si>
  <si>
    <t>ORD01054</t>
  </si>
  <si>
    <t>ORD01055</t>
  </si>
  <si>
    <t>CUST0487</t>
  </si>
  <si>
    <t>ORD01056</t>
  </si>
  <si>
    <t>ORD01057</t>
  </si>
  <si>
    <t>ORD01058</t>
  </si>
  <si>
    <t>ORD01059</t>
  </si>
  <si>
    <t>ORD01060</t>
  </si>
  <si>
    <t>ORD01061</t>
  </si>
  <si>
    <t>ORD01062</t>
  </si>
  <si>
    <t>ORD01063</t>
  </si>
  <si>
    <t>ORD01064</t>
  </si>
  <si>
    <t>ORD01065</t>
  </si>
  <si>
    <t>CUST0039</t>
  </si>
  <si>
    <t>ORD01066</t>
  </si>
  <si>
    <t>ORD01067</t>
  </si>
  <si>
    <t>ORD01068</t>
  </si>
  <si>
    <t>ORD01069</t>
  </si>
  <si>
    <t>ORD01070</t>
  </si>
  <si>
    <t>CUST0293</t>
  </si>
  <si>
    <t>ORD01071</t>
  </si>
  <si>
    <t>ORD01072</t>
  </si>
  <si>
    <t>ORD01073</t>
  </si>
  <si>
    <t>ORD01074</t>
  </si>
  <si>
    <t>ORD01075</t>
  </si>
  <si>
    <t>ORD01076</t>
  </si>
  <si>
    <t>ORD01077</t>
  </si>
  <si>
    <t>ORD01078</t>
  </si>
  <si>
    <t>CUST0079</t>
  </si>
  <si>
    <t>ORD01079</t>
  </si>
  <si>
    <t>ORD01080</t>
  </si>
  <si>
    <t>ORD01081</t>
  </si>
  <si>
    <t>ORD01082</t>
  </si>
  <si>
    <t>ORD01083</t>
  </si>
  <si>
    <t>ORD01084</t>
  </si>
  <si>
    <t>ORD01085</t>
  </si>
  <si>
    <t>ORD01086</t>
  </si>
  <si>
    <t>ORD01087</t>
  </si>
  <si>
    <t>ORD01088</t>
  </si>
  <si>
    <t>CUST0552</t>
  </si>
  <si>
    <t>ORD01089</t>
  </si>
  <si>
    <t>ORD01090</t>
  </si>
  <si>
    <t>CUST0446</t>
  </si>
  <si>
    <t>ORD01091</t>
  </si>
  <si>
    <t>ORD01092</t>
  </si>
  <si>
    <t>CUST0285</t>
  </si>
  <si>
    <t>ORD01093</t>
  </si>
  <si>
    <t>ORD01094</t>
  </si>
  <si>
    <t>ORD01095</t>
  </si>
  <si>
    <t>ORD01096</t>
  </si>
  <si>
    <t>ORD01097</t>
  </si>
  <si>
    <t>ORD01098</t>
  </si>
  <si>
    <t>ORD01099</t>
  </si>
  <si>
    <t>ORD01100</t>
  </si>
  <si>
    <t>ORD01101</t>
  </si>
  <si>
    <t>ORD01102</t>
  </si>
  <si>
    <t>ORD01103</t>
  </si>
  <si>
    <t>ORD01104</t>
  </si>
  <si>
    <t>ORD01105</t>
  </si>
  <si>
    <t>ORD01106</t>
  </si>
  <si>
    <t>CUST0553</t>
  </si>
  <si>
    <t>ORD01107</t>
  </si>
  <si>
    <t>ORD01108</t>
  </si>
  <si>
    <t>ORD01109</t>
  </si>
  <si>
    <t>ORD01110</t>
  </si>
  <si>
    <t>ORD01111</t>
  </si>
  <si>
    <t>ORD01112</t>
  </si>
  <si>
    <t>ORD01113</t>
  </si>
  <si>
    <t>CUST0141</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</si>
  <si>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</si>
  <si>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</si>
  <si>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</si>
  <si>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</si>
  <si>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</si>
  <si>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</si>
  <si>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</si>
  <si>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</si>
  <si>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</si>
  <si>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</si>
  <si>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</si>
  <si>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</si>
  <si>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</si>
  <si>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</si>
  <si>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</si>
  <si>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</si>
  <si>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</si>
  <si>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</si>
  <si>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</si>
  <si>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</si>
  <si>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</si>
  <si>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</si>
  <si>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</si>
  <si>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</si>
  <si>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</si>
  <si>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CUST0522</t>
  </si>
  <si>
    <t>ORD01139</t>
  </si>
  <si>
    <t>ORD01140</t>
  </si>
  <si>
    <t>ORD01141</t>
  </si>
  <si>
    <t>ORD01142</t>
  </si>
  <si>
    <t>ORD01143</t>
  </si>
  <si>
    <t>ORD01144</t>
  </si>
  <si>
    <t>ORD01145</t>
  </si>
  <si>
    <t>ORD01146</t>
  </si>
  <si>
    <t>ORD01147</t>
  </si>
  <si>
    <t>ORD01148</t>
  </si>
  <si>
    <t>ORD01149</t>
  </si>
  <si>
    <t>ORD01150</t>
  </si>
  <si>
    <t>ORD01151</t>
  </si>
  <si>
    <t>ORD01152</t>
  </si>
  <si>
    <t>CUST0025</t>
  </si>
  <si>
    <t>ORD01153</t>
  </si>
  <si>
    <t>ORD01154</t>
  </si>
  <si>
    <t>ORD01155</t>
  </si>
  <si>
    <t>ORD01156</t>
  </si>
  <si>
    <t>CUST0236</t>
  </si>
  <si>
    <t>ORD01157</t>
  </si>
  <si>
    <t>ORD01158</t>
  </si>
  <si>
    <t>ORD01159</t>
  </si>
  <si>
    <t>ORD01160</t>
  </si>
  <si>
    <t>ORD01161</t>
  </si>
  <si>
    <t>ORD01162</t>
  </si>
  <si>
    <t>ORD01163</t>
  </si>
  <si>
    <t>ORD01164</t>
  </si>
  <si>
    <t>ORD01165</t>
  </si>
  <si>
    <t>CUST0018</t>
  </si>
  <si>
    <t>ORD01166</t>
  </si>
  <si>
    <t>ORD01167</t>
  </si>
  <si>
    <t>ORD01168</t>
  </si>
  <si>
    <t>CUST0510</t>
  </si>
  <si>
    <t>ORD01169</t>
  </si>
  <si>
    <t>ORD01170</t>
  </si>
  <si>
    <t>ORD01171</t>
  </si>
  <si>
    <t>ORD01172</t>
  </si>
  <si>
    <t>ORD01173</t>
  </si>
  <si>
    <t>CUST0315</t>
  </si>
  <si>
    <t>ORD01174</t>
  </si>
  <si>
    <t>ORD01175</t>
  </si>
  <si>
    <t>ORD01176</t>
  </si>
  <si>
    <t>ORD01177</t>
  </si>
  <si>
    <t>ORD01178</t>
  </si>
  <si>
    <t>CUST0051</t>
  </si>
  <si>
    <t>ORD01179</t>
  </si>
  <si>
    <t>ORD01180</t>
  </si>
  <si>
    <t>ORD01181</t>
  </si>
  <si>
    <t>ORD01182</t>
  </si>
  <si>
    <t>ORD01183</t>
  </si>
  <si>
    <t>ORD01184</t>
  </si>
  <si>
    <t>ORD01185</t>
  </si>
  <si>
    <t>CUST0374</t>
  </si>
  <si>
    <t>ORD01186</t>
  </si>
  <si>
    <t>ORD01187</t>
  </si>
  <si>
    <t>ORD01188</t>
  </si>
  <si>
    <t>CUST0338</t>
  </si>
  <si>
    <t>ORD01189</t>
  </si>
  <si>
    <t>ORD01190</t>
  </si>
  <si>
    <t>CUST0519</t>
  </si>
  <si>
    <t>ORD01191</t>
  </si>
  <si>
    <t>ORD01192</t>
  </si>
  <si>
    <t>ORD01193</t>
  </si>
  <si>
    <t>ORD01194</t>
  </si>
  <si>
    <t>ORD01195</t>
  </si>
  <si>
    <t>ORD01196</t>
  </si>
  <si>
    <t>ORD01197</t>
  </si>
  <si>
    <t>ORD01198</t>
  </si>
  <si>
    <t>ORD01199</t>
  </si>
  <si>
    <t>ORD01200</t>
  </si>
  <si>
    <t>ORD01201</t>
  </si>
  <si>
    <t>ORD01202</t>
  </si>
  <si>
    <t>ORD01203</t>
  </si>
  <si>
    <t>ORD01204</t>
  </si>
  <si>
    <t>CUST0333</t>
  </si>
  <si>
    <t>ORD01205</t>
  </si>
  <si>
    <t>ORD01206</t>
  </si>
  <si>
    <t>ORD01207</t>
  </si>
  <si>
    <t>ORD01208</t>
  </si>
  <si>
    <t>ORD01209</t>
  </si>
  <si>
    <t>ORD01210</t>
  </si>
  <si>
    <t>ORD01211</t>
  </si>
  <si>
    <t>ORD01212</t>
  </si>
  <si>
    <t>ORD01213</t>
  </si>
  <si>
    <t>ORD01214</t>
  </si>
  <si>
    <t>ORD01215</t>
  </si>
  <si>
    <t>ORD01216</t>
  </si>
  <si>
    <t>ORD01217</t>
  </si>
  <si>
    <t>ORD01218</t>
  </si>
  <si>
    <t>ORD01219</t>
  </si>
  <si>
    <t>CUST0349</t>
  </si>
  <si>
    <t>ORD01220</t>
  </si>
  <si>
    <t>ORD01221</t>
  </si>
  <si>
    <t>ORD01222</t>
  </si>
  <si>
    <t>ORD01223</t>
  </si>
  <si>
    <t>ORD01224</t>
  </si>
  <si>
    <t>ORD01225</t>
  </si>
  <si>
    <t>ORD01226</t>
  </si>
  <si>
    <t>ORD01227</t>
  </si>
  <si>
    <t>ORD01228</t>
  </si>
  <si>
    <t>ORD01229</t>
  </si>
  <si>
    <t>CUST0439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</si>
  <si>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</si>
  <si>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</si>
  <si>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</si>
  <si>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</si>
  <si>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</si>
  <si>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</si>
  <si>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</si>
  <si>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</si>
  <si>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</si>
  <si>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</si>
  <si>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</si>
  <si>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</si>
  <si>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</si>
  <si>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</si>
  <si>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</si>
  <si>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</si>
  <si>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</si>
  <si>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CUST0259</t>
  </si>
  <si>
    <t>ORD01247</t>
  </si>
  <si>
    <t>ORD01248</t>
  </si>
  <si>
    <t>ORD01249</t>
  </si>
  <si>
    <t>ORD01250</t>
  </si>
  <si>
    <t>ORD01251</t>
  </si>
  <si>
    <t>ORD01252</t>
  </si>
  <si>
    <t>ORD01253</t>
  </si>
  <si>
    <t>ORD01254</t>
  </si>
  <si>
    <t>ORD01255</t>
  </si>
  <si>
    <t>CUST0040</t>
  </si>
  <si>
    <t>ORD01256</t>
  </si>
  <si>
    <t>CUST0263</t>
  </si>
  <si>
    <t>ORD01257</t>
  </si>
  <si>
    <t>ORD01258</t>
  </si>
  <si>
    <t>CUST0309</t>
  </si>
  <si>
    <t>ORD01259</t>
  </si>
  <si>
    <t>ORD01260</t>
  </si>
  <si>
    <t>CUST0223</t>
  </si>
  <si>
    <t>ORD01261</t>
  </si>
  <si>
    <t>CUST0139</t>
  </si>
  <si>
    <t>ORD01262</t>
  </si>
  <si>
    <t>CUST0105</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</si>
  <si>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</si>
  <si>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</si>
  <si>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</si>
  <si>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</si>
  <si>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</si>
  <si>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</si>
  <si>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</si>
  <si>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</si>
  <si>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</si>
  <si>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</si>
  <si>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</si>
  <si>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</si>
  <si>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</si>
  <si>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</si>
  <si>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</si>
  <si>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</si>
  <si>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</si>
  <si>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</si>
  <si>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CUST0122</t>
  </si>
  <si>
    <t>ORD01281</t>
  </si>
  <si>
    <t>ORD01282</t>
  </si>
  <si>
    <t>CUST0280</t>
  </si>
  <si>
    <t>ORD01283</t>
  </si>
  <si>
    <t>CUST0399</t>
  </si>
  <si>
    <t>ORD01284</t>
  </si>
  <si>
    <t>ORD01285</t>
  </si>
  <si>
    <t>ORD01286</t>
  </si>
  <si>
    <t>ORD01287</t>
  </si>
  <si>
    <t>ORD01288</t>
  </si>
  <si>
    <t>ORD01289</t>
  </si>
  <si>
    <t>CUST0573</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</si>
  <si>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</si>
  <si>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</si>
  <si>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</si>
  <si>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</si>
  <si>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</si>
  <si>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</si>
  <si>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</si>
  <si>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</si>
  <si>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</si>
  <si>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</si>
  <si>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</si>
  <si>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</si>
  <si>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</si>
  <si>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</si>
  <si>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</si>
  <si>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</si>
  <si>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</si>
  <si>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</si>
  <si>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</si>
  <si>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</si>
  <si>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</si>
  <si>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</si>
  <si>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CUST0548</t>
  </si>
  <si>
    <t>ORD01312</t>
  </si>
  <si>
    <t>ORD01313</t>
  </si>
  <si>
    <t>ORD01314</t>
  </si>
  <si>
    <t>ORD01315</t>
  </si>
  <si>
    <t>ORD01316</t>
  </si>
  <si>
    <t>ORD01317</t>
  </si>
  <si>
    <t>ORD01318</t>
  </si>
  <si>
    <t>ORD01319</t>
  </si>
  <si>
    <t>ORD01320</t>
  </si>
  <si>
    <t>ORD01321</t>
  </si>
  <si>
    <t>ORD01322</t>
  </si>
  <si>
    <t>ORD01323</t>
  </si>
  <si>
    <t>ORD01324</t>
  </si>
  <si>
    <t>CUST0091</t>
  </si>
  <si>
    <t>ORD01325</t>
  </si>
  <si>
    <t>ORD01326</t>
  </si>
  <si>
    <t>ORD01327</t>
  </si>
  <si>
    <t>ORD01328</t>
  </si>
  <si>
    <t>ORD01329</t>
  </si>
  <si>
    <t>ORD01330</t>
  </si>
  <si>
    <t>ORD01331</t>
  </si>
  <si>
    <t>ORD01332</t>
  </si>
  <si>
    <t>ORD01333</t>
  </si>
  <si>
    <t>ORD01334</t>
  </si>
  <si>
    <t>ORD01335</t>
  </si>
  <si>
    <t>CUST0291</t>
  </si>
  <si>
    <t>ORD01336</t>
  </si>
  <si>
    <t>CUST0566</t>
  </si>
  <si>
    <t>ORD01337</t>
  </si>
  <si>
    <t>ORD01338</t>
  </si>
  <si>
    <t>ORD01339</t>
  </si>
  <si>
    <t>ORD01340</t>
  </si>
  <si>
    <t>ORD01341</t>
  </si>
  <si>
    <t>ORD01342</t>
  </si>
  <si>
    <t>CUST0389</t>
  </si>
  <si>
    <t>ORD01343</t>
  </si>
  <si>
    <t>ORD01344</t>
  </si>
  <si>
    <t>ORD01345</t>
  </si>
  <si>
    <t>ORD01346</t>
  </si>
  <si>
    <t>ORD01347</t>
  </si>
  <si>
    <t>ORD01348</t>
  </si>
  <si>
    <t>ORD01349</t>
  </si>
  <si>
    <t>ORD01350</t>
  </si>
  <si>
    <t>ORD01351</t>
  </si>
  <si>
    <t>ORD01352</t>
  </si>
  <si>
    <t>CUST0134</t>
  </si>
  <si>
    <t>ORD01353</t>
  </si>
  <si>
    <t>ORD01354</t>
  </si>
  <si>
    <t>CUST0410</t>
  </si>
  <si>
    <t>ORD01355</t>
  </si>
  <si>
    <t>CUST0448</t>
  </si>
  <si>
    <t>ORD01356</t>
  </si>
  <si>
    <t>ORD01357</t>
  </si>
  <si>
    <t>ORD01358</t>
  </si>
  <si>
    <t>CUST0575</t>
  </si>
  <si>
    <t>ORD01359</t>
  </si>
  <si>
    <t>ORD01360</t>
  </si>
  <si>
    <t>ORD01361</t>
  </si>
  <si>
    <t>ORD01362</t>
  </si>
  <si>
    <t>ORD01363</t>
  </si>
  <si>
    <t>ORD01364</t>
  </si>
  <si>
    <t>ORD01365</t>
  </si>
  <si>
    <t>CUST0581</t>
  </si>
  <si>
    <t>ORD01366</t>
  </si>
  <si>
    <t>ORD01367</t>
  </si>
  <si>
    <t>ORD01368</t>
  </si>
  <si>
    <t>ORD01369</t>
  </si>
  <si>
    <t>ORD01370</t>
  </si>
  <si>
    <t>ORD01371</t>
  </si>
  <si>
    <t>ORD01372</t>
  </si>
  <si>
    <t>ORD01373</t>
  </si>
  <si>
    <t>ORD01374</t>
  </si>
  <si>
    <t>ORD01375</t>
  </si>
  <si>
    <t>ORD01376</t>
  </si>
  <si>
    <t>ORD01377</t>
  </si>
  <si>
    <t>CUST0444</t>
  </si>
  <si>
    <t>ORD01378</t>
  </si>
  <si>
    <t>ORD01379</t>
  </si>
  <si>
    <t>ORD01380</t>
  </si>
  <si>
    <t>ORD01381</t>
  </si>
  <si>
    <t>ORD01382</t>
  </si>
  <si>
    <t>ORD01383</t>
  </si>
  <si>
    <t>ORD01384</t>
  </si>
  <si>
    <t>ORD01385</t>
  </si>
  <si>
    <t>ORD01386</t>
  </si>
  <si>
    <t>CUST0026</t>
  </si>
  <si>
    <t>ORD01387</t>
  </si>
  <si>
    <t>ORD01388</t>
  </si>
  <si>
    <t>ORD01389</t>
  </si>
  <si>
    <t>ORD01390</t>
  </si>
  <si>
    <t>ORD01391</t>
  </si>
  <si>
    <t>ORD01392</t>
  </si>
  <si>
    <t>ORD01393</t>
  </si>
  <si>
    <t>ORD01394</t>
  </si>
  <si>
    <t>ORD01395</t>
  </si>
  <si>
    <t>ORD01396</t>
  </si>
  <si>
    <t>ORD01397</t>
  </si>
  <si>
    <t>ORD01398</t>
  </si>
  <si>
    <t>ORD01399</t>
  </si>
  <si>
    <t>CUST0147</t>
  </si>
  <si>
    <t>ORD01400</t>
  </si>
  <si>
    <t>ORD01401</t>
  </si>
  <si>
    <t>ORD01402</t>
  </si>
  <si>
    <t>ORD01403</t>
  </si>
  <si>
    <t>CUST0498</t>
  </si>
  <si>
    <t>ORD01404</t>
  </si>
  <si>
    <t>ORD01405</t>
  </si>
  <si>
    <t>ORD01406</t>
  </si>
  <si>
    <t>ORD01407</t>
  </si>
  <si>
    <t>CUST0148</t>
  </si>
  <si>
    <t>ORD01408</t>
  </si>
  <si>
    <t>ORD01409</t>
  </si>
  <si>
    <t>ORD01410</t>
  </si>
  <si>
    <t>ORD01411</t>
  </si>
  <si>
    <t>ORD01412</t>
  </si>
  <si>
    <t>ORD01413</t>
  </si>
  <si>
    <t>ORD01414</t>
  </si>
  <si>
    <t>ORD01415</t>
  </si>
  <si>
    <t>ORD01416</t>
  </si>
  <si>
    <t>ORD01417</t>
  </si>
  <si>
    <t>ORD01418</t>
  </si>
  <si>
    <t>ORD01419</t>
  </si>
  <si>
    <t>ORD01420</t>
  </si>
  <si>
    <t>ORD01421</t>
  </si>
  <si>
    <t>CUST0529</t>
  </si>
  <si>
    <t>ORD01422</t>
  </si>
  <si>
    <t>ORD01423</t>
  </si>
  <si>
    <t>CUST0253</t>
  </si>
  <si>
    <t>ORD01424</t>
  </si>
  <si>
    <t>ORD01425</t>
  </si>
  <si>
    <t>CUST0474</t>
  </si>
  <si>
    <t>ORD01426</t>
  </si>
  <si>
    <t>ORD01427</t>
  </si>
  <si>
    <t>ORD01428</t>
  </si>
  <si>
    <t>ORD01429</t>
  </si>
  <si>
    <t>ORD01430</t>
  </si>
  <si>
    <t>ORD01431</t>
  </si>
  <si>
    <t>ORD01432</t>
  </si>
  <si>
    <t>ORD01433</t>
  </si>
  <si>
    <t>ORD01434</t>
  </si>
  <si>
    <t>ORD01435</t>
  </si>
  <si>
    <t>CUST0213</t>
  </si>
  <si>
    <t>ORD01436</t>
  </si>
  <si>
    <t>CUST0132</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</si>
  <si>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</si>
  <si>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</si>
  <si>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</si>
  <si>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</si>
  <si>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</si>
  <si>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</si>
  <si>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</si>
  <si>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</si>
  <si>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</si>
  <si>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</si>
  <si>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</si>
  <si>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</si>
  <si>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</si>
  <si>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</si>
  <si>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</si>
  <si>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</si>
  <si>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</si>
  <si>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</si>
  <si>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</si>
  <si>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</si>
  <si>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</si>
  <si>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</si>
  <si>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</si>
  <si>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</si>
  <si>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CUST0339</t>
  </si>
  <si>
    <t>ORD01461</t>
  </si>
  <si>
    <t>ORD01462</t>
  </si>
  <si>
    <t>CUST0351</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</si>
  <si>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</si>
  <si>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</si>
  <si>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</si>
  <si>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</si>
  <si>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</si>
  <si>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</si>
  <si>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</si>
  <si>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</si>
  <si>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</si>
  <si>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</si>
  <si>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</si>
  <si>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</si>
  <si>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</si>
  <si>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</si>
  <si>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</si>
  <si>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</si>
  <si>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</si>
  <si>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</si>
  <si>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</si>
  <si>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</si>
  <si>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</si>
  <si>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</si>
  <si>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</si>
  <si>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</si>
  <si>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</si>
  <si>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</si>
  <si>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</si>
  <si>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</si>
  <si>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</si>
  <si>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</si>
  <si>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</si>
  <si>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</si>
  <si>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CUST0562</t>
  </si>
  <si>
    <t>ORD01495</t>
  </si>
  <si>
    <t>ORD01496</t>
  </si>
  <si>
    <t>ORD01497</t>
  </si>
  <si>
    <t>ORD01498</t>
  </si>
  <si>
    <t>ORD01499</t>
  </si>
  <si>
    <t>ORD01500</t>
  </si>
  <si>
    <t>ORD01501</t>
  </si>
  <si>
    <t>ORD01502</t>
  </si>
  <si>
    <t>ORD01503</t>
  </si>
  <si>
    <t>ORD01504</t>
  </si>
  <si>
    <t>ORD01505</t>
  </si>
  <si>
    <t>CUST0067</t>
  </si>
  <si>
    <t>ORD01506</t>
  </si>
  <si>
    <t>CUST0196</t>
  </si>
  <si>
    <t>ORD01507</t>
  </si>
  <si>
    <t>ORD01508</t>
  </si>
  <si>
    <t>CUST0168</t>
  </si>
  <si>
    <t>ORD01509</t>
  </si>
  <si>
    <t>ORD01510</t>
  </si>
  <si>
    <t>ORD01511</t>
  </si>
  <si>
    <t>ORD01512</t>
  </si>
  <si>
    <t>ORD01513</t>
  </si>
  <si>
    <t>ORD01514</t>
  </si>
  <si>
    <t>ORD01515</t>
  </si>
  <si>
    <t>ORD01516</t>
  </si>
  <si>
    <t>ORD01517</t>
  </si>
  <si>
    <t>ORD01518</t>
  </si>
  <si>
    <t>ORD01519</t>
  </si>
  <si>
    <t>CUST0239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</si>
  <si>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</si>
  <si>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</si>
  <si>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</si>
  <si>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</si>
  <si>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</si>
  <si>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</si>
  <si>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</si>
  <si>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</si>
  <si>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</si>
  <si>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</si>
  <si>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</si>
  <si>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</si>
  <si>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</si>
  <si>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</si>
  <si>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</si>
  <si>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</si>
  <si>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CUST0551</t>
  </si>
  <si>
    <t>ORD01536</t>
  </si>
  <si>
    <t>ORD01537</t>
  </si>
  <si>
    <t>ORD01538</t>
  </si>
  <si>
    <t>ORD01539</t>
  </si>
  <si>
    <t>ORD01540</t>
  </si>
  <si>
    <t>CUST0106</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</si>
  <si>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</si>
  <si>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</si>
  <si>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</si>
  <si>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</si>
  <si>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</si>
  <si>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</si>
  <si>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</si>
  <si>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</si>
  <si>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</si>
  <si>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</si>
  <si>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</si>
  <si>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</si>
  <si>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</si>
  <si>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</si>
  <si>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</si>
  <si>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</si>
  <si>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</si>
  <si>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</si>
  <si>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</si>
  <si>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</si>
  <si>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</si>
  <si>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</si>
  <si>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</si>
  <si>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</si>
  <si>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</si>
  <si>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</si>
  <si>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</si>
  <si>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</si>
  <si>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</si>
  <si>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</si>
  <si>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</si>
  <si>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</si>
  <si>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</si>
  <si>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</si>
  <si>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</si>
  <si>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</si>
  <si>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</si>
  <si>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</si>
  <si>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</si>
  <si>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</si>
  <si>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</si>
  <si>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</si>
  <si>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</si>
  <si>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</si>
  <si>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</si>
  <si>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</si>
  <si>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</si>
  <si>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</si>
  <si>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</si>
  <si>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</si>
  <si>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</si>
  <si>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</si>
  <si>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</si>
  <si>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</si>
  <si>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</si>
  <si>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</si>
  <si>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</si>
  <si>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</si>
  <si>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</si>
  <si>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</si>
  <si>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</si>
  <si>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</si>
  <si>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</si>
  <si>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</si>
  <si>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</si>
  <si>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</si>
  <si>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</si>
  <si>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</si>
  <si>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</si>
  <si>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</si>
  <si>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</si>
  <si>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</si>
  <si>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</si>
  <si>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</si>
  <si>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</si>
  <si>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</si>
  <si>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</si>
  <si>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</si>
  <si>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</si>
  <si>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</si>
  <si>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CUST0113</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</si>
  <si>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</si>
  <si>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</si>
  <si>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</si>
  <si>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</si>
  <si>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</si>
  <si>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</si>
  <si>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</si>
  <si>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</si>
  <si>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</si>
  <si>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</si>
  <si>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</si>
  <si>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</si>
  <si>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</si>
  <si>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</si>
  <si>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</si>
  <si>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</si>
  <si>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</si>
  <si>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</si>
  <si>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</si>
  <si>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CUST0362</t>
  </si>
  <si>
    <t>ORD01640</t>
  </si>
  <si>
    <t>ORD01641</t>
  </si>
  <si>
    <t>ORD01642</t>
  </si>
  <si>
    <t>ORD01643</t>
  </si>
  <si>
    <t>ORD01644</t>
  </si>
  <si>
    <t>ORD01645</t>
  </si>
  <si>
    <t>ORD01646</t>
  </si>
  <si>
    <t>ORD01647</t>
  </si>
  <si>
    <t>ORD01648</t>
  </si>
  <si>
    <t>CUST0162</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</si>
  <si>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</si>
  <si>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</si>
  <si>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</si>
  <si>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</si>
  <si>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</si>
  <si>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</si>
  <si>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</si>
  <si>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</si>
  <si>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</si>
  <si>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</si>
  <si>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</si>
  <si>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</si>
  <si>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</si>
  <si>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</si>
  <si>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</si>
  <si>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</si>
  <si>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</si>
  <si>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</si>
  <si>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</si>
  <si>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</si>
  <si>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</si>
  <si>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</si>
  <si>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</si>
  <si>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</si>
  <si>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</si>
  <si>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CUST0576</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</si>
  <si>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</si>
  <si>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</si>
  <si>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</si>
  <si>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</si>
  <si>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</si>
  <si>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</si>
  <si>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</si>
  <si>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</si>
  <si>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</si>
  <si>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</si>
  <si>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</si>
  <si>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</si>
  <si>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</si>
  <si>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</si>
  <si>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</si>
  <si>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</si>
  <si>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</si>
  <si>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</si>
  <si>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</si>
  <si>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</si>
  <si>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</si>
  <si>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</si>
  <si>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</si>
  <si>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</si>
  <si>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</si>
  <si>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</si>
  <si>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</si>
  <si>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</si>
  <si>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</si>
  <si>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</si>
  <si>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</si>
  <si>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</si>
  <si>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</si>
  <si>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</si>
  <si>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</si>
  <si>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</si>
  <si>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</si>
  <si>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</si>
  <si>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</si>
  <si>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</si>
  <si>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</si>
  <si>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</si>
  <si>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</si>
  <si>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</si>
  <si>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</si>
  <si>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</si>
  <si>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</si>
  <si>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</si>
  <si>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</si>
  <si>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</si>
  <si>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</si>
  <si>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</si>
  <si>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</si>
  <si>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</si>
  <si>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</si>
  <si>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</si>
  <si>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</si>
  <si>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</si>
  <si>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</si>
  <si>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</si>
  <si>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</si>
  <si>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</si>
  <si>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</si>
  <si>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</si>
  <si>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</si>
  <si>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</si>
  <si>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</si>
  <si>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</si>
  <si>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</si>
  <si>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</si>
  <si>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</si>
  <si>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</si>
  <si>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</si>
  <si>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</si>
  <si>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</si>
  <si>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</si>
  <si>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</si>
  <si>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</si>
  <si>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</si>
  <si>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</si>
  <si>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</si>
  <si>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</si>
  <si>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</si>
  <si>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</si>
  <si>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</si>
  <si>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CUST0212</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</si>
  <si>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</si>
  <si>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</si>
  <si>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</si>
  <si>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</si>
  <si>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</si>
  <si>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</si>
  <si>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</si>
  <si>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</si>
  <si>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</si>
  <si>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</si>
  <si>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</si>
  <si>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</si>
  <si>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</si>
  <si>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</si>
  <si>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</si>
  <si>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</si>
  <si>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CUST0078</t>
  </si>
  <si>
    <t>ORD01775</t>
  </si>
  <si>
    <t>ORD01776</t>
  </si>
  <si>
    <t>ORD01777</t>
  </si>
  <si>
    <t>ORD01778</t>
  </si>
  <si>
    <t>ORD01779</t>
  </si>
  <si>
    <t>CUST0118</t>
  </si>
  <si>
    <t>ORD01780</t>
  </si>
  <si>
    <t>ORD01781</t>
  </si>
  <si>
    <t>ORD01782</t>
  </si>
  <si>
    <t>CUST0526</t>
  </si>
  <si>
    <t>ORD01783</t>
  </si>
  <si>
    <t>ORD01784</t>
  </si>
  <si>
    <t>ORD01785</t>
  </si>
  <si>
    <t>ORD01786</t>
  </si>
  <si>
    <t>ORD01787</t>
  </si>
  <si>
    <t>ORD01788</t>
  </si>
  <si>
    <t>ORD01789</t>
  </si>
  <si>
    <t>CUST0499</t>
  </si>
  <si>
    <t>ORD01790</t>
  </si>
  <si>
    <t>ORD01791</t>
  </si>
  <si>
    <t>ORD01792</t>
  </si>
  <si>
    <t>ORD01793</t>
  </si>
  <si>
    <t>ORD01794</t>
  </si>
  <si>
    <t>ORD01795</t>
  </si>
  <si>
    <t>ORD01796</t>
  </si>
  <si>
    <t>ORD01797</t>
  </si>
  <si>
    <t>ORD01798</t>
  </si>
  <si>
    <t>ORD01799</t>
  </si>
  <si>
    <t>ORD01800</t>
  </si>
  <si>
    <t>Grand Total</t>
  </si>
  <si>
    <t>Customer</t>
  </si>
  <si>
    <t>Orders</t>
  </si>
  <si>
    <t>Total Revenue</t>
  </si>
  <si>
    <t>Total Gross_Profit</t>
  </si>
  <si>
    <t>Average Order_Value</t>
  </si>
  <si>
    <t>Average Revenue</t>
  </si>
  <si>
    <t>Repeat Rate By Regions</t>
  </si>
  <si>
    <t>Repeat Rate By Acquisition Channels</t>
  </si>
  <si>
    <t>Acquisition Channels</t>
  </si>
  <si>
    <t>Average Purchase Frequency</t>
  </si>
  <si>
    <t>Average Order Values and Purchase Frequency</t>
  </si>
  <si>
    <t>Customer Summary</t>
  </si>
  <si>
    <t>Total</t>
  </si>
  <si>
    <t>Total Average</t>
  </si>
  <si>
    <t>Customer ID</t>
  </si>
  <si>
    <t>Total Quantity</t>
  </si>
  <si>
    <t>Cutomer Segment</t>
  </si>
  <si>
    <t>Not Specified</t>
  </si>
  <si>
    <t>High-Value Customers (Top 10)</t>
  </si>
  <si>
    <t>Average Customer_Rating</t>
  </si>
  <si>
    <t>Low-Value / High-Frequency Customers (First 10)</t>
  </si>
  <si>
    <t>Total Number</t>
  </si>
  <si>
    <t>Issue Found</t>
  </si>
  <si>
    <t>How Identified</t>
  </si>
  <si>
    <t>Rows Affected</t>
  </si>
  <si>
    <t>Action Taken</t>
  </si>
  <si>
    <t>Rationale</t>
  </si>
  <si>
    <t>Duplicate order records</t>
  </si>
  <si>
    <t>Power Query row count vs. raw file comparison</t>
  </si>
  <si>
    <t>12 rows</t>
  </si>
  <si>
    <t>Removed via Remove Duplicates</t>
  </si>
  <si>
    <t>Duplicates would double-count revenue/orders in aggregations</t>
  </si>
  <si>
    <t>Column profiling in Power Query (17% empty)</t>
  </si>
  <si>
    <t>~314 rows</t>
  </si>
  <si>
    <t>Left as true blank/null (not imputed with 0 or average)</t>
  </si>
  <si>
    <t>Blank Customer_Rating values</t>
  </si>
  <si>
    <t>Mostly tied to Cancelled/Returned orders with no completed experience to rate; imputing would distort average rating calculations</t>
  </si>
  <si>
    <t>Power Query column type check</t>
  </si>
  <si>
    <t>Customer_Rating typed as Text</t>
  </si>
  <si>
    <t>Text-typed numeric fields break AVERAGEIFS/Pivot Average calculations</t>
  </si>
  <si>
    <t>All rows</t>
  </si>
  <si>
    <t>Converted to Number/Int64 type</t>
  </si>
  <si>
    <t>Cross-check of unique Customer_ID count (raw=569 vs summary=568)</t>
  </si>
  <si>
    <t>1 customer</t>
  </si>
  <si>
    <t>Traced to blank Region field causing the row to be filtered out during Power Query cleaning; region corrected, customer re-included</t>
  </si>
  <si>
    <t>CUST0082 missing from Customer Summary</t>
  </si>
  <si>
    <t>Silent data loss during cleaning would understate true customer count and total revenue</t>
  </si>
  <si>
    <t>7 blank values in Acquisition_Channel</t>
  </si>
  <si>
    <t>7 rows</t>
  </si>
  <si>
    <t>Relabeled as "Not Specified"</t>
  </si>
  <si>
    <t>Found while building Channel pivot — unexpected category appeared</t>
  </si>
  <si>
    <t>More transparent than an unexplained single-letter placeholder</t>
  </si>
  <si>
    <t>All 569 rows</t>
  </si>
  <si>
    <t>Grand Total sanity-check against raw data total (₦189.9M vs true ₦95M)rows</t>
  </si>
  <si>
    <t>Ensures dashboard KPIs reflect true totals, not inflated figures</t>
  </si>
  <si>
    <t>Revenue values doubled in initial Customer Summary</t>
  </si>
  <si>
    <t>Rebuilt Customer_Summary via clean single Power Query Group By (removed duplicate/stacked aggregation step)</t>
  </si>
  <si>
    <t>Region field profiling in Power Query</t>
  </si>
  <si>
    <t>10 rows</t>
  </si>
  <si>
    <t>Labeled as "Not Specified" rather than removed</t>
  </si>
  <si>
    <t>Blank Region field</t>
  </si>
  <si>
    <t>Preserves order/revenue data while transparently flagging incomplete records rather than silently dropping them</t>
  </si>
  <si>
    <t>Energy House — Customer Segmentation &amp; Retention Analysis</t>
  </si>
  <si>
    <r>
      <t>1. 12 duplicate order rows</t>
    </r>
    <r>
      <rPr>
        <sz val="11"/>
        <color theme="1"/>
        <rFont val="Calibri"/>
        <family val="2"/>
        <scheme val="minor"/>
      </rPr>
      <t xml:space="preserve"> — removed to prevent double-counting revenue.</t>
    </r>
  </si>
  <si>
    <r>
      <t>2. ~314 blank Customer_Rating values</t>
    </r>
    <r>
      <rPr>
        <sz val="11"/>
        <color theme="1"/>
        <rFont val="Calibri"/>
        <family val="2"/>
        <scheme val="minor"/>
      </rPr>
      <t xml:space="preserve"> — left as true nulls rather than imputed with 0 or an average, since most correspond to Cancelled/Returned orders with no completed customer experience to rate.</t>
    </r>
  </si>
  <si>
    <r>
      <t>3. Customer_Rating stored as Text</t>
    </r>
    <r>
      <rPr>
        <sz val="11"/>
        <color theme="1"/>
        <rFont val="Calibri"/>
        <family val="2"/>
        <scheme val="minor"/>
      </rPr>
      <t xml:space="preserve"> — converted to numeric type so PivotTable Average calculations function correctly.</t>
    </r>
  </si>
  <si>
    <r>
      <t>4. 10 rows with blank Region</t>
    </r>
    <r>
      <rPr>
        <sz val="11"/>
        <color theme="1"/>
        <rFont val="Calibri"/>
        <family val="2"/>
        <scheme val="minor"/>
      </rPr>
      <t xml:space="preserve"> — labeled "Not Specified" rather than dropped, preserving revenue data while transparently flagging incompleteness.</t>
    </r>
  </si>
  <si>
    <r>
      <t>5. 7 rows with blank Acquisition_Channel</t>
    </r>
    <r>
      <rPr>
        <sz val="11"/>
        <color theme="1"/>
        <rFont val="Calibri"/>
        <family val="2"/>
        <scheme val="minor"/>
      </rPr>
      <t xml:space="preserve"> — labeled "Not Specified" for the same reason.</t>
    </r>
  </si>
  <si>
    <r>
      <t>6. 1 customer (CUST0082) silently excluded</t>
    </r>
    <r>
      <rPr>
        <sz val="11"/>
        <color theme="1"/>
        <rFont val="Calibri"/>
        <family val="2"/>
        <scheme val="minor"/>
      </rPr>
      <t xml:space="preserve"> from initial aggregation due to a blank Region field being filtered out mid-cleaning — identified via a raw-vs-summary customer count cross-check (569 vs 568) and corrected.</t>
    </r>
  </si>
  <si>
    <t>Key Findings</t>
  </si>
  <si>
    <r>
      <t xml:space="preserve">1. Energy House serves </t>
    </r>
    <r>
      <rPr>
        <b/>
        <sz val="11"/>
        <color theme="1"/>
        <rFont val="Calibri"/>
        <family val="2"/>
        <scheme val="minor"/>
      </rPr>
      <t>569 unique customers</t>
    </r>
    <r>
      <rPr>
        <sz val="11"/>
        <color theme="1"/>
        <rFont val="Calibri"/>
        <family val="2"/>
        <scheme val="minor"/>
      </rPr>
      <t xml:space="preserve"> with an </t>
    </r>
    <r>
      <rPr>
        <b/>
        <sz val="11"/>
        <color theme="1"/>
        <rFont val="Calibri"/>
        <family val="2"/>
        <scheme val="minor"/>
      </rPr>
      <t>85.7% overall repeat purchase rate</t>
    </r>
    <r>
      <rPr>
        <sz val="11"/>
        <color theme="1"/>
        <rFont val="Calibri"/>
        <family val="2"/>
        <scheme val="minor"/>
      </rPr>
      <t>.</t>
    </r>
  </si>
  <si>
    <r>
      <t>2. Loyal customers (207 customers, 36% of the base) generate ₦52M of ₦95M total revenue (55%)</t>
    </r>
    <r>
      <rPr>
        <sz val="11"/>
        <color theme="1"/>
        <rFont val="Calibri"/>
        <family val="2"/>
        <scheme val="minor"/>
      </rPr>
      <t xml:space="preserve"> — outperforming their numeric share of the base, not merely a rare high-value minority.</t>
    </r>
  </si>
  <si>
    <r>
      <t xml:space="preserve">3. Combined, </t>
    </r>
    <r>
      <rPr>
        <b/>
        <sz val="11"/>
        <color theme="1"/>
        <rFont val="Calibri"/>
        <family val="2"/>
        <scheme val="minor"/>
      </rPr>
      <t>Loyal + Returning customers (488 of 569, 86% of the base) generate 96% of total revenue</t>
    </r>
    <r>
      <rPr>
        <sz val="11"/>
        <color theme="1"/>
        <rFont val="Calibri"/>
        <family val="2"/>
        <scheme val="minor"/>
      </rPr>
      <t>; New (one-time) customers contribute only ₦4M.</t>
    </r>
  </si>
  <si>
    <r>
      <t>4. Rivers has the lowest repeat rate among all regions (75.6%)</t>
    </r>
    <r>
      <rPr>
        <sz val="11"/>
        <color theme="1"/>
        <rFont val="Calibri"/>
        <family val="2"/>
        <scheme val="minor"/>
      </rPr>
      <t>, compared to 84–90% elsewhere — a clear regional outlier worth investigating.</t>
    </r>
  </si>
  <si>
    <t>5. Repeat rate also varies by acquisition channel, indicating some channels bring in customers who are more likely to return than others.</t>
  </si>
  <si>
    <t>Recommendations</t>
  </si>
  <si>
    <t>1. Introduce a loyalty incentive (e.g., free delivery after 4+ orders) targeted at Returning customers approaching the Loyal threshold, since this segment already represents over a third of the base and drives the majority of revenue.</t>
  </si>
  <si>
    <t>2. Investigate Rivers specifically — its 75.6% repeat rate lags every other region by at least 9 points. Assess delivery experience, product availability, and service quality there before increasing marketing spend in that region.</t>
  </si>
  <si>
    <t>3. Reallocate acquisition spend toward channels with higher repeat-customer share rather than the channel with the most raw signups.</t>
  </si>
  <si>
    <t>Which customers are actually driving Energy House's revenue and profit, and what should the business do to convert more one-time buyers into loyal, repeat customers?</t>
  </si>
  <si>
    <r>
      <t>Business Question</t>
    </r>
    <r>
      <rPr>
        <sz val="16"/>
        <color theme="1"/>
        <rFont val="Calibri"/>
        <family val="2"/>
        <scheme val="minor"/>
      </rPr>
      <t xml:space="preserve"> </t>
    </r>
  </si>
  <si>
    <t>Dataset</t>
  </si>
  <si>
    <t xml:space="preserve"> Simulated Nigerian e-commerce transaction data (labelled as such per project requirements): 1,812 raw order records covering 569 unique customers across 10 regions and 6 acquisition channels. Data is synthetic, created for educational/portfolio purposes.</t>
  </si>
  <si>
    <r>
      <t>Data Preparation</t>
    </r>
    <r>
      <rPr>
        <sz val="11"/>
        <color theme="1"/>
        <rFont val="Calibri"/>
        <family val="2"/>
        <scheme val="minor"/>
      </rPr>
      <t xml:space="preserve"> </t>
    </r>
  </si>
  <si>
    <t>Six data quality issues were identified and resolved, each documented in the Data Cleaning Log:</t>
  </si>
  <si>
    <t>Analysis</t>
  </si>
  <si>
    <t xml:space="preserve"> Built a customer-level summary (Power Query Group By) covering total orders, quantity, revenue, profit, average order value, and average rating per customer. Customers were classified as New (1 order), Returning (2–3 orders), or Loyal (4+ orders) based on total order count. A data-integrity check caught an early revenue-doubling error (Grand Total ₦189.9M vs. true ₦95M), traced to a duplicated aggregation step and corrected before final analysis. PivotTables and PivotCharts were used to compare segments by revenue/profit and analyze repeat behavior by region and channel.</t>
  </si>
  <si>
    <r>
      <t>Limitations</t>
    </r>
    <r>
      <rPr>
        <sz val="11"/>
        <color theme="1"/>
        <rFont val="Calibri"/>
        <family val="2"/>
        <scheme val="minor"/>
      </rPr>
      <t xml:space="preserve"> </t>
    </r>
  </si>
  <si>
    <t>Findings are descriptive, not causal. Correlations between region, channel, segment, and repeat behavior do not prove that any single factor causes retention — other unmeasured variables (delivery infrastructure, income levels, customer tenure) may explain the patterns. Recommendation 3 in particular should be validated with a controlled test (e.g., an A/B test on ad spend allocation) before scaling.</t>
  </si>
  <si>
    <r>
      <t>Tools</t>
    </r>
    <r>
      <rPr>
        <sz val="11"/>
        <color theme="1"/>
        <rFont val="Calibri"/>
        <family val="2"/>
        <scheme val="minor"/>
      </rPr>
      <t xml:space="preserve"> </t>
    </r>
  </si>
  <si>
    <t>Microsoft Excel (Power Query, PivotTables, PivotCharts, structured formulas)</t>
  </si>
  <si>
    <t>F_TABLE</t>
  </si>
  <si>
    <t>D_CUSTOMERS</t>
  </si>
  <si>
    <t>D_PRODUCT</t>
  </si>
  <si>
    <t>Year</t>
  </si>
  <si>
    <t>Month</t>
  </si>
  <si>
    <t>Day</t>
  </si>
  <si>
    <t>D_DATE</t>
  </si>
  <si>
    <t>D_DELIVERY</t>
  </si>
  <si>
    <r>
      <t xml:space="preserve">Customer_ID </t>
    </r>
    <r>
      <rPr>
        <b/>
        <sz val="11"/>
        <color rgb="FFC00000"/>
        <rFont val="Calibri"/>
        <family val="2"/>
        <scheme val="minor"/>
      </rPr>
      <t>PK</t>
    </r>
  </si>
  <si>
    <r>
      <t>Customer_ID</t>
    </r>
    <r>
      <rPr>
        <b/>
        <sz val="11"/>
        <color theme="1"/>
        <rFont val="Calibri"/>
        <family val="2"/>
        <scheme val="minor"/>
      </rPr>
      <t xml:space="preserve"> </t>
    </r>
    <r>
      <rPr>
        <b/>
        <sz val="11"/>
        <color rgb="FFFF0000"/>
        <rFont val="Calibri"/>
        <family val="2"/>
        <scheme val="minor"/>
      </rPr>
      <t>FK</t>
    </r>
  </si>
  <si>
    <r>
      <t xml:space="preserve">Product </t>
    </r>
    <r>
      <rPr>
        <b/>
        <sz val="11"/>
        <color rgb="FFC00000"/>
        <rFont val="Calibri"/>
        <family val="2"/>
        <scheme val="minor"/>
      </rPr>
      <t>PK</t>
    </r>
  </si>
  <si>
    <r>
      <t xml:space="preserve">Order_Date </t>
    </r>
    <r>
      <rPr>
        <b/>
        <sz val="11"/>
        <color rgb="FFC00000"/>
        <rFont val="Calibri"/>
        <family val="2"/>
        <scheme val="minor"/>
      </rPr>
      <t>PK</t>
    </r>
  </si>
  <si>
    <r>
      <t xml:space="preserve">Delivery_Type </t>
    </r>
    <r>
      <rPr>
        <b/>
        <sz val="11"/>
        <color rgb="FFC00000"/>
        <rFont val="Calibri"/>
        <family val="2"/>
        <scheme val="minor"/>
      </rPr>
      <t>PK</t>
    </r>
  </si>
  <si>
    <r>
      <t xml:space="preserve">Order_ID </t>
    </r>
    <r>
      <rPr>
        <b/>
        <sz val="11"/>
        <color rgb="FFC00000"/>
        <rFont val="Calibri"/>
        <family val="2"/>
        <scheme val="minor"/>
      </rPr>
      <t>PK</t>
    </r>
  </si>
  <si>
    <r>
      <t xml:space="preserve">Order_Date </t>
    </r>
    <r>
      <rPr>
        <b/>
        <sz val="11"/>
        <color rgb="FFC00000"/>
        <rFont val="Calibri"/>
        <family val="2"/>
        <scheme val="minor"/>
      </rPr>
      <t>FK</t>
    </r>
  </si>
  <si>
    <r>
      <t xml:space="preserve">Product </t>
    </r>
    <r>
      <rPr>
        <b/>
        <sz val="11"/>
        <color rgb="FFC00000"/>
        <rFont val="Calibri"/>
        <family val="2"/>
        <scheme val="minor"/>
      </rPr>
      <t>FK</t>
    </r>
  </si>
  <si>
    <r>
      <t xml:space="preserve">Delivery_Type </t>
    </r>
    <r>
      <rPr>
        <b/>
        <sz val="11"/>
        <color rgb="FFC00000"/>
        <rFont val="Calibri"/>
        <family val="2"/>
        <scheme val="minor"/>
      </rPr>
      <t>FK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</si>
</sst>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quot;$&quot;#,##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18"/>
      <color theme="0"/>
      <name val="Calibri"/>
      <family val="2"/>
      <scheme val="minor"/>
    </font>
    <font>
      <b/>
      <sz val="20"/>
      <color theme="0"/>
      <name val="Calibri"/>
      <family val="2"/>
      <scheme val="minor"/>
    </font>
    <font>
      <b/>
      <sz val="20"/>
      <color theme="1"/>
      <name val="Calibri"/>
      <family val="2"/>
      <scheme val="minor"/>
    </font>
    <font>
      <sz val="16"/>
      <color theme="1"/>
      <name val="Calibri"/>
      <family val="2"/>
      <scheme val="minor"/>
    </font>
    <font>
      <b/>
      <sz val="18"/>
      <color theme="1"/>
      <name val="Calibri"/>
      <family val="2"/>
      <scheme val="minor"/>
    </font>
    <font>
      <b/>
      <sz val="16"/>
      <color theme="1"/>
      <name val="Calibri"/>
      <family val="2"/>
      <scheme val="minor"/>
    </font>
    <font>
      <b/>
      <sz val="11"/>
      <color rgb="FFC00000"/>
      <name val="Calibri"/>
      <family val="2"/>
      <scheme val="minor"/>
    </font>
    <font>
      <b/>
      <sz val="11"/>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2" fontId="0" fillId="0" borderId="0" xfId="0" applyNumberFormat="1"/>
    <xf numFmtId="164" fontId="0" fillId="0" borderId="0" xfId="0" applyNumberFormat="1"/>
    <xf numFmtId="44" fontId="0" fillId="0" borderId="0" xfId="1" applyFont="1"/>
    <xf numFmtId="10" fontId="0" fillId="0" borderId="0" xfId="2" applyNumberFormat="1" applyFont="1"/>
    <xf numFmtId="0" fontId="13" fillId="33" borderId="0" xfId="0" applyFont="1" applyFill="1"/>
    <xf numFmtId="10" fontId="0" fillId="33" borderId="0" xfId="2" applyNumberFormat="1" applyFont="1" applyFill="1"/>
    <xf numFmtId="10" fontId="17" fillId="33" borderId="0" xfId="2" applyNumberFormat="1" applyFont="1" applyFill="1"/>
    <xf numFmtId="0" fontId="19" fillId="33" borderId="0" xfId="0" applyFont="1" applyFill="1"/>
    <xf numFmtId="0" fontId="20" fillId="33" borderId="0" xfId="0" applyFont="1" applyFill="1"/>
    <xf numFmtId="164" fontId="21" fillId="33" borderId="0" xfId="0" applyNumberFormat="1" applyFont="1" applyFill="1"/>
    <xf numFmtId="44" fontId="0" fillId="33" borderId="0" xfId="1" applyFont="1" applyFill="1"/>
    <xf numFmtId="0" fontId="18" fillId="34" borderId="0" xfId="0" applyFont="1" applyFill="1"/>
    <xf numFmtId="44" fontId="16" fillId="34" borderId="0" xfId="1" applyFont="1" applyFill="1"/>
    <xf numFmtId="164" fontId="16" fillId="34" borderId="0" xfId="0" applyNumberFormat="1" applyFont="1" applyFill="1"/>
    <xf numFmtId="0" fontId="0" fillId="34" borderId="0" xfId="0" applyFill="1"/>
    <xf numFmtId="44" fontId="0" fillId="34" borderId="0" xfId="1" applyFont="1" applyFill="1"/>
    <xf numFmtId="9" fontId="0" fillId="0" borderId="0" xfId="2" applyFont="1"/>
    <xf numFmtId="44" fontId="0" fillId="0" borderId="0" xfId="0" applyNumberFormat="1"/>
    <xf numFmtId="44" fontId="0" fillId="0" borderId="0" xfId="0" applyNumberFormat="1" applyFont="1"/>
    <xf numFmtId="165" fontId="0" fillId="0" borderId="0" xfId="0" applyNumberFormat="1"/>
    <xf numFmtId="10" fontId="0" fillId="0" borderId="0" xfId="0" applyNumberFormat="1"/>
    <xf numFmtId="0" fontId="0" fillId="0" borderId="0" xfId="2" applyNumberFormat="1" applyFont="1"/>
    <xf numFmtId="0" fontId="0" fillId="0" borderId="0" xfId="0" applyAlignment="1">
      <alignment horizontal="left" vertical="center" indent="1"/>
    </xf>
    <xf numFmtId="0" fontId="16" fillId="0" borderId="0" xfId="0" applyFont="1" applyAlignment="1">
      <alignment horizontal="left" vertical="center" indent="1"/>
    </xf>
    <xf numFmtId="0" fontId="0" fillId="0" borderId="10" xfId="0" applyBorder="1"/>
    <xf numFmtId="0" fontId="23" fillId="0" borderId="0" xfId="0" applyFont="1" applyAlignment="1">
      <alignment horizontal="center" vertical="center"/>
    </xf>
    <xf numFmtId="0" fontId="24" fillId="0" borderId="0" xfId="0" applyFont="1" applyAlignment="1">
      <alignment horizontal="center"/>
    </xf>
    <xf numFmtId="0" fontId="18" fillId="35" borderId="0" xfId="0" applyFont="1" applyFill="1" applyAlignment="1"/>
    <xf numFmtId="165" fontId="0" fillId="0" borderId="0" xfId="0" applyNumberFormat="1"/>
    <xf numFmtId="0" fontId="18" fillId="35" borderId="0" xfId="0" applyFont="1" applyFill="1"/>
    <xf numFmtId="0" fontId="13" fillId="33" borderId="10" xfId="0" applyFont="1" applyFill="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4">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0.0"/>
    </dxf>
    <dxf>
      <font>
        <b val="0"/>
        <i val="0"/>
        <strike val="0"/>
        <condense val="0"/>
        <extend val="0"/>
        <outline val="0"/>
        <shadow val="0"/>
        <u val="none"/>
        <vertAlign val="baseline"/>
        <sz val="11"/>
        <color theme="1"/>
        <name val="Calibri"/>
        <family val="2"/>
        <scheme val="minor"/>
      </font>
    </dxf>
    <dxf>
      <numFmt numFmtId="164" formatCode="0.0"/>
    </dxf>
    <dxf>
      <numFmt numFmtId="165" formatCode="&quot;$&quot;#,##0.00"/>
    </dxf>
    <dxf>
      <numFmt numFmtId="165" formatCode="&quot;$&quot;#,##0.00"/>
    </dxf>
    <dxf>
      <numFmt numFmtId="2" formatCode="0.00"/>
    </dxf>
    <dxf>
      <numFmt numFmtId="165" formatCode="&quot;$&quot;#,##0.00"/>
    </dxf>
    <dxf>
      <numFmt numFmtId="165" formatCode="&quot;$&quot;#,##0.00"/>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3864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Revenue &amp; Profit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'Segment Revenue and Profit'!$B$1</c:f>
              <c:strCache>
                <c:ptCount val="1"/>
                <c:pt idx="0">
                  <c:v> Total Revenue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accent6">
                  <a:alpha val="99000"/>
                </a:schemeClr>
              </a:solidFill>
            </a:ln>
            <a:effectLst/>
          </c:spPr>
          <c:invertIfNegative val="0"/>
          <c:dLbls>
            <c:numFmt formatCode="#,##0,,\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'Segment Revenue and Profit'!$A$2:$A$4</c:f>
              <c:strCache>
                <c:ptCount val="3"/>
                <c:pt idx="0">
                  <c:v>Loyal</c:v>
                </c:pt>
                <c:pt idx="1">
                  <c:v>New</c:v>
                </c:pt>
                <c:pt idx="2">
                  <c:v>Returning</c:v>
                </c:pt>
              </c:strCache>
            </c:strRef>
          </c:cat>
          <c:val>
            <c:numRef>
              <c:f>'Segment Revenue and Profit'!$B$2:$B$4</c:f>
              <c:numCache>
                <c:formatCode>_("$"* #,##0.00_);_("$"* \(#,##0.00\);_("$"* "-"??_);_(@_)</c:formatCode>
                <c:ptCount val="3"/>
                <c:pt idx="0">
                  <c:v>52456821.700000018</c:v>
                </c:pt>
                <c:pt idx="1">
                  <c:v>3988915.7499999986</c:v>
                </c:pt>
                <c:pt idx="2">
                  <c:v>38520405.149999976</c:v>
                </c:pt>
              </c:numCache>
            </c:numRef>
          </c:val>
          <c:extLst>
            <c:ext xmlns:c16="http://schemas.microsoft.com/office/drawing/2014/chart" uri="{C3380CC4-5D6E-409C-BE32-E72D297353CC}">
              <c16:uniqueId val="{00000000-A6A0-4634-A152-38AF618EDF9D}"/>
            </c:ext>
          </c:extLst>
        </c:ser>
        <c:ser>
          <c:idx val="1"/>
          <c:order val="1"/>
          <c:tx>
            <c:strRef>
              <c:f>'Segment Revenue and Profit'!$C$1</c:f>
              <c:strCache>
                <c:ptCount val="1"/>
                <c:pt idx="0">
                  <c:v> Total Gross_Profit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numFmt formatCode="#,##0,,\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'Segment Revenue and Profit'!$A$2:$A$4</c:f>
              <c:strCache>
                <c:ptCount val="3"/>
                <c:pt idx="0">
                  <c:v>Loyal</c:v>
                </c:pt>
                <c:pt idx="1">
                  <c:v>New</c:v>
                </c:pt>
                <c:pt idx="2">
                  <c:v>Returning</c:v>
                </c:pt>
              </c:strCache>
            </c:strRef>
          </c:cat>
          <c:val>
            <c:numRef>
              <c:f>'Segment Revenue and Profit'!$C$2:$C$4</c:f>
              <c:numCache>
                <c:formatCode>_("$"* #,##0.00_);_("$"* \(#,##0.00\);_("$"* "-"??_);_(@_)</c:formatCode>
                <c:ptCount val="3"/>
                <c:pt idx="0">
                  <c:v>16621333.880000001</c:v>
                </c:pt>
                <c:pt idx="1">
                  <c:v>1380996.8299999998</c:v>
                </c:pt>
                <c:pt idx="2">
                  <c:v>12188163.509999994</c:v>
                </c:pt>
              </c:numCache>
            </c:numRef>
          </c:val>
          <c:extLst>
            <c:ext xmlns:c16="http://schemas.microsoft.com/office/drawing/2014/chart" uri="{C3380CC4-5D6E-409C-BE32-E72D297353CC}">
              <c16:uniqueId val="{00000001-A6A0-4634-A152-38AF618EDF9D}"/>
            </c:ext>
          </c:extLst>
        </c:ser>
        <c:dLbls>
          <c:showLegendKey val="0"/>
          <c:showVal val="0"/>
          <c:showCatName val="0"/>
          <c:showSerName val="0"/>
          <c:showPercent val="0"/>
          <c:showBubbleSize val="0"/>
        </c:dLbls>
        <c:gapWidth val="100"/>
        <c:overlap val="-24"/>
        <c:axId val="877012831"/>
        <c:axId val="877013247"/>
      </c:barChart>
      <c:catAx>
        <c:axId val="8770128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7013247"/>
        <c:crosses val="autoZero"/>
        <c:auto val="1"/>
        <c:lblAlgn val="ctr"/>
        <c:lblOffset val="100"/>
        <c:noMultiLvlLbl val="0"/>
      </c:catAx>
      <c:valAx>
        <c:axId val="877013247"/>
        <c:scaling>
          <c:orientation val="minMax"/>
        </c:scaling>
        <c:delete val="0"/>
        <c:axPos val="l"/>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7012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baseline="0">
                <a:solidFill>
                  <a:srgbClr val="44546A"/>
                </a:solidFill>
                <a:latin typeface="+mn-lt"/>
                <a:ea typeface="+mn-ea"/>
                <a:cs typeface="+mn-cs"/>
              </a:rPr>
              <a:t>Repeat Rate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lotArea>
      <c:layout/>
      <c:barChart>
        <c:barDir val="col"/>
        <c:grouping val="clustered"/>
        <c:varyColors val="0"/>
        <c:ser>
          <c:idx val="0"/>
          <c:order val="0"/>
          <c:tx>
            <c:strRef>
              <c:f>'Repeat Rate and AOV'!$B$3</c:f>
              <c:strCache>
                <c:ptCount val="1"/>
                <c:pt idx="0">
                  <c:v>Loyal</c:v>
                </c:pt>
              </c:strCache>
            </c:strRef>
          </c:tx>
          <c:spPr>
            <a:solidFill>
              <a:schemeClr val="accent6"/>
            </a:solidFill>
            <a:ln>
              <a:noFill/>
            </a:ln>
            <a:effectLst/>
          </c:spPr>
          <c:invertIfNegative val="0"/>
          <c:cat>
            <c:strRef>
              <c:f>'Repeat Rate and AOV'!$A$4:$A$14</c:f>
              <c:strCache>
                <c:ptCount val="11"/>
                <c:pt idx="0">
                  <c:v>Abuja</c:v>
                </c:pt>
                <c:pt idx="1">
                  <c:v>Delta</c:v>
                </c:pt>
                <c:pt idx="2">
                  <c:v>Edo</c:v>
                </c:pt>
                <c:pt idx="3">
                  <c:v>Enugu</c:v>
                </c:pt>
                <c:pt idx="4">
                  <c:v>Kaduna</c:v>
                </c:pt>
                <c:pt idx="5">
                  <c:v>Kano</c:v>
                </c:pt>
                <c:pt idx="6">
                  <c:v>Lagos</c:v>
                </c:pt>
                <c:pt idx="7">
                  <c:v>Ogun</c:v>
                </c:pt>
                <c:pt idx="8">
                  <c:v>Oyo</c:v>
                </c:pt>
                <c:pt idx="9">
                  <c:v>Rivers</c:v>
                </c:pt>
                <c:pt idx="10">
                  <c:v>Not Specified</c:v>
                </c:pt>
              </c:strCache>
            </c:strRef>
          </c:cat>
          <c:val>
            <c:numRef>
              <c:f>'Repeat Rate and AOV'!$B$4:$B$14</c:f>
              <c:numCache>
                <c:formatCode>0.00%</c:formatCode>
                <c:ptCount val="11"/>
                <c:pt idx="0">
                  <c:v>0.15469613259668508</c:v>
                </c:pt>
                <c:pt idx="1">
                  <c:v>0.15757575757575756</c:v>
                </c:pt>
                <c:pt idx="2">
                  <c:v>0.1419753086419753</c:v>
                </c:pt>
                <c:pt idx="3">
                  <c:v>0.22277227722772278</c:v>
                </c:pt>
                <c:pt idx="4">
                  <c:v>0.2138728323699422</c:v>
                </c:pt>
                <c:pt idx="5">
                  <c:v>0.19075144508670519</c:v>
                </c:pt>
                <c:pt idx="6">
                  <c:v>0.17525773195876287</c:v>
                </c:pt>
                <c:pt idx="7">
                  <c:v>0.18817204301075269</c:v>
                </c:pt>
                <c:pt idx="8">
                  <c:v>0.18404907975460122</c:v>
                </c:pt>
                <c:pt idx="9">
                  <c:v>0.22513089005235601</c:v>
                </c:pt>
                <c:pt idx="10">
                  <c:v>0.1</c:v>
                </c:pt>
              </c:numCache>
            </c:numRef>
          </c:val>
          <c:extLst>
            <c:ext xmlns:c16="http://schemas.microsoft.com/office/drawing/2014/chart" uri="{C3380CC4-5D6E-409C-BE32-E72D297353CC}">
              <c16:uniqueId val="{00000000-E027-42B5-9393-E66DE9BDD87C}"/>
            </c:ext>
          </c:extLst>
        </c:ser>
        <c:ser>
          <c:idx val="1"/>
          <c:order val="1"/>
          <c:tx>
            <c:strRef>
              <c:f>'Repeat Rate and AOV'!$C$3</c:f>
              <c:strCache>
                <c:ptCount val="1"/>
                <c:pt idx="0">
                  <c:v>New</c:v>
                </c:pt>
              </c:strCache>
            </c:strRef>
          </c:tx>
          <c:spPr>
            <a:solidFill>
              <a:schemeClr val="accent5"/>
            </a:solidFill>
            <a:ln>
              <a:noFill/>
            </a:ln>
            <a:effectLst/>
          </c:spPr>
          <c:invertIfNegative val="0"/>
          <c:cat>
            <c:strRef>
              <c:f>'Repeat Rate and AOV'!$A$4:$A$14</c:f>
              <c:strCache>
                <c:ptCount val="11"/>
                <c:pt idx="0">
                  <c:v>Abuja</c:v>
                </c:pt>
                <c:pt idx="1">
                  <c:v>Delta</c:v>
                </c:pt>
                <c:pt idx="2">
                  <c:v>Edo</c:v>
                </c:pt>
                <c:pt idx="3">
                  <c:v>Enugu</c:v>
                </c:pt>
                <c:pt idx="4">
                  <c:v>Kaduna</c:v>
                </c:pt>
                <c:pt idx="5">
                  <c:v>Kano</c:v>
                </c:pt>
                <c:pt idx="6">
                  <c:v>Lagos</c:v>
                </c:pt>
                <c:pt idx="7">
                  <c:v>Ogun</c:v>
                </c:pt>
                <c:pt idx="8">
                  <c:v>Oyo</c:v>
                </c:pt>
                <c:pt idx="9">
                  <c:v>Rivers</c:v>
                </c:pt>
                <c:pt idx="10">
                  <c:v>Not Specified</c:v>
                </c:pt>
              </c:strCache>
            </c:strRef>
          </c:cat>
          <c:val>
            <c:numRef>
              <c:f>'Repeat Rate and AOV'!$C$4:$C$14</c:f>
              <c:numCache>
                <c:formatCode>0.00%</c:formatCode>
                <c:ptCount val="11"/>
                <c:pt idx="0">
                  <c:v>0.4585635359116022</c:v>
                </c:pt>
                <c:pt idx="1">
                  <c:v>0.49090909090909091</c:v>
                </c:pt>
                <c:pt idx="2">
                  <c:v>0.48765432098765432</c:v>
                </c:pt>
                <c:pt idx="3">
                  <c:v>0.40594059405940597</c:v>
                </c:pt>
                <c:pt idx="4">
                  <c:v>0.43930635838150289</c:v>
                </c:pt>
                <c:pt idx="5">
                  <c:v>0.46242774566473988</c:v>
                </c:pt>
                <c:pt idx="6">
                  <c:v>0.50515463917525771</c:v>
                </c:pt>
                <c:pt idx="7">
                  <c:v>0.39784946236559138</c:v>
                </c:pt>
                <c:pt idx="8">
                  <c:v>0.44171779141104295</c:v>
                </c:pt>
                <c:pt idx="9">
                  <c:v>0.46596858638743455</c:v>
                </c:pt>
                <c:pt idx="10">
                  <c:v>0.4</c:v>
                </c:pt>
              </c:numCache>
            </c:numRef>
          </c:val>
          <c:extLst>
            <c:ext xmlns:c16="http://schemas.microsoft.com/office/drawing/2014/chart" uri="{C3380CC4-5D6E-409C-BE32-E72D297353CC}">
              <c16:uniqueId val="{00000001-E027-42B5-9393-E66DE9BDD87C}"/>
            </c:ext>
          </c:extLst>
        </c:ser>
        <c:ser>
          <c:idx val="2"/>
          <c:order val="2"/>
          <c:tx>
            <c:strRef>
              <c:f>'Repeat Rate and AOV'!$D$3</c:f>
              <c:strCache>
                <c:ptCount val="1"/>
                <c:pt idx="0">
                  <c:v>Returning</c:v>
                </c:pt>
              </c:strCache>
            </c:strRef>
          </c:tx>
          <c:spPr>
            <a:solidFill>
              <a:schemeClr val="accent4"/>
            </a:solidFill>
            <a:ln>
              <a:noFill/>
            </a:ln>
            <a:effectLst/>
          </c:spPr>
          <c:invertIfNegative val="0"/>
          <c:cat>
            <c:strRef>
              <c:f>'Repeat Rate and AOV'!$A$4:$A$14</c:f>
              <c:strCache>
                <c:ptCount val="11"/>
                <c:pt idx="0">
                  <c:v>Abuja</c:v>
                </c:pt>
                <c:pt idx="1">
                  <c:v>Delta</c:v>
                </c:pt>
                <c:pt idx="2">
                  <c:v>Edo</c:v>
                </c:pt>
                <c:pt idx="3">
                  <c:v>Enugu</c:v>
                </c:pt>
                <c:pt idx="4">
                  <c:v>Kaduna</c:v>
                </c:pt>
                <c:pt idx="5">
                  <c:v>Kano</c:v>
                </c:pt>
                <c:pt idx="6">
                  <c:v>Lagos</c:v>
                </c:pt>
                <c:pt idx="7">
                  <c:v>Ogun</c:v>
                </c:pt>
                <c:pt idx="8">
                  <c:v>Oyo</c:v>
                </c:pt>
                <c:pt idx="9">
                  <c:v>Rivers</c:v>
                </c:pt>
                <c:pt idx="10">
                  <c:v>Not Specified</c:v>
                </c:pt>
              </c:strCache>
            </c:strRef>
          </c:cat>
          <c:val>
            <c:numRef>
              <c:f>'Repeat Rate and AOV'!$D$4:$D$14</c:f>
              <c:numCache>
                <c:formatCode>0.00%</c:formatCode>
                <c:ptCount val="11"/>
                <c:pt idx="0">
                  <c:v>0.38674033149171272</c:v>
                </c:pt>
                <c:pt idx="1">
                  <c:v>0.3515151515151515</c:v>
                </c:pt>
                <c:pt idx="2">
                  <c:v>0.37037037037037035</c:v>
                </c:pt>
                <c:pt idx="3">
                  <c:v>0.37128712871287128</c:v>
                </c:pt>
                <c:pt idx="4">
                  <c:v>0.34682080924855491</c:v>
                </c:pt>
                <c:pt idx="5">
                  <c:v>0.34682080924855491</c:v>
                </c:pt>
                <c:pt idx="6">
                  <c:v>0.31958762886597936</c:v>
                </c:pt>
                <c:pt idx="7">
                  <c:v>0.41397849462365593</c:v>
                </c:pt>
                <c:pt idx="8">
                  <c:v>0.37423312883435583</c:v>
                </c:pt>
                <c:pt idx="9">
                  <c:v>0.30890052356020942</c:v>
                </c:pt>
                <c:pt idx="10">
                  <c:v>0.5</c:v>
                </c:pt>
              </c:numCache>
            </c:numRef>
          </c:val>
          <c:extLst>
            <c:ext xmlns:c16="http://schemas.microsoft.com/office/drawing/2014/chart" uri="{C3380CC4-5D6E-409C-BE32-E72D297353CC}">
              <c16:uniqueId val="{00000002-E027-42B5-9393-E66DE9BDD87C}"/>
            </c:ext>
          </c:extLst>
        </c:ser>
        <c:dLbls>
          <c:showLegendKey val="0"/>
          <c:showVal val="0"/>
          <c:showCatName val="0"/>
          <c:showSerName val="0"/>
          <c:showPercent val="0"/>
          <c:showBubbleSize val="0"/>
        </c:dLbls>
        <c:gapWidth val="219"/>
        <c:overlap val="-27"/>
        <c:axId val="881794735"/>
        <c:axId val="881790575"/>
      </c:barChart>
      <c:catAx>
        <c:axId val="8817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90575"/>
        <c:crosses val="autoZero"/>
        <c:auto val="1"/>
        <c:lblAlgn val="ctr"/>
        <c:lblOffset val="100"/>
        <c:noMultiLvlLbl val="0"/>
      </c:catAx>
      <c:valAx>
        <c:axId val="88179057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9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400" b="1" i="0" u="none" strike="noStrike" kern="1200" spc="0" baseline="0">
                <a:solidFill>
                  <a:srgbClr val="44546A"/>
                </a:solidFill>
                <a:latin typeface="+mn-lt"/>
                <a:ea typeface="+mn-ea"/>
                <a:cs typeface="+mn-cs"/>
              </a:rPr>
              <a:t>Average Order Value &amp; Purchase Frequency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lotArea>
      <c:layout/>
      <c:lineChart>
        <c:grouping val="standard"/>
        <c:varyColors val="0"/>
        <c:ser>
          <c:idx val="0"/>
          <c:order val="0"/>
          <c:tx>
            <c:strRef>
              <c:f>'Repeat Rate and AOV'!$P$3</c:f>
              <c:strCache>
                <c:ptCount val="1"/>
                <c:pt idx="0">
                  <c:v>Average Purchase Frequency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layout>
                <c:manualLayout>
                  <c:x val="-1.3888888888888888E-2"/>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B4-4CBC-988B-6F14823C7BD2}"/>
                </c:ext>
              </c:extLst>
            </c:dLbl>
            <c:dLbl>
              <c:idx val="1"/>
              <c:layout>
                <c:manualLayout>
                  <c:x val="-3.0555555555555555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B4-4CBC-988B-6F14823C7BD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'Repeat Rate and AOV'!$O$4:$O$6</c:f>
              <c:strCache>
                <c:ptCount val="3"/>
                <c:pt idx="0">
                  <c:v>Loyal</c:v>
                </c:pt>
                <c:pt idx="1">
                  <c:v>New</c:v>
                </c:pt>
                <c:pt idx="2">
                  <c:v>Returning</c:v>
                </c:pt>
              </c:strCache>
            </c:strRef>
          </c:cat>
          <c:val>
            <c:numRef>
              <c:f>'Repeat Rate and AOV'!$P$4:$P$6</c:f>
              <c:numCache>
                <c:formatCode>0.0</c:formatCode>
                <c:ptCount val="3"/>
                <c:pt idx="0">
                  <c:v>4.9130434782608692</c:v>
                </c:pt>
                <c:pt idx="1">
                  <c:v>1</c:v>
                </c:pt>
                <c:pt idx="2">
                  <c:v>2.4982206405693952</c:v>
                </c:pt>
              </c:numCache>
            </c:numRef>
          </c:val>
          <c:smooth val="0"/>
          <c:extLst>
            <c:ext xmlns:c16="http://schemas.microsoft.com/office/drawing/2014/chart" uri="{C3380CC4-5D6E-409C-BE32-E72D297353CC}">
              <c16:uniqueId val="{00000002-CCB4-4CBC-988B-6F14823C7BD2}"/>
            </c:ext>
          </c:extLst>
        </c:ser>
        <c:dLbls>
          <c:showLegendKey val="0"/>
          <c:showVal val="1"/>
          <c:showCatName val="0"/>
          <c:showSerName val="0"/>
          <c:showPercent val="0"/>
          <c:showBubbleSize val="0"/>
        </c:dLbls>
        <c:marker val="1"/>
        <c:smooth val="0"/>
        <c:axId val="1240260415"/>
        <c:axId val="1240259167"/>
      </c:lineChart>
      <c:lineChart>
        <c:grouping val="standard"/>
        <c:varyColors val="0"/>
        <c:ser>
          <c:idx val="1"/>
          <c:order val="1"/>
          <c:tx>
            <c:strRef>
              <c:f>'Repeat Rate and AOV'!$Q$3</c:f>
              <c:strCache>
                <c:ptCount val="1"/>
                <c:pt idx="0">
                  <c:v> Average Order_Value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0"/>
              <c:layout>
                <c:manualLayout>
                  <c:x val="-0.1027778616851887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B4-4CBC-988B-6F14823C7BD2}"/>
                </c:ext>
              </c:extLst>
            </c:dLbl>
            <c:dLbl>
              <c:idx val="1"/>
              <c:layout>
                <c:manualLayout>
                  <c:x val="-5.5197796086738048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B4-4CBC-988B-6F14823C7BD2}"/>
                </c:ext>
              </c:extLst>
            </c:dLbl>
            <c:dLbl>
              <c:idx val="2"/>
              <c:layout>
                <c:manualLayout>
                  <c:x val="-1.9444444444444445E-2"/>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B4-4CBC-988B-6F14823C7BD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'Repeat Rate and AOV'!$O$4:$O$6</c:f>
              <c:strCache>
                <c:ptCount val="3"/>
                <c:pt idx="0">
                  <c:v>Loyal</c:v>
                </c:pt>
                <c:pt idx="1">
                  <c:v>New</c:v>
                </c:pt>
                <c:pt idx="2">
                  <c:v>Returning</c:v>
                </c:pt>
              </c:strCache>
            </c:strRef>
          </c:cat>
          <c:val>
            <c:numRef>
              <c:f>'Repeat Rate and AOV'!$Q$4:$Q$6</c:f>
              <c:numCache>
                <c:formatCode>_("$"* #,##0.00_);_("$"* \(#,##0.00\);_("$"* "-"??_);_(@_)</c:formatCode>
                <c:ptCount val="3"/>
                <c:pt idx="0">
                  <c:v>51356.792900563603</c:v>
                </c:pt>
                <c:pt idx="1">
                  <c:v>49245.873456790105</c:v>
                </c:pt>
                <c:pt idx="2">
                  <c:v>54483.037129300166</c:v>
                </c:pt>
              </c:numCache>
            </c:numRef>
          </c:val>
          <c:smooth val="0"/>
          <c:extLst>
            <c:ext xmlns:c16="http://schemas.microsoft.com/office/drawing/2014/chart" uri="{C3380CC4-5D6E-409C-BE32-E72D297353CC}">
              <c16:uniqueId val="{00000005-CCB4-4CBC-988B-6F14823C7BD2}"/>
            </c:ext>
          </c:extLst>
        </c:ser>
        <c:dLbls>
          <c:showLegendKey val="0"/>
          <c:showVal val="1"/>
          <c:showCatName val="0"/>
          <c:showSerName val="0"/>
          <c:showPercent val="0"/>
          <c:showBubbleSize val="0"/>
        </c:dLbls>
        <c:marker val="1"/>
        <c:smooth val="0"/>
        <c:axId val="1276055759"/>
        <c:axId val="1276055343"/>
      </c:lineChart>
      <c:catAx>
        <c:axId val="124026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59167"/>
        <c:crosses val="autoZero"/>
        <c:auto val="1"/>
        <c:lblAlgn val="ctr"/>
        <c:lblOffset val="100"/>
        <c:noMultiLvlLbl val="0"/>
      </c:catAx>
      <c:valAx>
        <c:axId val="124025916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60415"/>
        <c:crosses val="autoZero"/>
        <c:crossBetween val="between"/>
      </c:valAx>
      <c:valAx>
        <c:axId val="1276055343"/>
        <c:scaling>
          <c:orientation val="minMax"/>
        </c:scaling>
        <c:delete val="0"/>
        <c:axPos val="r"/>
        <c:numFmt formatCode="_(\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55759"/>
        <c:crosses val="max"/>
        <c:crossBetween val="between"/>
      </c:valAx>
      <c:catAx>
        <c:axId val="1276055759"/>
        <c:scaling>
          <c:orientation val="minMax"/>
        </c:scaling>
        <c:delete val="1"/>
        <c:axPos val="b"/>
        <c:numFmt formatCode="General" sourceLinked="1"/>
        <c:majorTickMark val="out"/>
        <c:minorTickMark val="none"/>
        <c:tickLblPos val="nextTo"/>
        <c:crossAx val="12760553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rgbClr val="44546A"/>
                </a:solidFill>
                <a:latin typeface="+mn-lt"/>
                <a:ea typeface="+mn-ea"/>
                <a:cs typeface="+mn-cs"/>
              </a:defRPr>
            </a:pPr>
            <a:r>
              <a:rPr lang="en-US" sz="1400" b="1" i="0" u="none" strike="noStrike" kern="1200" spc="0" baseline="0">
                <a:solidFill>
                  <a:srgbClr val="44546A"/>
                </a:solidFill>
                <a:latin typeface="+mn-lt"/>
                <a:ea typeface="+mn-ea"/>
                <a:cs typeface="+mn-cs"/>
              </a:rPr>
              <a:t>Repeat Rate by Acquisition Channel</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rgbClr val="44546A"/>
              </a:solidFill>
              <a:latin typeface="+mn-lt"/>
              <a:ea typeface="+mn-ea"/>
              <a:cs typeface="+mn-cs"/>
            </a:defRPr>
          </a:pPr>
          <a:endParaRPr lang="en-US"/>
        </a:p>
      </c:txPr>
    </c:title>
    <c:autoTitleDeleted val="0"/>
    <c:plotArea>
      <c:layout/>
      <c:barChart>
        <c:barDir val="bar"/>
        <c:grouping val="percentStacked"/>
        <c:varyColors val="0"/>
        <c:ser>
          <c:idx val="0"/>
          <c:order val="0"/>
          <c:tx>
            <c:strRef>
              <c:f>'Repeat Rate and AOV'!$I$3</c:f>
              <c:strCache>
                <c:ptCount val="1"/>
                <c:pt idx="0">
                  <c:v>Loyal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'Repeat Rate and AOV'!$H$4:$H$10</c:f>
              <c:strCache>
                <c:ptCount val="7"/>
                <c:pt idx="0">
                  <c:v>Facebook</c:v>
                </c:pt>
                <c:pt idx="1">
                  <c:v>Google</c:v>
                </c:pt>
                <c:pt idx="2">
                  <c:v>Instagram</c:v>
                </c:pt>
                <c:pt idx="3">
                  <c:v>Organic Search</c:v>
                </c:pt>
                <c:pt idx="4">
                  <c:v>Referral</c:v>
                </c:pt>
                <c:pt idx="5">
                  <c:v>WhatsApp</c:v>
                </c:pt>
                <c:pt idx="6">
                  <c:v>Not Specified</c:v>
                </c:pt>
              </c:strCache>
            </c:strRef>
          </c:cat>
          <c:val>
            <c:numRef>
              <c:f>'Repeat Rate and AOV'!$I$4:$I$10</c:f>
              <c:numCache>
                <c:formatCode>0.00%</c:formatCode>
                <c:ptCount val="7"/>
                <c:pt idx="0">
                  <c:v>0.17499999999999999</c:v>
                </c:pt>
                <c:pt idx="1">
                  <c:v>0.18092105263157895</c:v>
                </c:pt>
                <c:pt idx="2">
                  <c:v>0.22108843537414966</c:v>
                </c:pt>
                <c:pt idx="3">
                  <c:v>0.19032258064516128</c:v>
                </c:pt>
                <c:pt idx="4">
                  <c:v>0.16176470588235295</c:v>
                </c:pt>
                <c:pt idx="5">
                  <c:v>0.18318318318318319</c:v>
                </c:pt>
                <c:pt idx="6">
                  <c:v>0.2857142857142857</c:v>
                </c:pt>
              </c:numCache>
            </c:numRef>
          </c:val>
          <c:extLst>
            <c:ext xmlns:c16="http://schemas.microsoft.com/office/drawing/2014/chart" uri="{C3380CC4-5D6E-409C-BE32-E72D297353CC}">
              <c16:uniqueId val="{00000000-4BAB-4F20-9386-8981BDAED1BD}"/>
            </c:ext>
          </c:extLst>
        </c:ser>
        <c:ser>
          <c:idx val="1"/>
          <c:order val="1"/>
          <c:tx>
            <c:strRef>
              <c:f>'Repeat Rate and AOV'!$J$3</c:f>
              <c:strCache>
                <c:ptCount val="1"/>
                <c:pt idx="0">
                  <c:v>New</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'Repeat Rate and AOV'!$H$4:$H$10</c:f>
              <c:strCache>
                <c:ptCount val="7"/>
                <c:pt idx="0">
                  <c:v>Facebook</c:v>
                </c:pt>
                <c:pt idx="1">
                  <c:v>Google</c:v>
                </c:pt>
                <c:pt idx="2">
                  <c:v>Instagram</c:v>
                </c:pt>
                <c:pt idx="3">
                  <c:v>Organic Search</c:v>
                </c:pt>
                <c:pt idx="4">
                  <c:v>Referral</c:v>
                </c:pt>
                <c:pt idx="5">
                  <c:v>WhatsApp</c:v>
                </c:pt>
                <c:pt idx="6">
                  <c:v>Not Specified</c:v>
                </c:pt>
              </c:strCache>
            </c:strRef>
          </c:cat>
          <c:val>
            <c:numRef>
              <c:f>'Repeat Rate and AOV'!$J$4:$J$10</c:f>
              <c:numCache>
                <c:formatCode>0.00%</c:formatCode>
                <c:ptCount val="7"/>
                <c:pt idx="0">
                  <c:v>0.47499999999999998</c:v>
                </c:pt>
                <c:pt idx="1">
                  <c:v>0.44078947368421051</c:v>
                </c:pt>
                <c:pt idx="2">
                  <c:v>0.48299319727891155</c:v>
                </c:pt>
                <c:pt idx="3">
                  <c:v>0.40322580645161288</c:v>
                </c:pt>
                <c:pt idx="4">
                  <c:v>0.4889705882352941</c:v>
                </c:pt>
                <c:pt idx="5">
                  <c:v>0.44744744744744747</c:v>
                </c:pt>
                <c:pt idx="6">
                  <c:v>0.2857142857142857</c:v>
                </c:pt>
              </c:numCache>
            </c:numRef>
          </c:val>
          <c:extLst>
            <c:ext xmlns:c16="http://schemas.microsoft.com/office/drawing/2014/chart" uri="{C3380CC4-5D6E-409C-BE32-E72D297353CC}">
              <c16:uniqueId val="{00000001-4BAB-4F20-9386-8981BDAED1BD}"/>
            </c:ext>
          </c:extLst>
        </c:ser>
        <c:ser>
          <c:idx val="2"/>
          <c:order val="2"/>
          <c:tx>
            <c:strRef>
              <c:f>'Repeat Rate and AOV'!$K$3</c:f>
              <c:strCache>
                <c:ptCount val="1"/>
                <c:pt idx="0">
                  <c:v>Returning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'Repeat Rate and AOV'!$H$4:$H$10</c:f>
              <c:strCache>
                <c:ptCount val="7"/>
                <c:pt idx="0">
                  <c:v>Facebook</c:v>
                </c:pt>
                <c:pt idx="1">
                  <c:v>Google</c:v>
                </c:pt>
                <c:pt idx="2">
                  <c:v>Instagram</c:v>
                </c:pt>
                <c:pt idx="3">
                  <c:v>Organic Search</c:v>
                </c:pt>
                <c:pt idx="4">
                  <c:v>Referral</c:v>
                </c:pt>
                <c:pt idx="5">
                  <c:v>WhatsApp</c:v>
                </c:pt>
                <c:pt idx="6">
                  <c:v>Not Specified</c:v>
                </c:pt>
              </c:strCache>
            </c:strRef>
          </c:cat>
          <c:val>
            <c:numRef>
              <c:f>'Repeat Rate and AOV'!$K$4:$K$10</c:f>
              <c:numCache>
                <c:formatCode>0.00%</c:formatCode>
                <c:ptCount val="7"/>
                <c:pt idx="0">
                  <c:v>0.35</c:v>
                </c:pt>
                <c:pt idx="1">
                  <c:v>0.37828947368421051</c:v>
                </c:pt>
                <c:pt idx="2">
                  <c:v>0.29591836734693877</c:v>
                </c:pt>
                <c:pt idx="3">
                  <c:v>0.40645161290322579</c:v>
                </c:pt>
                <c:pt idx="4">
                  <c:v>0.34926470588235292</c:v>
                </c:pt>
                <c:pt idx="5">
                  <c:v>0.36936936936936937</c:v>
                </c:pt>
                <c:pt idx="6">
                  <c:v>0.42857142857142855</c:v>
                </c:pt>
              </c:numCache>
            </c:numRef>
          </c:val>
          <c:extLst>
            <c:ext xmlns:c16="http://schemas.microsoft.com/office/drawing/2014/chart" uri="{C3380CC4-5D6E-409C-BE32-E72D297353CC}">
              <c16:uniqueId val="{00000002-4BAB-4F20-9386-8981BDAED1BD}"/>
            </c:ext>
          </c:extLst>
        </c:ser>
        <c:dLbls>
          <c:dLblPos val="ctr"/>
          <c:showLegendKey val="0"/>
          <c:showVal val="1"/>
          <c:showCatName val="0"/>
          <c:showSerName val="0"/>
          <c:showPercent val="0"/>
          <c:showBubbleSize val="0"/>
        </c:dLbls>
        <c:gapWidth val="150"/>
        <c:overlap val="100"/>
        <c:axId val="881887935"/>
        <c:axId val="881882527"/>
      </c:barChart>
      <c:catAx>
        <c:axId val="88188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82527"/>
        <c:crosses val="autoZero"/>
        <c:auto val="1"/>
        <c:lblAlgn val="ctr"/>
        <c:lblOffset val="100"/>
        <c:noMultiLvlLbl val="0"/>
      </c:catAx>
      <c:valAx>
        <c:axId val="88188252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8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900" b="1" i="0" u="none" strike="noStrike" kern="1200" spc="0" baseline="0">
                <a:solidFill>
                  <a:schemeClr val="bg1"/>
                </a:solidFill>
                <a:latin typeface="+mn-lt"/>
                <a:ea typeface="+mn-ea"/>
                <a:cs typeface="+mn-cs"/>
              </a:defRPr>
            </a:pPr>
            <a:r>
              <a:rPr lang="en-US" sz="900" b="1" i="0" u="none" strike="noStrike" kern="1200" spc="0" baseline="0">
                <a:solidFill>
                  <a:schemeClr val="bg1"/>
                </a:solidFill>
                <a:latin typeface="+mn-lt"/>
                <a:ea typeface="+mn-ea"/>
                <a:cs typeface="+mn-cs"/>
              </a:rPr>
              <a:t>Total Customers By Segment</a:t>
            </a:r>
          </a:p>
        </c:rich>
      </c:tx>
      <c:overlay val="0"/>
      <c:spPr>
        <a:noFill/>
        <a:ln>
          <a:noFill/>
        </a:ln>
        <a:effectLst/>
      </c:spPr>
      <c:txPr>
        <a:bodyPr rot="0" spcFirstLastPara="1" vertOverflow="ellipsis" vert="horz" wrap="square" anchor="ctr" anchorCtr="1"/>
        <a:lstStyle/>
        <a:p>
          <a:pPr algn="ctr" rtl="0">
            <a:defRPr lang="en-US" sz="900" b="1"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olidFill>
              <a:ln w="19050">
                <a:noFill/>
              </a:ln>
              <a:effectLst/>
            </c:spPr>
            <c:extLst>
              <c:ext xmlns:c16="http://schemas.microsoft.com/office/drawing/2014/chart" uri="{C3380CC4-5D6E-409C-BE32-E72D297353CC}">
                <c16:uniqueId val="{00000001-55C7-4F82-9290-6675CB54A766}"/>
              </c:ext>
            </c:extLst>
          </c:dPt>
          <c:dPt>
            <c:idx val="1"/>
            <c:bubble3D val="0"/>
            <c:spPr>
              <a:solidFill>
                <a:schemeClr val="accent5"/>
              </a:solidFill>
              <a:ln w="19050">
                <a:noFill/>
              </a:ln>
              <a:effectLst/>
            </c:spPr>
            <c:extLst>
              <c:ext xmlns:c16="http://schemas.microsoft.com/office/drawing/2014/chart" uri="{C3380CC4-5D6E-409C-BE32-E72D297353CC}">
                <c16:uniqueId val="{00000003-55C7-4F82-9290-6675CB54A766}"/>
              </c:ext>
            </c:extLst>
          </c:dPt>
          <c:dPt>
            <c:idx val="2"/>
            <c:bubble3D val="0"/>
            <c:spPr>
              <a:solidFill>
                <a:schemeClr val="accent4"/>
              </a:solidFill>
              <a:ln w="19050">
                <a:noFill/>
              </a:ln>
              <a:effectLst/>
            </c:spPr>
            <c:extLst>
              <c:ext xmlns:c16="http://schemas.microsoft.com/office/drawing/2014/chart" uri="{C3380CC4-5D6E-409C-BE32-E72D297353CC}">
                <c16:uniqueId val="{00000005-55C7-4F82-9290-6675CB54A7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Revenue and Profit'!$A$2:$A$4</c:f>
              <c:strCache>
                <c:ptCount val="3"/>
                <c:pt idx="0">
                  <c:v>Loyal</c:v>
                </c:pt>
                <c:pt idx="1">
                  <c:v>New</c:v>
                </c:pt>
                <c:pt idx="2">
                  <c:v>Returning</c:v>
                </c:pt>
              </c:strCache>
            </c:strRef>
          </c:cat>
          <c:val>
            <c:numRef>
              <c:f>'Segment Revenue and Profit'!$D$2:$D$4</c:f>
              <c:numCache>
                <c:formatCode>General</c:formatCode>
                <c:ptCount val="3"/>
                <c:pt idx="0">
                  <c:v>207</c:v>
                </c:pt>
                <c:pt idx="1">
                  <c:v>81</c:v>
                </c:pt>
                <c:pt idx="2">
                  <c:v>281</c:v>
                </c:pt>
              </c:numCache>
            </c:numRef>
          </c:val>
          <c:extLst>
            <c:ext xmlns:c16="http://schemas.microsoft.com/office/drawing/2014/chart" uri="{C3380CC4-5D6E-409C-BE32-E72D297353CC}">
              <c16:uniqueId val="{00000006-55C7-4F82-9290-6675CB54A7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image" Target="../media/image11.svg"/><Relationship Id="rId26" Type="http://schemas.openxmlformats.org/officeDocument/2006/relationships/image" Target="../media/image19.svg"/><Relationship Id="rId3" Type="http://schemas.openxmlformats.org/officeDocument/2006/relationships/hyperlink" Target="#'Cleaned Data Set'!A1"/><Relationship Id="rId21" Type="http://schemas.openxmlformats.org/officeDocument/2006/relationships/image" Target="../media/image14.png"/><Relationship Id="rId7" Type="http://schemas.openxmlformats.org/officeDocument/2006/relationships/image" Target="../media/image4.png"/><Relationship Id="rId12" Type="http://schemas.openxmlformats.org/officeDocument/2006/relationships/chart" Target="../charts/chart2.xml"/><Relationship Id="rId17" Type="http://schemas.openxmlformats.org/officeDocument/2006/relationships/image" Target="../media/image10.png"/><Relationship Id="rId25" Type="http://schemas.openxmlformats.org/officeDocument/2006/relationships/image" Target="../media/image18.png"/><Relationship Id="rId2" Type="http://schemas.openxmlformats.org/officeDocument/2006/relationships/hyperlink" Target="#'Customer Summary'!A1"/><Relationship Id="rId16" Type="http://schemas.openxmlformats.org/officeDocument/2006/relationships/chart" Target="../charts/chart4.xml"/><Relationship Id="rId20" Type="http://schemas.openxmlformats.org/officeDocument/2006/relationships/image" Target="../media/image13.svg"/><Relationship Id="rId29" Type="http://schemas.openxmlformats.org/officeDocument/2006/relationships/image" Target="../media/image22.png"/><Relationship Id="rId1" Type="http://schemas.openxmlformats.org/officeDocument/2006/relationships/hyperlink" Target="#Dashboard!A1"/><Relationship Id="rId6" Type="http://schemas.openxmlformats.org/officeDocument/2006/relationships/image" Target="../media/image3.svg"/><Relationship Id="rId11" Type="http://schemas.openxmlformats.org/officeDocument/2006/relationships/chart" Target="../charts/chart1.xml"/><Relationship Id="rId24" Type="http://schemas.openxmlformats.org/officeDocument/2006/relationships/image" Target="../media/image17.svg"/><Relationship Id="rId32" Type="http://schemas.openxmlformats.org/officeDocument/2006/relationships/chart" Target="../charts/chart5.xml"/><Relationship Id="rId5" Type="http://schemas.openxmlformats.org/officeDocument/2006/relationships/image" Target="../media/image2.svg"/><Relationship Id="rId15" Type="http://schemas.openxmlformats.org/officeDocument/2006/relationships/chart" Target="../charts/chart3.xml"/><Relationship Id="rId23" Type="http://schemas.openxmlformats.org/officeDocument/2006/relationships/image" Target="../media/image16.png"/><Relationship Id="rId28" Type="http://schemas.openxmlformats.org/officeDocument/2006/relationships/image" Target="../media/image21.svg"/><Relationship Id="rId10" Type="http://schemas.openxmlformats.org/officeDocument/2006/relationships/image" Target="../media/image7.svg"/><Relationship Id="rId19" Type="http://schemas.openxmlformats.org/officeDocument/2006/relationships/image" Target="../media/image12.png"/><Relationship Id="rId31" Type="http://schemas.openxmlformats.org/officeDocument/2006/relationships/image" Target="../media/image24.sv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image" Target="../media/image9.svg"/><Relationship Id="rId22" Type="http://schemas.openxmlformats.org/officeDocument/2006/relationships/image" Target="../media/image15.svg"/><Relationship Id="rId27" Type="http://schemas.openxmlformats.org/officeDocument/2006/relationships/image" Target="../media/image20.png"/><Relationship Id="rId30" Type="http://schemas.openxmlformats.org/officeDocument/2006/relationships/image" Target="../media/image23.svg"/></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180975</xdr:colOff>
      <xdr:row>55</xdr:row>
      <xdr:rowOff>0</xdr:rowOff>
    </xdr:to>
    <xdr:sp macro="" textlink="">
      <xdr:nvSpPr>
        <xdr:cNvPr id="12" name="Rectangle: Rounded Corners 11">
          <a:extLst>
            <a:ext uri="{FF2B5EF4-FFF2-40B4-BE49-F238E27FC236}">
              <a16:creationId xmlns:a16="http://schemas.microsoft.com/office/drawing/2014/main" id="{DB9282DB-E500-45B6-9091-E675DA8E5D9D}"/>
            </a:ext>
          </a:extLst>
        </xdr:cNvPr>
        <xdr:cNvSpPr/>
      </xdr:nvSpPr>
      <xdr:spPr>
        <a:xfrm>
          <a:off x="0" y="0"/>
          <a:ext cx="11680428" cy="10368359"/>
        </a:xfrm>
        <a:prstGeom prst="roundRect">
          <a:avLst>
            <a:gd name="adj" fmla="val 4073"/>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115888</xdr:colOff>
      <xdr:row>0</xdr:row>
      <xdr:rowOff>76596</xdr:rowOff>
    </xdr:from>
    <xdr:to>
      <xdr:col>19</xdr:col>
      <xdr:colOff>148545</xdr:colOff>
      <xdr:row>54</xdr:row>
      <xdr:rowOff>41672</xdr:rowOff>
    </xdr:to>
    <xdr:sp macro="" textlink="">
      <xdr:nvSpPr>
        <xdr:cNvPr id="14" name="Rectangle: Rounded Corners 13">
          <a:extLst>
            <a:ext uri="{FF2B5EF4-FFF2-40B4-BE49-F238E27FC236}">
              <a16:creationId xmlns:a16="http://schemas.microsoft.com/office/drawing/2014/main" id="{400A4F39-1ECC-42C8-A2E8-E81F4B269AB7}"/>
            </a:ext>
          </a:extLst>
        </xdr:cNvPr>
        <xdr:cNvSpPr/>
      </xdr:nvSpPr>
      <xdr:spPr>
        <a:xfrm>
          <a:off x="1931591" y="76596"/>
          <a:ext cx="9716407" cy="10144920"/>
        </a:xfrm>
        <a:prstGeom prst="roundRect">
          <a:avLst>
            <a:gd name="adj" fmla="val 427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190500</xdr:colOff>
      <xdr:row>5</xdr:row>
      <xdr:rowOff>4764</xdr:rowOff>
    </xdr:from>
    <xdr:to>
      <xdr:col>2</xdr:col>
      <xdr:colOff>395288</xdr:colOff>
      <xdr:row>8</xdr:row>
      <xdr:rowOff>76200</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4CCE2895-60D2-43D3-881F-D457389C5C6D}"/>
            </a:ext>
          </a:extLst>
        </xdr:cNvPr>
        <xdr:cNvSpPr/>
      </xdr:nvSpPr>
      <xdr:spPr>
        <a:xfrm>
          <a:off x="190500" y="957264"/>
          <a:ext cx="1423988" cy="642936"/>
        </a:xfrm>
        <a:prstGeom prst="roundRect">
          <a:avLst>
            <a:gd name="adj" fmla="val 50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800" b="1" cap="none" spc="0">
              <a:ln w="0"/>
              <a:solidFill>
                <a:schemeClr val="accent1">
                  <a:lumMod val="75000"/>
                </a:schemeClr>
              </a:solidFill>
              <a:effectLst>
                <a:outerShdw blurRad="38100" dist="25400" dir="5400000" algn="ctr" rotWithShape="0">
                  <a:srgbClr val="6E747A">
                    <a:alpha val="43000"/>
                  </a:srgbClr>
                </a:outerShdw>
              </a:effectLst>
            </a:rPr>
            <a:t>Dashboard</a:t>
          </a:r>
        </a:p>
      </xdr:txBody>
    </xdr:sp>
    <xdr:clientData/>
  </xdr:twoCellAnchor>
  <xdr:twoCellAnchor>
    <xdr:from>
      <xdr:col>0</xdr:col>
      <xdr:colOff>209550</xdr:colOff>
      <xdr:row>10</xdr:row>
      <xdr:rowOff>2381</xdr:rowOff>
    </xdr:from>
    <xdr:to>
      <xdr:col>2</xdr:col>
      <xdr:colOff>414338</xdr:colOff>
      <xdr:row>13</xdr:row>
      <xdr:rowOff>35718</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D3FC25A9-E79E-4936-9055-C10F825FB555}"/>
            </a:ext>
          </a:extLst>
        </xdr:cNvPr>
        <xdr:cNvSpPr/>
      </xdr:nvSpPr>
      <xdr:spPr>
        <a:xfrm>
          <a:off x="209550" y="1907381"/>
          <a:ext cx="1423988" cy="604837"/>
        </a:xfrm>
        <a:prstGeom prst="roundRect">
          <a:avLst>
            <a:gd name="adj" fmla="val 50000"/>
          </a:avLst>
        </a:prstGeom>
        <a:noFill/>
        <a:ln w="19050">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800" b="1" cap="none" spc="0">
              <a:ln w="0"/>
              <a:solidFill>
                <a:schemeClr val="bg1"/>
              </a:solidFill>
              <a:effectLst>
                <a:outerShdw blurRad="38100" dist="25400" dir="5400000" algn="ctr" rotWithShape="0">
                  <a:srgbClr val="6E747A">
                    <a:alpha val="43000"/>
                  </a:srgbClr>
                </a:outerShdw>
              </a:effectLst>
            </a:rPr>
            <a:t>Summary</a:t>
          </a:r>
        </a:p>
      </xdr:txBody>
    </xdr:sp>
    <xdr:clientData/>
  </xdr:twoCellAnchor>
  <xdr:twoCellAnchor>
    <xdr:from>
      <xdr:col>0</xdr:col>
      <xdr:colOff>200025</xdr:colOff>
      <xdr:row>14</xdr:row>
      <xdr:rowOff>152399</xdr:rowOff>
    </xdr:from>
    <xdr:to>
      <xdr:col>2</xdr:col>
      <xdr:colOff>404813</xdr:colOff>
      <xdr:row>18</xdr:row>
      <xdr:rowOff>19050</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AC74881B-0FBA-4810-8655-E195C8B31157}"/>
            </a:ext>
          </a:extLst>
        </xdr:cNvPr>
        <xdr:cNvSpPr/>
      </xdr:nvSpPr>
      <xdr:spPr>
        <a:xfrm>
          <a:off x="200025" y="2819399"/>
          <a:ext cx="1423988" cy="628651"/>
        </a:xfrm>
        <a:prstGeom prst="roundRect">
          <a:avLst>
            <a:gd name="adj" fmla="val 50000"/>
          </a:avLst>
        </a:prstGeom>
        <a:noFill/>
        <a:ln w="19050">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800" b="1" cap="none" spc="0">
              <a:ln w="0"/>
              <a:solidFill>
                <a:schemeClr val="bg1"/>
              </a:solidFill>
              <a:effectLst>
                <a:outerShdw blurRad="38100" dist="25400" dir="5400000" algn="ctr" rotWithShape="0">
                  <a:srgbClr val="6E747A">
                    <a:alpha val="43000"/>
                  </a:srgbClr>
                </a:outerShdw>
              </a:effectLst>
            </a:rPr>
            <a:t>Data</a:t>
          </a:r>
        </a:p>
      </xdr:txBody>
    </xdr:sp>
    <xdr:clientData/>
  </xdr:twoCellAnchor>
  <xdr:twoCellAnchor editAs="absolute">
    <xdr:from>
      <xdr:col>12</xdr:col>
      <xdr:colOff>247650</xdr:colOff>
      <xdr:row>4</xdr:row>
      <xdr:rowOff>114301</xdr:rowOff>
    </xdr:from>
    <xdr:to>
      <xdr:col>17</xdr:col>
      <xdr:colOff>426641</xdr:colOff>
      <xdr:row>7</xdr:row>
      <xdr:rowOff>180975</xdr:rowOff>
    </xdr:to>
    <mc:AlternateContent xmlns:mc="http://schemas.openxmlformats.org/markup-compatibility/2006" xmlns:sle15="http://schemas.microsoft.com/office/drawing/2012/slicer">
      <mc:Choice Requires="sle15">
        <xdr:graphicFrame macro="">
          <xdr:nvGraphicFramePr>
            <xdr:cNvPr id="33" name="Customer_Segment 1">
              <a:extLst>
                <a:ext uri="{FF2B5EF4-FFF2-40B4-BE49-F238E27FC236}">
                  <a16:creationId xmlns:a16="http://schemas.microsoft.com/office/drawing/2014/main" id="{386674C4-B5FA-4730-A96B-A6C1D1EB841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7613650" y="876301"/>
              <a:ext cx="3031067" cy="6381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295274</xdr:colOff>
      <xdr:row>0</xdr:row>
      <xdr:rowOff>170258</xdr:rowOff>
    </xdr:from>
    <xdr:to>
      <xdr:col>6</xdr:col>
      <xdr:colOff>66675</xdr:colOff>
      <xdr:row>3</xdr:row>
      <xdr:rowOff>170258</xdr:rowOff>
    </xdr:to>
    <xdr:grpSp>
      <xdr:nvGrpSpPr>
        <xdr:cNvPr id="5" name="Group 4">
          <a:extLst>
            <a:ext uri="{FF2B5EF4-FFF2-40B4-BE49-F238E27FC236}">
              <a16:creationId xmlns:a16="http://schemas.microsoft.com/office/drawing/2014/main" id="{2FEE1F7F-1B00-4767-BFC9-36DBBC997D3A}"/>
            </a:ext>
          </a:extLst>
        </xdr:cNvPr>
        <xdr:cNvGrpSpPr/>
      </xdr:nvGrpSpPr>
      <xdr:grpSpPr>
        <a:xfrm>
          <a:off x="2110977" y="170258"/>
          <a:ext cx="1587104" cy="565547"/>
          <a:chOff x="2124075" y="184546"/>
          <a:chExt cx="1444753" cy="571500"/>
        </a:xfrm>
      </xdr:grpSpPr>
      <xdr:sp macro="" textlink="">
        <xdr:nvSpPr>
          <xdr:cNvPr id="21" name="Rectangle: Rounded Corners 20">
            <a:extLst>
              <a:ext uri="{FF2B5EF4-FFF2-40B4-BE49-F238E27FC236}">
                <a16:creationId xmlns:a16="http://schemas.microsoft.com/office/drawing/2014/main" id="{D68E731E-39F4-4639-B879-FF264D9C246F}"/>
              </a:ext>
            </a:extLst>
          </xdr:cNvPr>
          <xdr:cNvSpPr/>
        </xdr:nvSpPr>
        <xdr:spPr>
          <a:xfrm>
            <a:off x="2124075" y="184546"/>
            <a:ext cx="137160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US" sz="2000">
              <a:solidFill>
                <a:schemeClr val="bg1"/>
              </a:solidFill>
            </a:endParaRPr>
          </a:p>
        </xdr:txBody>
      </xdr:sp>
      <xdr:sp macro="" textlink="">
        <xdr:nvSpPr>
          <xdr:cNvPr id="19" name="Rectangle: Rounded Corners 18">
            <a:extLst>
              <a:ext uri="{FF2B5EF4-FFF2-40B4-BE49-F238E27FC236}">
                <a16:creationId xmlns:a16="http://schemas.microsoft.com/office/drawing/2014/main" id="{88BD0F2A-76B5-4C68-B6E3-1D2E54D65BAD}"/>
              </a:ext>
            </a:extLst>
          </xdr:cNvPr>
          <xdr:cNvSpPr/>
        </xdr:nvSpPr>
        <xdr:spPr>
          <a:xfrm>
            <a:off x="2181225" y="184546"/>
            <a:ext cx="1387603"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lvl="0" algn="ctr"/>
            <a:r>
              <a:rPr lang="en-US" sz="1050" b="0">
                <a:solidFill>
                  <a:schemeClr val="dk1"/>
                </a:solidFill>
                <a:effectLst/>
                <a:latin typeface="+mn-lt"/>
                <a:ea typeface="+mn-ea"/>
                <a:cs typeface="+mn-cs"/>
              </a:rPr>
              <a:t>                Total</a:t>
            </a:r>
            <a:r>
              <a:rPr lang="en-US" sz="1050" b="0" baseline="0">
                <a:solidFill>
                  <a:schemeClr val="dk1"/>
                </a:solidFill>
                <a:effectLst/>
                <a:latin typeface="+mn-lt"/>
                <a:ea typeface="+mn-ea"/>
                <a:cs typeface="+mn-cs"/>
              </a:rPr>
              <a:t> Customers </a:t>
            </a:r>
            <a:r>
              <a:rPr lang="en-US" sz="2000" b="1">
                <a:solidFill>
                  <a:schemeClr val="accent1">
                    <a:lumMod val="75000"/>
                  </a:schemeClr>
                </a:solidFill>
                <a:effectLst/>
                <a:latin typeface="+mn-lt"/>
                <a:ea typeface="+mn-ea"/>
                <a:cs typeface="+mn-cs"/>
              </a:rPr>
              <a:t>569</a:t>
            </a:r>
            <a:endParaRPr lang="en-US" sz="2000" b="1">
              <a:solidFill>
                <a:schemeClr val="accent1">
                  <a:lumMod val="75000"/>
                </a:schemeClr>
              </a:solidFill>
              <a:effectLst/>
            </a:endParaRPr>
          </a:p>
        </xdr:txBody>
      </xdr:sp>
    </xdr:grpSp>
    <xdr:clientData/>
  </xdr:twoCellAnchor>
  <xdr:twoCellAnchor>
    <xdr:from>
      <xdr:col>6</xdr:col>
      <xdr:colOff>298450</xdr:colOff>
      <xdr:row>0</xdr:row>
      <xdr:rowOff>170258</xdr:rowOff>
    </xdr:from>
    <xdr:to>
      <xdr:col>8</xdr:col>
      <xdr:colOff>479425</xdr:colOff>
      <xdr:row>3</xdr:row>
      <xdr:rowOff>170258</xdr:rowOff>
    </xdr:to>
    <xdr:grpSp>
      <xdr:nvGrpSpPr>
        <xdr:cNvPr id="4" name="Group 3">
          <a:extLst>
            <a:ext uri="{FF2B5EF4-FFF2-40B4-BE49-F238E27FC236}">
              <a16:creationId xmlns:a16="http://schemas.microsoft.com/office/drawing/2014/main" id="{0A8FAFC2-8A07-49A7-B007-E2B789140369}"/>
            </a:ext>
          </a:extLst>
        </xdr:cNvPr>
        <xdr:cNvGrpSpPr/>
      </xdr:nvGrpSpPr>
      <xdr:grpSpPr>
        <a:xfrm>
          <a:off x="3929856" y="170258"/>
          <a:ext cx="1391444" cy="565547"/>
          <a:chOff x="3848100" y="184546"/>
          <a:chExt cx="1428750" cy="571500"/>
        </a:xfrm>
      </xdr:grpSpPr>
      <xdr:sp macro="" textlink="">
        <xdr:nvSpPr>
          <xdr:cNvPr id="24" name="Rectangle: Rounded Corners 23">
            <a:extLst>
              <a:ext uri="{FF2B5EF4-FFF2-40B4-BE49-F238E27FC236}">
                <a16:creationId xmlns:a16="http://schemas.microsoft.com/office/drawing/2014/main" id="{05705832-85BB-48A8-8FC7-5380BA47A557}"/>
              </a:ext>
            </a:extLst>
          </xdr:cNvPr>
          <xdr:cNvSpPr/>
        </xdr:nvSpPr>
        <xdr:spPr>
          <a:xfrm>
            <a:off x="3848100" y="184546"/>
            <a:ext cx="137160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US" sz="2000">
              <a:solidFill>
                <a:schemeClr val="bg1"/>
              </a:solidFill>
            </a:endParaRPr>
          </a:p>
        </xdr:txBody>
      </xdr:sp>
      <xdr:sp macro="" textlink="">
        <xdr:nvSpPr>
          <xdr:cNvPr id="26" name="Rectangle: Rounded Corners 25">
            <a:extLst>
              <a:ext uri="{FF2B5EF4-FFF2-40B4-BE49-F238E27FC236}">
                <a16:creationId xmlns:a16="http://schemas.microsoft.com/office/drawing/2014/main" id="{50D4C66C-1E5A-4166-9F09-3EC09B358902}"/>
              </a:ext>
            </a:extLst>
          </xdr:cNvPr>
          <xdr:cNvSpPr/>
        </xdr:nvSpPr>
        <xdr:spPr>
          <a:xfrm>
            <a:off x="3905250" y="184546"/>
            <a:ext cx="1371600"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en-US" sz="1100" b="0"/>
              <a:t>        Repeat Rate</a:t>
            </a:r>
            <a:endParaRPr lang="en-US" sz="1100" b="0" baseline="0"/>
          </a:p>
          <a:p>
            <a:pPr algn="ctr"/>
            <a:r>
              <a:rPr lang="en-US" sz="2000" b="1">
                <a:solidFill>
                  <a:schemeClr val="accent1">
                    <a:lumMod val="75000"/>
                  </a:schemeClr>
                </a:solidFill>
              </a:rPr>
              <a:t>    85.7%</a:t>
            </a:r>
          </a:p>
        </xdr:txBody>
      </xdr:sp>
    </xdr:grpSp>
    <xdr:clientData/>
  </xdr:twoCellAnchor>
  <xdr:twoCellAnchor>
    <xdr:from>
      <xdr:col>13</xdr:col>
      <xdr:colOff>95249</xdr:colOff>
      <xdr:row>0</xdr:row>
      <xdr:rowOff>170258</xdr:rowOff>
    </xdr:from>
    <xdr:to>
      <xdr:col>17</xdr:col>
      <xdr:colOff>85725</xdr:colOff>
      <xdr:row>3</xdr:row>
      <xdr:rowOff>170258</xdr:rowOff>
    </xdr:to>
    <xdr:grpSp>
      <xdr:nvGrpSpPr>
        <xdr:cNvPr id="2" name="Group 1">
          <a:extLst>
            <a:ext uri="{FF2B5EF4-FFF2-40B4-BE49-F238E27FC236}">
              <a16:creationId xmlns:a16="http://schemas.microsoft.com/office/drawing/2014/main" id="{96D939C0-E8EC-49C0-9154-19249D5818D7}"/>
            </a:ext>
          </a:extLst>
        </xdr:cNvPr>
        <xdr:cNvGrpSpPr/>
      </xdr:nvGrpSpPr>
      <xdr:grpSpPr>
        <a:xfrm>
          <a:off x="7963296" y="170258"/>
          <a:ext cx="2411413" cy="565547"/>
          <a:chOff x="7705724" y="184546"/>
          <a:chExt cx="2238376" cy="571500"/>
        </a:xfrm>
      </xdr:grpSpPr>
      <xdr:sp macro="" textlink="">
        <xdr:nvSpPr>
          <xdr:cNvPr id="30" name="Rectangle: Rounded Corners 29">
            <a:extLst>
              <a:ext uri="{FF2B5EF4-FFF2-40B4-BE49-F238E27FC236}">
                <a16:creationId xmlns:a16="http://schemas.microsoft.com/office/drawing/2014/main" id="{57EE3154-A61D-4B92-B230-DBDF6033D5DE}"/>
              </a:ext>
            </a:extLst>
          </xdr:cNvPr>
          <xdr:cNvSpPr/>
        </xdr:nvSpPr>
        <xdr:spPr>
          <a:xfrm>
            <a:off x="7705724" y="184546"/>
            <a:ext cx="18573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US" sz="1800">
              <a:solidFill>
                <a:schemeClr val="bg1"/>
              </a:solidFill>
            </a:endParaRPr>
          </a:p>
        </xdr:txBody>
      </xdr:sp>
      <xdr:sp macro="" textlink="">
        <xdr:nvSpPr>
          <xdr:cNvPr id="34" name="Rectangle: Rounded Corners 33">
            <a:extLst>
              <a:ext uri="{FF2B5EF4-FFF2-40B4-BE49-F238E27FC236}">
                <a16:creationId xmlns:a16="http://schemas.microsoft.com/office/drawing/2014/main" id="{6421F821-5EAF-4549-8BD9-1C31D6362BC4}"/>
              </a:ext>
            </a:extLst>
          </xdr:cNvPr>
          <xdr:cNvSpPr/>
        </xdr:nvSpPr>
        <xdr:spPr>
          <a:xfrm>
            <a:off x="7772399" y="184546"/>
            <a:ext cx="2171701"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l"/>
            <a:r>
              <a:rPr lang="en-US" sz="1100" b="0" baseline="0"/>
              <a:t>               Total Revenue</a:t>
            </a:r>
          </a:p>
          <a:p>
            <a:pPr algn="ctr"/>
            <a:r>
              <a:rPr lang="en-US" sz="2000" b="1">
                <a:solidFill>
                  <a:schemeClr val="accent1">
                    <a:lumMod val="75000"/>
                  </a:schemeClr>
                </a:solidFill>
              </a:rPr>
              <a:t>      $ 94,966,142.60 </a:t>
            </a:r>
          </a:p>
        </xdr:txBody>
      </xdr:sp>
    </xdr:grpSp>
    <xdr:clientData/>
  </xdr:twoCellAnchor>
  <xdr:twoCellAnchor>
    <xdr:from>
      <xdr:col>3</xdr:col>
      <xdr:colOff>247650</xdr:colOff>
      <xdr:row>4</xdr:row>
      <xdr:rowOff>109537</xdr:rowOff>
    </xdr:from>
    <xdr:to>
      <xdr:col>7</xdr:col>
      <xdr:colOff>150482</xdr:colOff>
      <xdr:row>7</xdr:row>
      <xdr:rowOff>128586</xdr:rowOff>
    </xdr:to>
    <xdr:sp macro="" textlink="">
      <xdr:nvSpPr>
        <xdr:cNvPr id="39" name="Rectangle: Rounded Corners 38">
          <a:extLst>
            <a:ext uri="{FF2B5EF4-FFF2-40B4-BE49-F238E27FC236}">
              <a16:creationId xmlns:a16="http://schemas.microsoft.com/office/drawing/2014/main" id="{98D4ABD1-73AF-44F8-99B9-C74BF8328A25}"/>
            </a:ext>
          </a:extLst>
        </xdr:cNvPr>
        <xdr:cNvSpPr/>
      </xdr:nvSpPr>
      <xdr:spPr>
        <a:xfrm>
          <a:off x="2089150" y="871537"/>
          <a:ext cx="2358165" cy="5905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lvl="0" algn="ctr"/>
          <a:endParaRPr lang="en-US" sz="1800" baseline="0">
            <a:solidFill>
              <a:schemeClr val="bg1"/>
            </a:solidFill>
          </a:endParaRPr>
        </a:p>
      </xdr:txBody>
    </xdr:sp>
    <xdr:clientData/>
  </xdr:twoCellAnchor>
  <xdr:twoCellAnchor>
    <xdr:from>
      <xdr:col>3</xdr:col>
      <xdr:colOff>320209</xdr:colOff>
      <xdr:row>4</xdr:row>
      <xdr:rowOff>109537</xdr:rowOff>
    </xdr:from>
    <xdr:to>
      <xdr:col>7</xdr:col>
      <xdr:colOff>428625</xdr:colOff>
      <xdr:row>7</xdr:row>
      <xdr:rowOff>128586</xdr:rowOff>
    </xdr:to>
    <xdr:sp macro="" textlink="$AF$2">
      <xdr:nvSpPr>
        <xdr:cNvPr id="23" name="Rectangle: Rounded Corners 22">
          <a:extLst>
            <a:ext uri="{FF2B5EF4-FFF2-40B4-BE49-F238E27FC236}">
              <a16:creationId xmlns:a16="http://schemas.microsoft.com/office/drawing/2014/main" id="{B0CB7CE0-E6F9-4F10-B963-DD340166CAEB}"/>
            </a:ext>
          </a:extLst>
        </xdr:cNvPr>
        <xdr:cNvSpPr/>
      </xdr:nvSpPr>
      <xdr:spPr>
        <a:xfrm>
          <a:off x="2161709" y="871537"/>
          <a:ext cx="2563749" cy="5905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b"/>
        <a:lstStyle/>
        <a:p>
          <a:pPr lvl="0" algn="ctr"/>
          <a:endParaRPr lang="en-US" sz="2000" b="1" baseline="0">
            <a:solidFill>
              <a:schemeClr val="accent1">
                <a:lumMod val="75000"/>
              </a:schemeClr>
            </a:solidFill>
          </a:endParaRPr>
        </a:p>
      </xdr:txBody>
    </xdr:sp>
    <xdr:clientData/>
  </xdr:twoCellAnchor>
  <xdr:twoCellAnchor>
    <xdr:from>
      <xdr:col>4</xdr:col>
      <xdr:colOff>122732</xdr:colOff>
      <xdr:row>4</xdr:row>
      <xdr:rowOff>119217</xdr:rowOff>
    </xdr:from>
    <xdr:to>
      <xdr:col>7</xdr:col>
      <xdr:colOff>284826</xdr:colOff>
      <xdr:row>5</xdr:row>
      <xdr:rowOff>151383</xdr:rowOff>
    </xdr:to>
    <xdr:sp macro="" textlink="">
      <xdr:nvSpPr>
        <xdr:cNvPr id="7" name="TextBox 6">
          <a:extLst>
            <a:ext uri="{FF2B5EF4-FFF2-40B4-BE49-F238E27FC236}">
              <a16:creationId xmlns:a16="http://schemas.microsoft.com/office/drawing/2014/main" id="{6FCD5E98-485D-4664-B84F-C2F460E213B1}"/>
            </a:ext>
          </a:extLst>
        </xdr:cNvPr>
        <xdr:cNvSpPr txBox="1"/>
      </xdr:nvSpPr>
      <xdr:spPr>
        <a:xfrm>
          <a:off x="2578065" y="881217"/>
          <a:ext cx="2003594" cy="22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 Revenue By Segment</a:t>
          </a:r>
        </a:p>
      </xdr:txBody>
    </xdr:sp>
    <xdr:clientData/>
  </xdr:twoCellAnchor>
  <xdr:twoCellAnchor>
    <xdr:from>
      <xdr:col>3</xdr:col>
      <xdr:colOff>353102</xdr:colOff>
      <xdr:row>5</xdr:row>
      <xdr:rowOff>4763</xdr:rowOff>
    </xdr:from>
    <xdr:to>
      <xdr:col>4</xdr:col>
      <xdr:colOff>199425</xdr:colOff>
      <xdr:row>7</xdr:row>
      <xdr:rowOff>80963</xdr:rowOff>
    </xdr:to>
    <xdr:pic>
      <xdr:nvPicPr>
        <xdr:cNvPr id="10" name="Graphic 9" descr="Bar graph with upward trend with solid fill">
          <a:extLst>
            <a:ext uri="{FF2B5EF4-FFF2-40B4-BE49-F238E27FC236}">
              <a16:creationId xmlns:a16="http://schemas.microsoft.com/office/drawing/2014/main" id="{6A11A33B-780D-4D46-9FA0-6812931D4E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94602" y="957263"/>
          <a:ext cx="460156" cy="457200"/>
        </a:xfrm>
        <a:prstGeom prst="rect">
          <a:avLst/>
        </a:prstGeom>
      </xdr:spPr>
    </xdr:pic>
    <xdr:clientData/>
  </xdr:twoCellAnchor>
  <xdr:twoCellAnchor>
    <xdr:from>
      <xdr:col>9</xdr:col>
      <xdr:colOff>101600</xdr:colOff>
      <xdr:row>0</xdr:row>
      <xdr:rowOff>170258</xdr:rowOff>
    </xdr:from>
    <xdr:to>
      <xdr:col>12</xdr:col>
      <xdr:colOff>473075</xdr:colOff>
      <xdr:row>3</xdr:row>
      <xdr:rowOff>170258</xdr:rowOff>
    </xdr:to>
    <xdr:grpSp>
      <xdr:nvGrpSpPr>
        <xdr:cNvPr id="88" name="Group 87">
          <a:extLst>
            <a:ext uri="{FF2B5EF4-FFF2-40B4-BE49-F238E27FC236}">
              <a16:creationId xmlns:a16="http://schemas.microsoft.com/office/drawing/2014/main" id="{EF73C51B-DF55-4837-9913-D34084272D1C}"/>
            </a:ext>
          </a:extLst>
        </xdr:cNvPr>
        <xdr:cNvGrpSpPr/>
      </xdr:nvGrpSpPr>
      <xdr:grpSpPr>
        <a:xfrm>
          <a:off x="5548709" y="170258"/>
          <a:ext cx="2187179" cy="565547"/>
          <a:chOff x="5587999" y="170258"/>
          <a:chExt cx="2200270" cy="571501"/>
        </a:xfrm>
      </xdr:grpSpPr>
      <xdr:grpSp>
        <xdr:nvGrpSpPr>
          <xdr:cNvPr id="3" name="Group 2">
            <a:extLst>
              <a:ext uri="{FF2B5EF4-FFF2-40B4-BE49-F238E27FC236}">
                <a16:creationId xmlns:a16="http://schemas.microsoft.com/office/drawing/2014/main" id="{B3AFE400-3623-4231-8D87-0623B8894281}"/>
              </a:ext>
            </a:extLst>
          </xdr:cNvPr>
          <xdr:cNvGrpSpPr/>
        </xdr:nvGrpSpPr>
        <xdr:grpSpPr>
          <a:xfrm>
            <a:off x="5588000" y="170258"/>
            <a:ext cx="2200275" cy="571500"/>
            <a:chOff x="5524500" y="184546"/>
            <a:chExt cx="1838321" cy="571501"/>
          </a:xfrm>
        </xdr:grpSpPr>
        <xdr:sp macro="" textlink="">
          <xdr:nvSpPr>
            <xdr:cNvPr id="27" name="Rectangle: Rounded Corners 26">
              <a:extLst>
                <a:ext uri="{FF2B5EF4-FFF2-40B4-BE49-F238E27FC236}">
                  <a16:creationId xmlns:a16="http://schemas.microsoft.com/office/drawing/2014/main" id="{7353C31B-3C14-4A13-9232-F7130E85262B}"/>
                </a:ext>
              </a:extLst>
            </xdr:cNvPr>
            <xdr:cNvSpPr/>
          </xdr:nvSpPr>
          <xdr:spPr>
            <a:xfrm>
              <a:off x="5524500" y="184546"/>
              <a:ext cx="137160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US" sz="2000">
                <a:solidFill>
                  <a:schemeClr val="bg1"/>
                </a:solidFill>
              </a:endParaRPr>
            </a:p>
          </xdr:txBody>
        </xdr:sp>
        <xdr:sp macro="" textlink="">
          <xdr:nvSpPr>
            <xdr:cNvPr id="31" name="Rectangle: Rounded Corners 30">
              <a:extLst>
                <a:ext uri="{FF2B5EF4-FFF2-40B4-BE49-F238E27FC236}">
                  <a16:creationId xmlns:a16="http://schemas.microsoft.com/office/drawing/2014/main" id="{844A6219-4C51-4E65-A966-FC1AB2DCE9A8}"/>
                </a:ext>
              </a:extLst>
            </xdr:cNvPr>
            <xdr:cNvSpPr/>
          </xdr:nvSpPr>
          <xdr:spPr>
            <a:xfrm>
              <a:off x="5581646" y="184547"/>
              <a:ext cx="1781175"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en-US" sz="1100" b="0" baseline="0"/>
                <a:t>          Average Order Value (AOV)</a:t>
              </a:r>
              <a:endParaRPr lang="en-US" sz="1100" b="1" baseline="0"/>
            </a:p>
            <a:p>
              <a:pPr algn="ctr"/>
              <a:r>
                <a:rPr lang="en-US" sz="2000" b="1">
                  <a:solidFill>
                    <a:schemeClr val="accent1">
                      <a:lumMod val="75000"/>
                    </a:schemeClr>
                  </a:solidFill>
                </a:rPr>
                <a:t>$ 52,758.97   </a:t>
              </a:r>
            </a:p>
          </xdr:txBody>
        </xdr:sp>
      </xdr:grpSp>
      <xdr:pic>
        <xdr:nvPicPr>
          <xdr:cNvPr id="29" name="Graphic 28" descr="Bar graph with upward trend with solid fill">
            <a:extLst>
              <a:ext uri="{FF2B5EF4-FFF2-40B4-BE49-F238E27FC236}">
                <a16:creationId xmlns:a16="http://schemas.microsoft.com/office/drawing/2014/main" id="{D2188749-FE8C-4FFD-BFD3-134E92523AD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667371" y="270272"/>
            <a:ext cx="409576" cy="409574"/>
          </a:xfrm>
          <a:prstGeom prst="rect">
            <a:avLst/>
          </a:prstGeom>
        </xdr:spPr>
      </xdr:pic>
    </xdr:grpSp>
    <xdr:clientData/>
  </xdr:twoCellAnchor>
  <xdr:twoCellAnchor editAs="oneCell">
    <xdr:from>
      <xdr:col>13</xdr:col>
      <xdr:colOff>200025</xdr:colOff>
      <xdr:row>1</xdr:row>
      <xdr:rowOff>85725</xdr:rowOff>
    </xdr:from>
    <xdr:to>
      <xdr:col>14</xdr:col>
      <xdr:colOff>0</xdr:colOff>
      <xdr:row>3</xdr:row>
      <xdr:rowOff>114300</xdr:rowOff>
    </xdr:to>
    <xdr:pic>
      <xdr:nvPicPr>
        <xdr:cNvPr id="32" name="Graphic 31" descr="Bar graph with upward trend with solid fill">
          <a:extLst>
            <a:ext uri="{FF2B5EF4-FFF2-40B4-BE49-F238E27FC236}">
              <a16:creationId xmlns:a16="http://schemas.microsoft.com/office/drawing/2014/main" id="{0C0E148E-4E66-496A-B6CE-9226AC855A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124825" y="276225"/>
          <a:ext cx="409575" cy="409575"/>
        </a:xfrm>
        <a:prstGeom prst="rect">
          <a:avLst/>
        </a:prstGeom>
      </xdr:spPr>
    </xdr:pic>
    <xdr:clientData/>
  </xdr:twoCellAnchor>
  <xdr:twoCellAnchor editAs="oneCell">
    <xdr:from>
      <xdr:col>3</xdr:col>
      <xdr:colOff>419100</xdr:colOff>
      <xdr:row>1</xdr:row>
      <xdr:rowOff>57150</xdr:rowOff>
    </xdr:from>
    <xdr:to>
      <xdr:col>4</xdr:col>
      <xdr:colOff>266700</xdr:colOff>
      <xdr:row>3</xdr:row>
      <xdr:rowOff>133350</xdr:rowOff>
    </xdr:to>
    <xdr:pic>
      <xdr:nvPicPr>
        <xdr:cNvPr id="13" name="Graphic 12" descr="Target Audience with solid fill">
          <a:extLst>
            <a:ext uri="{FF2B5EF4-FFF2-40B4-BE49-F238E27FC236}">
              <a16:creationId xmlns:a16="http://schemas.microsoft.com/office/drawing/2014/main" id="{52CD8C7F-58E6-46B4-B892-22CC8DDC59E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47900" y="247650"/>
          <a:ext cx="457200" cy="457200"/>
        </a:xfrm>
        <a:prstGeom prst="rect">
          <a:avLst/>
        </a:prstGeom>
      </xdr:spPr>
    </xdr:pic>
    <xdr:clientData/>
  </xdr:twoCellAnchor>
  <xdr:twoCellAnchor editAs="oneCell">
    <xdr:from>
      <xdr:col>6</xdr:col>
      <xdr:colOff>369075</xdr:colOff>
      <xdr:row>1</xdr:row>
      <xdr:rowOff>54750</xdr:rowOff>
    </xdr:from>
    <xdr:to>
      <xdr:col>7</xdr:col>
      <xdr:colOff>190500</xdr:colOff>
      <xdr:row>3</xdr:row>
      <xdr:rowOff>104775</xdr:rowOff>
    </xdr:to>
    <xdr:pic>
      <xdr:nvPicPr>
        <xdr:cNvPr id="17" name="Graphic 16" descr="Arrow circle with solid fill">
          <a:extLst>
            <a:ext uri="{FF2B5EF4-FFF2-40B4-BE49-F238E27FC236}">
              <a16:creationId xmlns:a16="http://schemas.microsoft.com/office/drawing/2014/main" id="{F0D7E079-D783-4663-9B83-40F19C638ED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026675" y="245250"/>
          <a:ext cx="431025" cy="431025"/>
        </a:xfrm>
        <a:prstGeom prst="rect">
          <a:avLst/>
        </a:prstGeom>
      </xdr:spPr>
    </xdr:pic>
    <xdr:clientData/>
  </xdr:twoCellAnchor>
  <xdr:twoCellAnchor>
    <xdr:from>
      <xdr:col>8</xdr:col>
      <xdr:colOff>85725</xdr:colOff>
      <xdr:row>4</xdr:row>
      <xdr:rowOff>104775</xdr:rowOff>
    </xdr:from>
    <xdr:to>
      <xdr:col>11</xdr:col>
      <xdr:colOff>571501</xdr:colOff>
      <xdr:row>7</xdr:row>
      <xdr:rowOff>123824</xdr:rowOff>
    </xdr:to>
    <xdr:grpSp>
      <xdr:nvGrpSpPr>
        <xdr:cNvPr id="35" name="Group 34">
          <a:extLst>
            <a:ext uri="{FF2B5EF4-FFF2-40B4-BE49-F238E27FC236}">
              <a16:creationId xmlns:a16="http://schemas.microsoft.com/office/drawing/2014/main" id="{2A265304-F43F-4025-8522-6079BA5DF8BC}"/>
            </a:ext>
          </a:extLst>
        </xdr:cNvPr>
        <xdr:cNvGrpSpPr/>
      </xdr:nvGrpSpPr>
      <xdr:grpSpPr>
        <a:xfrm>
          <a:off x="4927600" y="858838"/>
          <a:ext cx="2301479" cy="584595"/>
          <a:chOff x="2152650" y="1366915"/>
          <a:chExt cx="2641113" cy="581025"/>
        </a:xfrm>
      </xdr:grpSpPr>
      <xdr:grpSp>
        <xdr:nvGrpSpPr>
          <xdr:cNvPr id="36" name="Group 35">
            <a:extLst>
              <a:ext uri="{FF2B5EF4-FFF2-40B4-BE49-F238E27FC236}">
                <a16:creationId xmlns:a16="http://schemas.microsoft.com/office/drawing/2014/main" id="{304179A3-5E74-4061-A4CE-6F5DD1D32990}"/>
              </a:ext>
            </a:extLst>
          </xdr:cNvPr>
          <xdr:cNvGrpSpPr/>
        </xdr:nvGrpSpPr>
        <xdr:grpSpPr>
          <a:xfrm>
            <a:off x="2152650" y="1366915"/>
            <a:ext cx="2641113" cy="581025"/>
            <a:chOff x="2133600" y="1224116"/>
            <a:chExt cx="2093683" cy="571501"/>
          </a:xfrm>
        </xdr:grpSpPr>
        <xdr:sp macro="" textlink="">
          <xdr:nvSpPr>
            <xdr:cNvPr id="38" name="Rectangle: Rounded Corners 37">
              <a:extLst>
                <a:ext uri="{FF2B5EF4-FFF2-40B4-BE49-F238E27FC236}">
                  <a16:creationId xmlns:a16="http://schemas.microsoft.com/office/drawing/2014/main" id="{B8E2A445-9B86-495A-BCB5-3472C7B4CC65}"/>
                </a:ext>
              </a:extLst>
            </xdr:cNvPr>
            <xdr:cNvSpPr/>
          </xdr:nvSpPr>
          <xdr:spPr>
            <a:xfrm>
              <a:off x="2133600" y="1224116"/>
              <a:ext cx="1857375" cy="5715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lvl="0" algn="ctr"/>
              <a:endParaRPr lang="en-US" sz="1800" baseline="0">
                <a:solidFill>
                  <a:schemeClr val="bg1"/>
                </a:solidFill>
              </a:endParaRPr>
            </a:p>
          </xdr:txBody>
        </xdr:sp>
        <xdr:sp macro="" textlink="$AF$3">
          <xdr:nvSpPr>
            <xdr:cNvPr id="40" name="Rectangle: Rounded Corners 39">
              <a:extLst>
                <a:ext uri="{FF2B5EF4-FFF2-40B4-BE49-F238E27FC236}">
                  <a16:creationId xmlns:a16="http://schemas.microsoft.com/office/drawing/2014/main" id="{04213096-3E7E-4628-909C-9DBFF0295C08}"/>
                </a:ext>
              </a:extLst>
            </xdr:cNvPr>
            <xdr:cNvSpPr/>
          </xdr:nvSpPr>
          <xdr:spPr>
            <a:xfrm>
              <a:off x="2207983" y="1224117"/>
              <a:ext cx="2019300"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b"/>
            <a:lstStyle/>
            <a:p>
              <a:pPr lvl="0" algn="ctr"/>
              <a:endParaRPr lang="en-US" sz="2000" b="1" baseline="0">
                <a:solidFill>
                  <a:schemeClr val="accent1">
                    <a:lumMod val="75000"/>
                  </a:schemeClr>
                </a:solidFill>
              </a:endParaRPr>
            </a:p>
          </xdr:txBody>
        </xdr:sp>
      </xdr:grpSp>
      <xdr:sp macro="" textlink="">
        <xdr:nvSpPr>
          <xdr:cNvPr id="37" name="TextBox 36">
            <a:extLst>
              <a:ext uri="{FF2B5EF4-FFF2-40B4-BE49-F238E27FC236}">
                <a16:creationId xmlns:a16="http://schemas.microsoft.com/office/drawing/2014/main" id="{608CA4D9-FBEB-423F-BAD3-F2DACD1A5E47}"/>
              </a:ext>
            </a:extLst>
          </xdr:cNvPr>
          <xdr:cNvSpPr txBox="1"/>
        </xdr:nvSpPr>
        <xdr:spPr>
          <a:xfrm>
            <a:off x="2561237" y="1390342"/>
            <a:ext cx="1754298" cy="247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Profit By Segment</a:t>
            </a:r>
          </a:p>
        </xdr:txBody>
      </xdr:sp>
    </xdr:grpSp>
    <xdr:clientData/>
  </xdr:twoCellAnchor>
  <xdr:twoCellAnchor>
    <xdr:from>
      <xdr:col>8</xdr:col>
      <xdr:colOff>210229</xdr:colOff>
      <xdr:row>5</xdr:row>
      <xdr:rowOff>14288</xdr:rowOff>
    </xdr:from>
    <xdr:to>
      <xdr:col>9</xdr:col>
      <xdr:colOff>46527</xdr:colOff>
      <xdr:row>7</xdr:row>
      <xdr:rowOff>80963</xdr:rowOff>
    </xdr:to>
    <xdr:pic>
      <xdr:nvPicPr>
        <xdr:cNvPr id="41" name="Graphic 40" descr="Bar graph with upward trend with solid fill">
          <a:extLst>
            <a:ext uri="{FF2B5EF4-FFF2-40B4-BE49-F238E27FC236}">
              <a16:creationId xmlns:a16="http://schemas.microsoft.com/office/drawing/2014/main" id="{68B1C99A-2C6C-457C-A68B-397C30E6A71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120896" y="966788"/>
          <a:ext cx="450131" cy="447675"/>
        </a:xfrm>
        <a:prstGeom prst="rect">
          <a:avLst/>
        </a:prstGeom>
      </xdr:spPr>
    </xdr:pic>
    <xdr:clientData/>
  </xdr:twoCellAnchor>
  <xdr:twoCellAnchor>
    <xdr:from>
      <xdr:col>11</xdr:col>
      <xdr:colOff>582084</xdr:colOff>
      <xdr:row>8</xdr:row>
      <xdr:rowOff>60325</xdr:rowOff>
    </xdr:from>
    <xdr:to>
      <xdr:col>18</xdr:col>
      <xdr:colOff>444501</xdr:colOff>
      <xdr:row>21</xdr:row>
      <xdr:rowOff>117475</xdr:rowOff>
    </xdr:to>
    <xdr:graphicFrame macro="">
      <xdr:nvGraphicFramePr>
        <xdr:cNvPr id="43" name="Chart 42">
          <a:extLst>
            <a:ext uri="{FF2B5EF4-FFF2-40B4-BE49-F238E27FC236}">
              <a16:creationId xmlns:a16="http://schemas.microsoft.com/office/drawing/2014/main" id="{FD4031C8-5783-40FE-907F-C49237DBB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190499</xdr:colOff>
      <xdr:row>8</xdr:row>
      <xdr:rowOff>47625</xdr:rowOff>
    </xdr:from>
    <xdr:to>
      <xdr:col>11</xdr:col>
      <xdr:colOff>476250</xdr:colOff>
      <xdr:row>21</xdr:row>
      <xdr:rowOff>148167</xdr:rowOff>
    </xdr:to>
    <xdr:graphicFrame macro="">
      <xdr:nvGraphicFramePr>
        <xdr:cNvPr id="45" name="Chart 44">
          <a:extLst>
            <a:ext uri="{FF2B5EF4-FFF2-40B4-BE49-F238E27FC236}">
              <a16:creationId xmlns:a16="http://schemas.microsoft.com/office/drawing/2014/main" id="{497B9026-5CBE-45FE-9A47-65E2F8C18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170392</xdr:colOff>
      <xdr:row>1</xdr:row>
      <xdr:rowOff>10584</xdr:rowOff>
    </xdr:from>
    <xdr:to>
      <xdr:col>0</xdr:col>
      <xdr:colOff>603249</xdr:colOff>
      <xdr:row>3</xdr:row>
      <xdr:rowOff>62441</xdr:rowOff>
    </xdr:to>
    <xdr:pic>
      <xdr:nvPicPr>
        <xdr:cNvPr id="25" name="Graphic 24" descr="Shopping cart with solid fill">
          <a:extLst>
            <a:ext uri="{FF2B5EF4-FFF2-40B4-BE49-F238E27FC236}">
              <a16:creationId xmlns:a16="http://schemas.microsoft.com/office/drawing/2014/main" id="{BFC82161-8B3C-43C8-87BF-987D26DBF96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70392" y="201084"/>
          <a:ext cx="432857" cy="432857"/>
        </a:xfrm>
        <a:prstGeom prst="rect">
          <a:avLst/>
        </a:prstGeom>
      </xdr:spPr>
    </xdr:pic>
    <xdr:clientData/>
  </xdr:twoCellAnchor>
  <xdr:twoCellAnchor>
    <xdr:from>
      <xdr:col>3</xdr:col>
      <xdr:colOff>213783</xdr:colOff>
      <xdr:row>22</xdr:row>
      <xdr:rowOff>13758</xdr:rowOff>
    </xdr:from>
    <xdr:to>
      <xdr:col>11</xdr:col>
      <xdr:colOff>21167</xdr:colOff>
      <xdr:row>36</xdr:row>
      <xdr:rowOff>89958</xdr:rowOff>
    </xdr:to>
    <xdr:graphicFrame macro="">
      <xdr:nvGraphicFramePr>
        <xdr:cNvPr id="48" name="Chart 47">
          <a:extLst>
            <a:ext uri="{FF2B5EF4-FFF2-40B4-BE49-F238E27FC236}">
              <a16:creationId xmlns:a16="http://schemas.microsoft.com/office/drawing/2014/main" id="{3974E2AA-E5F6-449F-A90B-C0313CFE2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182033</xdr:colOff>
      <xdr:row>22</xdr:row>
      <xdr:rowOff>45507</xdr:rowOff>
    </xdr:from>
    <xdr:to>
      <xdr:col>18</xdr:col>
      <xdr:colOff>529166</xdr:colOff>
      <xdr:row>36</xdr:row>
      <xdr:rowOff>121707</xdr:rowOff>
    </xdr:to>
    <xdr:graphicFrame macro="">
      <xdr:nvGraphicFramePr>
        <xdr:cNvPr id="50" name="Chart 49">
          <a:extLst>
            <a:ext uri="{FF2B5EF4-FFF2-40B4-BE49-F238E27FC236}">
              <a16:creationId xmlns:a16="http://schemas.microsoft.com/office/drawing/2014/main" id="{F9AA00F7-5499-43F6-9A80-CF1D86806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550333</xdr:colOff>
      <xdr:row>1</xdr:row>
      <xdr:rowOff>21167</xdr:rowOff>
    </xdr:from>
    <xdr:to>
      <xdr:col>3</xdr:col>
      <xdr:colOff>84667</xdr:colOff>
      <xdr:row>3</xdr:row>
      <xdr:rowOff>84666</xdr:rowOff>
    </xdr:to>
    <xdr:sp macro="" textlink="">
      <xdr:nvSpPr>
        <xdr:cNvPr id="51" name="TextBox 50">
          <a:extLst>
            <a:ext uri="{FF2B5EF4-FFF2-40B4-BE49-F238E27FC236}">
              <a16:creationId xmlns:a16="http://schemas.microsoft.com/office/drawing/2014/main" id="{33E531D7-CFE9-4B99-95CF-ED3288248A7E}"/>
            </a:ext>
          </a:extLst>
        </xdr:cNvPr>
        <xdr:cNvSpPr txBox="1"/>
      </xdr:nvSpPr>
      <xdr:spPr>
        <a:xfrm>
          <a:off x="550333" y="211667"/>
          <a:ext cx="1375834" cy="44449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a:solidFill>
                <a:schemeClr val="bg1"/>
              </a:solidFill>
              <a:latin typeface="Leelawadee" panose="020B0502040204020203" pitchFamily="34" charset="-34"/>
              <a:cs typeface="Leelawadee" panose="020B0502040204020203" pitchFamily="34" charset="-34"/>
            </a:rPr>
            <a:t>ENERGY</a:t>
          </a:r>
          <a:r>
            <a:rPr lang="en-US" sz="1100" b="1" baseline="0">
              <a:solidFill>
                <a:schemeClr val="bg1"/>
              </a:solidFill>
              <a:latin typeface="Leelawadee" panose="020B0502040204020203" pitchFamily="34" charset="-34"/>
              <a:cs typeface="Leelawadee" panose="020B0502040204020203" pitchFamily="34" charset="-34"/>
            </a:rPr>
            <a:t> </a:t>
          </a:r>
          <a:r>
            <a:rPr lang="en-US" sz="1100" b="1">
              <a:solidFill>
                <a:schemeClr val="bg1"/>
              </a:solidFill>
              <a:latin typeface="Leelawadee" panose="020B0502040204020203" pitchFamily="34" charset="-34"/>
              <a:cs typeface="Leelawadee" panose="020B0502040204020203" pitchFamily="34" charset="-34"/>
            </a:rPr>
            <a:t>MARKET</a:t>
          </a:r>
        </a:p>
        <a:p>
          <a:r>
            <a:rPr lang="en-US" sz="1100" b="1">
              <a:solidFill>
                <a:schemeClr val="bg1"/>
              </a:solidFill>
              <a:latin typeface="Leelawadee" panose="020B0502040204020203" pitchFamily="34" charset="-34"/>
              <a:cs typeface="Leelawadee" panose="020B0502040204020203" pitchFamily="34" charset="-34"/>
            </a:rPr>
            <a:t>DASHBOARD</a:t>
          </a:r>
        </a:p>
      </xdr:txBody>
    </xdr:sp>
    <xdr:clientData/>
  </xdr:twoCellAnchor>
  <xdr:twoCellAnchor>
    <xdr:from>
      <xdr:col>3</xdr:col>
      <xdr:colOff>264583</xdr:colOff>
      <xdr:row>37</xdr:row>
      <xdr:rowOff>59267</xdr:rowOff>
    </xdr:from>
    <xdr:to>
      <xdr:col>10</xdr:col>
      <xdr:colOff>508000</xdr:colOff>
      <xdr:row>47</xdr:row>
      <xdr:rowOff>119063</xdr:rowOff>
    </xdr:to>
    <xdr:sp macro="" textlink="">
      <xdr:nvSpPr>
        <xdr:cNvPr id="52" name="TextBox 51">
          <a:extLst>
            <a:ext uri="{FF2B5EF4-FFF2-40B4-BE49-F238E27FC236}">
              <a16:creationId xmlns:a16="http://schemas.microsoft.com/office/drawing/2014/main" id="{8B620405-8FCA-4154-A08A-963B0FD296D0}"/>
            </a:ext>
          </a:extLst>
        </xdr:cNvPr>
        <xdr:cNvSpPr txBox="1"/>
      </xdr:nvSpPr>
      <xdr:spPr>
        <a:xfrm>
          <a:off x="2080286" y="7034345"/>
          <a:ext cx="4480058" cy="19449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a:t>
          </a:r>
          <a:r>
            <a:rPr lang="en-US" sz="1100" b="1" baseline="0"/>
            <a:t> Insights</a:t>
          </a:r>
        </a:p>
        <a:p>
          <a:r>
            <a:rPr lang="en-US" sz="1100" b="1" baseline="0"/>
            <a:t>              </a:t>
          </a:r>
        </a:p>
        <a:p>
          <a:r>
            <a:rPr lang="en-US"/>
            <a:t>.</a:t>
          </a:r>
          <a:endParaRPr lang="en-US" sz="1100" b="1" baseline="0"/>
        </a:p>
        <a:p>
          <a:endParaRPr lang="en-US" sz="1100" b="1"/>
        </a:p>
      </xdr:txBody>
    </xdr:sp>
    <xdr:clientData/>
  </xdr:twoCellAnchor>
  <xdr:twoCellAnchor editAs="oneCell">
    <xdr:from>
      <xdr:col>3</xdr:col>
      <xdr:colOff>349251</xdr:colOff>
      <xdr:row>39</xdr:row>
      <xdr:rowOff>0</xdr:rowOff>
    </xdr:from>
    <xdr:to>
      <xdr:col>4</xdr:col>
      <xdr:colOff>66539</xdr:colOff>
      <xdr:row>40</xdr:row>
      <xdr:rowOff>137583</xdr:rowOff>
    </xdr:to>
    <xdr:pic>
      <xdr:nvPicPr>
        <xdr:cNvPr id="53" name="Graphic 52" descr="Target Audience with solid fill">
          <a:extLst>
            <a:ext uri="{FF2B5EF4-FFF2-40B4-BE49-F238E27FC236}">
              <a16:creationId xmlns:a16="http://schemas.microsoft.com/office/drawing/2014/main" id="{4F7ED5D5-7C18-4BAD-833B-720D7356039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190751" y="7429500"/>
          <a:ext cx="331121" cy="328083"/>
        </a:xfrm>
        <a:prstGeom prst="rect">
          <a:avLst/>
        </a:prstGeom>
      </xdr:spPr>
    </xdr:pic>
    <xdr:clientData/>
  </xdr:twoCellAnchor>
  <xdr:twoCellAnchor>
    <xdr:from>
      <xdr:col>4</xdr:col>
      <xdr:colOff>50934</xdr:colOff>
      <xdr:row>38</xdr:row>
      <xdr:rowOff>90620</xdr:rowOff>
    </xdr:from>
    <xdr:to>
      <xdr:col>10</xdr:col>
      <xdr:colOff>555625</xdr:colOff>
      <xdr:row>41</xdr:row>
      <xdr:rowOff>119063</xdr:rowOff>
    </xdr:to>
    <xdr:sp macro="" textlink="">
      <xdr:nvSpPr>
        <xdr:cNvPr id="54" name="TextBox 53">
          <a:extLst>
            <a:ext uri="{FF2B5EF4-FFF2-40B4-BE49-F238E27FC236}">
              <a16:creationId xmlns:a16="http://schemas.microsoft.com/office/drawing/2014/main" id="{E61F29E5-7341-40F9-A6B9-89AE2EBB0EF9}"/>
            </a:ext>
          </a:extLst>
        </xdr:cNvPr>
        <xdr:cNvSpPr txBox="1"/>
      </xdr:nvSpPr>
      <xdr:spPr>
        <a:xfrm>
          <a:off x="2471872" y="7254214"/>
          <a:ext cx="4136097" cy="5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Loyal customers make up 36% of the customer base (207 of 569) yet generate 55% of total revenue (₦52M of ₦95M) — meaning Loyal customers are outperforming their numeric share of the base, not just a rare high-value minority.</a:t>
          </a:r>
        </a:p>
      </xdr:txBody>
    </xdr:sp>
    <xdr:clientData/>
  </xdr:twoCellAnchor>
  <xdr:twoCellAnchor editAs="oneCell">
    <xdr:from>
      <xdr:col>3</xdr:col>
      <xdr:colOff>317765</xdr:colOff>
      <xdr:row>41</xdr:row>
      <xdr:rowOff>168274</xdr:rowOff>
    </xdr:from>
    <xdr:to>
      <xdr:col>4</xdr:col>
      <xdr:colOff>77987</xdr:colOff>
      <xdr:row>43</xdr:row>
      <xdr:rowOff>157691</xdr:rowOff>
    </xdr:to>
    <xdr:pic>
      <xdr:nvPicPr>
        <xdr:cNvPr id="55" name="Graphic 54" descr="Arrow circle with solid fill">
          <a:extLst>
            <a:ext uri="{FF2B5EF4-FFF2-40B4-BE49-F238E27FC236}">
              <a16:creationId xmlns:a16="http://schemas.microsoft.com/office/drawing/2014/main" id="{F4590C12-26F0-4AF7-8177-EF00B21C5EB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133468" y="7897415"/>
          <a:ext cx="365457" cy="366448"/>
        </a:xfrm>
        <a:prstGeom prst="rect">
          <a:avLst/>
        </a:prstGeom>
      </xdr:spPr>
    </xdr:pic>
    <xdr:clientData/>
  </xdr:twoCellAnchor>
  <xdr:twoCellAnchor>
    <xdr:from>
      <xdr:col>4</xdr:col>
      <xdr:colOff>31749</xdr:colOff>
      <xdr:row>41</xdr:row>
      <xdr:rowOff>10583</xdr:rowOff>
    </xdr:from>
    <xdr:to>
      <xdr:col>10</xdr:col>
      <xdr:colOff>506014</xdr:colOff>
      <xdr:row>44</xdr:row>
      <xdr:rowOff>128984</xdr:rowOff>
    </xdr:to>
    <xdr:sp macro="" textlink="">
      <xdr:nvSpPr>
        <xdr:cNvPr id="60" name="TextBox 59">
          <a:extLst>
            <a:ext uri="{FF2B5EF4-FFF2-40B4-BE49-F238E27FC236}">
              <a16:creationId xmlns:a16="http://schemas.microsoft.com/office/drawing/2014/main" id="{0F3A0F21-A77F-4F9D-97D4-2A43979CC73C}"/>
            </a:ext>
          </a:extLst>
        </xdr:cNvPr>
        <xdr:cNvSpPr txBox="1"/>
      </xdr:nvSpPr>
      <xdr:spPr>
        <a:xfrm>
          <a:off x="2452687" y="7739724"/>
          <a:ext cx="4105671" cy="68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Repeat Rate by Region</a:t>
          </a:r>
          <a:r>
            <a:rPr lang="en-US" sz="900" baseline="0"/>
            <a:t> </a:t>
          </a:r>
          <a:r>
            <a:rPr lang="en-US" sz="900"/>
            <a:t>chart shows meaningful variation across regions — some clearly retain customers better than others.(e.g., compare the "Not Specified" region, which is unusually skewed toward New, against stronger-performing regions like Lagos).</a:t>
          </a:r>
        </a:p>
      </xdr:txBody>
    </xdr:sp>
    <xdr:clientData/>
  </xdr:twoCellAnchor>
  <xdr:twoCellAnchor editAs="oneCell">
    <xdr:from>
      <xdr:col>3</xdr:col>
      <xdr:colOff>314324</xdr:colOff>
      <xdr:row>44</xdr:row>
      <xdr:rowOff>167085</xdr:rowOff>
    </xdr:from>
    <xdr:to>
      <xdr:col>4</xdr:col>
      <xdr:colOff>76199</xdr:colOff>
      <xdr:row>46</xdr:row>
      <xdr:rowOff>157560</xdr:rowOff>
    </xdr:to>
    <xdr:pic>
      <xdr:nvPicPr>
        <xdr:cNvPr id="63" name="Graphic 62" descr="Connections with solid fill">
          <a:extLst>
            <a:ext uri="{FF2B5EF4-FFF2-40B4-BE49-F238E27FC236}">
              <a16:creationId xmlns:a16="http://schemas.microsoft.com/office/drawing/2014/main" id="{F59F47BF-368C-4CDA-A20B-62C940A7189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130027" y="8461773"/>
          <a:ext cx="367110" cy="367506"/>
        </a:xfrm>
        <a:prstGeom prst="rect">
          <a:avLst/>
        </a:prstGeom>
      </xdr:spPr>
    </xdr:pic>
    <xdr:clientData/>
  </xdr:twoCellAnchor>
  <xdr:twoCellAnchor>
    <xdr:from>
      <xdr:col>4</xdr:col>
      <xdr:colOff>6216</xdr:colOff>
      <xdr:row>44</xdr:row>
      <xdr:rowOff>71570</xdr:rowOff>
    </xdr:from>
    <xdr:to>
      <xdr:col>10</xdr:col>
      <xdr:colOff>503633</xdr:colOff>
      <xdr:row>47</xdr:row>
      <xdr:rowOff>33338</xdr:rowOff>
    </xdr:to>
    <xdr:sp macro="" textlink="">
      <xdr:nvSpPr>
        <xdr:cNvPr id="65" name="TextBox 64">
          <a:extLst>
            <a:ext uri="{FF2B5EF4-FFF2-40B4-BE49-F238E27FC236}">
              <a16:creationId xmlns:a16="http://schemas.microsoft.com/office/drawing/2014/main" id="{98ACB88C-FFA3-4C82-9221-050FB7DAE33E}"/>
            </a:ext>
          </a:extLst>
        </xdr:cNvPr>
        <xdr:cNvSpPr txBox="1"/>
      </xdr:nvSpPr>
      <xdr:spPr>
        <a:xfrm>
          <a:off x="2427154" y="8366258"/>
          <a:ext cx="4128823" cy="52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Repeat Rate by Acquisition Channel</a:t>
          </a:r>
          <a:r>
            <a:rPr lang="en-US" sz="900" baseline="0"/>
            <a:t> </a:t>
          </a:r>
          <a:r>
            <a:rPr lang="en-US" sz="900"/>
            <a:t>chart shows some channels bring in customers who return more often than others (e.g., compare Referral or Organic Search against WhatsApp/Facebook in your chart).</a:t>
          </a:r>
        </a:p>
      </xdr:txBody>
    </xdr:sp>
    <xdr:clientData/>
  </xdr:twoCellAnchor>
  <xdr:twoCellAnchor>
    <xdr:from>
      <xdr:col>11</xdr:col>
      <xdr:colOff>3175</xdr:colOff>
      <xdr:row>37</xdr:row>
      <xdr:rowOff>57149</xdr:rowOff>
    </xdr:from>
    <xdr:to>
      <xdr:col>18</xdr:col>
      <xdr:colOff>246592</xdr:colOff>
      <xdr:row>47</xdr:row>
      <xdr:rowOff>109141</xdr:rowOff>
    </xdr:to>
    <xdr:sp macro="" textlink="">
      <xdr:nvSpPr>
        <xdr:cNvPr id="71" name="TextBox 70">
          <a:extLst>
            <a:ext uri="{FF2B5EF4-FFF2-40B4-BE49-F238E27FC236}">
              <a16:creationId xmlns:a16="http://schemas.microsoft.com/office/drawing/2014/main" id="{D0D80AF3-5ABF-4455-9BD2-2B9457D85018}"/>
            </a:ext>
          </a:extLst>
        </xdr:cNvPr>
        <xdr:cNvSpPr txBox="1"/>
      </xdr:nvSpPr>
      <xdr:spPr>
        <a:xfrm>
          <a:off x="6660753" y="7032227"/>
          <a:ext cx="4480058" cy="1937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Recommendations</a:t>
          </a:r>
          <a:endParaRPr lang="en-US" sz="1100" b="1" baseline="0"/>
        </a:p>
        <a:p>
          <a:r>
            <a:rPr lang="en-US" sz="1100" b="1" baseline="0"/>
            <a:t>              </a:t>
          </a:r>
        </a:p>
        <a:p>
          <a:r>
            <a:rPr lang="en-US"/>
            <a:t>.</a:t>
          </a:r>
          <a:endParaRPr lang="en-US" sz="1100" b="1" baseline="0"/>
        </a:p>
        <a:p>
          <a:endParaRPr lang="en-US" sz="1100" b="1"/>
        </a:p>
      </xdr:txBody>
    </xdr:sp>
    <xdr:clientData/>
  </xdr:twoCellAnchor>
  <xdr:twoCellAnchor editAs="oneCell">
    <xdr:from>
      <xdr:col>11</xdr:col>
      <xdr:colOff>130950</xdr:colOff>
      <xdr:row>38</xdr:row>
      <xdr:rowOff>159525</xdr:rowOff>
    </xdr:from>
    <xdr:to>
      <xdr:col>11</xdr:col>
      <xdr:colOff>533400</xdr:colOff>
      <xdr:row>40</xdr:row>
      <xdr:rowOff>180975</xdr:rowOff>
    </xdr:to>
    <xdr:pic>
      <xdr:nvPicPr>
        <xdr:cNvPr id="75" name="Graphic 74" descr="Business Growth with solid fill">
          <a:extLst>
            <a:ext uri="{FF2B5EF4-FFF2-40B4-BE49-F238E27FC236}">
              <a16:creationId xmlns:a16="http://schemas.microsoft.com/office/drawing/2014/main" id="{DB4A1B9D-A7AA-4389-A6D1-94C244B65941}"/>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6836550" y="7398525"/>
          <a:ext cx="402450" cy="402450"/>
        </a:xfrm>
        <a:prstGeom prst="rect">
          <a:avLst/>
        </a:prstGeom>
      </xdr:spPr>
    </xdr:pic>
    <xdr:clientData/>
  </xdr:twoCellAnchor>
  <xdr:twoCellAnchor editAs="oneCell">
    <xdr:from>
      <xdr:col>11</xdr:col>
      <xdr:colOff>90451</xdr:colOff>
      <xdr:row>41</xdr:row>
      <xdr:rowOff>133351</xdr:rowOff>
    </xdr:from>
    <xdr:to>
      <xdr:col>11</xdr:col>
      <xdr:colOff>539651</xdr:colOff>
      <xdr:row>43</xdr:row>
      <xdr:rowOff>152401</xdr:rowOff>
    </xdr:to>
    <xdr:pic>
      <xdr:nvPicPr>
        <xdr:cNvPr id="77" name="Graphic 76" descr="Downward trend graph with solid fill">
          <a:extLst>
            <a:ext uri="{FF2B5EF4-FFF2-40B4-BE49-F238E27FC236}">
              <a16:creationId xmlns:a16="http://schemas.microsoft.com/office/drawing/2014/main" id="{9CDF58CD-B953-41A5-AF2A-D8E640F6F65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796051" y="7943851"/>
          <a:ext cx="449200" cy="400050"/>
        </a:xfrm>
        <a:prstGeom prst="rect">
          <a:avLst/>
        </a:prstGeom>
      </xdr:spPr>
    </xdr:pic>
    <xdr:clientData/>
  </xdr:twoCellAnchor>
  <xdr:twoCellAnchor>
    <xdr:from>
      <xdr:col>11</xdr:col>
      <xdr:colOff>508000</xdr:colOff>
      <xdr:row>38</xdr:row>
      <xdr:rowOff>95248</xdr:rowOff>
    </xdr:from>
    <xdr:to>
      <xdr:col>18</xdr:col>
      <xdr:colOff>152398</xdr:colOff>
      <xdr:row>41</xdr:row>
      <xdr:rowOff>95249</xdr:rowOff>
    </xdr:to>
    <xdr:sp macro="" textlink="">
      <xdr:nvSpPr>
        <xdr:cNvPr id="80" name="TextBox 79">
          <a:extLst>
            <a:ext uri="{FF2B5EF4-FFF2-40B4-BE49-F238E27FC236}">
              <a16:creationId xmlns:a16="http://schemas.microsoft.com/office/drawing/2014/main" id="{5E6FEF35-1092-463B-A327-AB54740902DC}"/>
            </a:ext>
          </a:extLst>
        </xdr:cNvPr>
        <xdr:cNvSpPr txBox="1"/>
      </xdr:nvSpPr>
      <xdr:spPr>
        <a:xfrm>
          <a:off x="7213600" y="7334248"/>
          <a:ext cx="3911598"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Introduce a loyalty perk targeted at customers approaching the 4-order threshold — Loyal customers, while a minority, generate over half of total revenue.</a:t>
          </a:r>
        </a:p>
      </xdr:txBody>
    </xdr:sp>
    <xdr:clientData/>
  </xdr:twoCellAnchor>
  <xdr:twoCellAnchor editAs="oneCell">
    <xdr:from>
      <xdr:col>11</xdr:col>
      <xdr:colOff>76201</xdr:colOff>
      <xdr:row>44</xdr:row>
      <xdr:rowOff>138909</xdr:rowOff>
    </xdr:from>
    <xdr:to>
      <xdr:col>11</xdr:col>
      <xdr:colOff>542925</xdr:colOff>
      <xdr:row>47</xdr:row>
      <xdr:rowOff>36118</xdr:rowOff>
    </xdr:to>
    <xdr:pic>
      <xdr:nvPicPr>
        <xdr:cNvPr id="82" name="Graphic 81" descr="Group brainstorm with solid fill">
          <a:extLst>
            <a:ext uri="{FF2B5EF4-FFF2-40B4-BE49-F238E27FC236}">
              <a16:creationId xmlns:a16="http://schemas.microsoft.com/office/drawing/2014/main" id="{B13AC301-C3FD-4B34-80EC-90892A46EC7B}"/>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6733779" y="8433597"/>
          <a:ext cx="466724" cy="462755"/>
        </a:xfrm>
        <a:prstGeom prst="rect">
          <a:avLst/>
        </a:prstGeom>
      </xdr:spPr>
    </xdr:pic>
    <xdr:clientData/>
  </xdr:twoCellAnchor>
  <xdr:twoCellAnchor>
    <xdr:from>
      <xdr:col>11</xdr:col>
      <xdr:colOff>498475</xdr:colOff>
      <xdr:row>40</xdr:row>
      <xdr:rowOff>175417</xdr:rowOff>
    </xdr:from>
    <xdr:to>
      <xdr:col>18</xdr:col>
      <xdr:colOff>142873</xdr:colOff>
      <xdr:row>45</xdr:row>
      <xdr:rowOff>69453</xdr:rowOff>
    </xdr:to>
    <xdr:sp macro="" textlink="">
      <xdr:nvSpPr>
        <xdr:cNvPr id="84" name="TextBox 83">
          <a:extLst>
            <a:ext uri="{FF2B5EF4-FFF2-40B4-BE49-F238E27FC236}">
              <a16:creationId xmlns:a16="http://schemas.microsoft.com/office/drawing/2014/main" id="{5D506A6B-94CF-4CCB-B8FC-4E5A76AB895F}"/>
            </a:ext>
          </a:extLst>
        </xdr:cNvPr>
        <xdr:cNvSpPr txBox="1"/>
      </xdr:nvSpPr>
      <xdr:spPr>
        <a:xfrm>
          <a:off x="7156053" y="7716042"/>
          <a:ext cx="3881039" cy="836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Investigate Rivers State specifically — Rivers shows the lowest repeat-purchase rate among all regions at 75.6%, compared to 84–90% elsewhere. Before increasing marketing spend in Rivers, investigate whether delivery times, product availability, or service quality are underperforming there relative to other regions.</a:t>
          </a:r>
        </a:p>
      </xdr:txBody>
    </xdr:sp>
    <xdr:clientData/>
  </xdr:twoCellAnchor>
  <xdr:twoCellAnchor>
    <xdr:from>
      <xdr:col>11</xdr:col>
      <xdr:colOff>498872</xdr:colOff>
      <xdr:row>44</xdr:row>
      <xdr:rowOff>138111</xdr:rowOff>
    </xdr:from>
    <xdr:to>
      <xdr:col>18</xdr:col>
      <xdr:colOff>333772</xdr:colOff>
      <xdr:row>47</xdr:row>
      <xdr:rowOff>138112</xdr:rowOff>
    </xdr:to>
    <xdr:sp macro="" textlink="">
      <xdr:nvSpPr>
        <xdr:cNvPr id="85" name="TextBox 84">
          <a:extLst>
            <a:ext uri="{FF2B5EF4-FFF2-40B4-BE49-F238E27FC236}">
              <a16:creationId xmlns:a16="http://schemas.microsoft.com/office/drawing/2014/main" id="{CC656720-3DB0-4F02-BD68-FA17078CAA2D}"/>
            </a:ext>
          </a:extLst>
        </xdr:cNvPr>
        <xdr:cNvSpPr txBox="1"/>
      </xdr:nvSpPr>
      <xdr:spPr>
        <a:xfrm>
          <a:off x="7156450" y="8432799"/>
          <a:ext cx="4071541" cy="565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Shift a larger share of acquisition effort toward the channel(s) with the strongest repeat-customer share, rather than the one with the most raw signups — volume alone doesn't indicate customer quality.</a:t>
          </a:r>
        </a:p>
      </xdr:txBody>
    </xdr:sp>
    <xdr:clientData/>
  </xdr:twoCellAnchor>
  <xdr:twoCellAnchor>
    <xdr:from>
      <xdr:col>3</xdr:col>
      <xdr:colOff>285749</xdr:colOff>
      <xdr:row>48</xdr:row>
      <xdr:rowOff>85725</xdr:rowOff>
    </xdr:from>
    <xdr:to>
      <xdr:col>18</xdr:col>
      <xdr:colOff>352424</xdr:colOff>
      <xdr:row>52</xdr:row>
      <xdr:rowOff>171450</xdr:rowOff>
    </xdr:to>
    <xdr:sp macro="" textlink="">
      <xdr:nvSpPr>
        <xdr:cNvPr id="86" name="TextBox 85">
          <a:extLst>
            <a:ext uri="{FF2B5EF4-FFF2-40B4-BE49-F238E27FC236}">
              <a16:creationId xmlns:a16="http://schemas.microsoft.com/office/drawing/2014/main" id="{BBC042B2-1F62-4712-829F-BD2B73E88854}"/>
            </a:ext>
          </a:extLst>
        </xdr:cNvPr>
        <xdr:cNvSpPr txBox="1"/>
      </xdr:nvSpPr>
      <xdr:spPr>
        <a:xfrm>
          <a:off x="2114549" y="9229725"/>
          <a:ext cx="921067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t>These findings are descriptive, not causal.</a:t>
          </a:r>
          <a:r>
            <a:rPr lang="en-US" sz="1000" i="1"/>
            <a:t> This analysis shows correlations — e.g., customers who order more often also generate more revenue, and certain regions/channels show higher repeat rates than others. It does </a:t>
          </a:r>
          <a:r>
            <a:rPr lang="en-US" sz="1000" b="1" i="1"/>
            <a:t>not</a:t>
          </a:r>
          <a:r>
            <a:rPr lang="en-US" sz="1000" i="1"/>
            <a:t> prove that any specific channel, region, or intervention causes repeat purchasing. Other unmeasured factors (product mix available in a region, income levels, delivery infrastructure, or simply how long a customer has been active) could explain these patterns. Before acting on Recommendation 3 in particular, a controlled test (e.g., an A/B test shifting ad spend) would be needed to confirm channel choice actually drives retention rather than just correlating with it.</a:t>
          </a:r>
        </a:p>
      </xdr:txBody>
    </xdr:sp>
    <xdr:clientData/>
  </xdr:twoCellAnchor>
  <xdr:twoCellAnchor>
    <xdr:from>
      <xdr:col>0</xdr:col>
      <xdr:colOff>180974</xdr:colOff>
      <xdr:row>51</xdr:row>
      <xdr:rowOff>123826</xdr:rowOff>
    </xdr:from>
    <xdr:to>
      <xdr:col>2</xdr:col>
      <xdr:colOff>400049</xdr:colOff>
      <xdr:row>53</xdr:row>
      <xdr:rowOff>9526</xdr:rowOff>
    </xdr:to>
    <xdr:sp macro="" textlink="">
      <xdr:nvSpPr>
        <xdr:cNvPr id="87" name="TextBox 86">
          <a:extLst>
            <a:ext uri="{FF2B5EF4-FFF2-40B4-BE49-F238E27FC236}">
              <a16:creationId xmlns:a16="http://schemas.microsoft.com/office/drawing/2014/main" id="{7F0963F1-FD29-4890-B77A-6F5E85FA22BD}"/>
            </a:ext>
          </a:extLst>
        </xdr:cNvPr>
        <xdr:cNvSpPr txBox="1"/>
      </xdr:nvSpPr>
      <xdr:spPr>
        <a:xfrm>
          <a:off x="180974" y="9839326"/>
          <a:ext cx="14382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a:solidFill>
                <a:schemeClr val="bg1"/>
              </a:solidFill>
            </a:rPr>
            <a:t>Currency: USD</a:t>
          </a:r>
        </a:p>
      </xdr:txBody>
    </xdr:sp>
    <xdr:clientData/>
  </xdr:twoCellAnchor>
  <xdr:twoCellAnchor>
    <xdr:from>
      <xdr:col>0</xdr:col>
      <xdr:colOff>190500</xdr:colOff>
      <xdr:row>49</xdr:row>
      <xdr:rowOff>142875</xdr:rowOff>
    </xdr:from>
    <xdr:to>
      <xdr:col>2</xdr:col>
      <xdr:colOff>533400</xdr:colOff>
      <xdr:row>51</xdr:row>
      <xdr:rowOff>28575</xdr:rowOff>
    </xdr:to>
    <xdr:sp macro="" textlink="">
      <xdr:nvSpPr>
        <xdr:cNvPr id="91" name="TextBox 90">
          <a:extLst>
            <a:ext uri="{FF2B5EF4-FFF2-40B4-BE49-F238E27FC236}">
              <a16:creationId xmlns:a16="http://schemas.microsoft.com/office/drawing/2014/main" id="{70F9D061-D30A-41B8-8C02-D2490D032CE2}"/>
            </a:ext>
          </a:extLst>
        </xdr:cNvPr>
        <xdr:cNvSpPr txBox="1"/>
      </xdr:nvSpPr>
      <xdr:spPr>
        <a:xfrm>
          <a:off x="190500" y="9477375"/>
          <a:ext cx="1562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a:solidFill>
                <a:schemeClr val="bg1"/>
              </a:solidFill>
            </a:rPr>
            <a:t>Data Year: 2026</a:t>
          </a:r>
        </a:p>
      </xdr:txBody>
    </xdr:sp>
    <xdr:clientData/>
  </xdr:twoCellAnchor>
  <xdr:twoCellAnchor>
    <xdr:from>
      <xdr:col>0</xdr:col>
      <xdr:colOff>99218</xdr:colOff>
      <xdr:row>37</xdr:row>
      <xdr:rowOff>180975</xdr:rowOff>
    </xdr:from>
    <xdr:to>
      <xdr:col>2</xdr:col>
      <xdr:colOff>575468</xdr:colOff>
      <xdr:row>40</xdr:row>
      <xdr:rowOff>180973</xdr:rowOff>
    </xdr:to>
    <xdr:grpSp>
      <xdr:nvGrpSpPr>
        <xdr:cNvPr id="92" name="Group 91">
          <a:extLst>
            <a:ext uri="{FF2B5EF4-FFF2-40B4-BE49-F238E27FC236}">
              <a16:creationId xmlns:a16="http://schemas.microsoft.com/office/drawing/2014/main" id="{605B8123-A852-4D5D-8400-6341DA3773E3}"/>
            </a:ext>
          </a:extLst>
        </xdr:cNvPr>
        <xdr:cNvGrpSpPr/>
      </xdr:nvGrpSpPr>
      <xdr:grpSpPr>
        <a:xfrm>
          <a:off x="99218" y="7156053"/>
          <a:ext cx="1686719" cy="565545"/>
          <a:chOff x="171450" y="3905250"/>
          <a:chExt cx="1695450" cy="571498"/>
        </a:xfrm>
      </xdr:grpSpPr>
      <xdr:sp macro="" textlink="">
        <xdr:nvSpPr>
          <xdr:cNvPr id="95" name="Rectangle: Rounded Corners 94">
            <a:extLst>
              <a:ext uri="{FF2B5EF4-FFF2-40B4-BE49-F238E27FC236}">
                <a16:creationId xmlns:a16="http://schemas.microsoft.com/office/drawing/2014/main" id="{CFC1AAA4-8207-46EA-B19F-587B3F207478}"/>
              </a:ext>
            </a:extLst>
          </xdr:cNvPr>
          <xdr:cNvSpPr/>
        </xdr:nvSpPr>
        <xdr:spPr>
          <a:xfrm>
            <a:off x="171450" y="3905250"/>
            <a:ext cx="1695450" cy="571498"/>
          </a:xfrm>
          <a:prstGeom prst="roundRect">
            <a:avLst/>
          </a:prstGeom>
          <a:solidFill>
            <a:schemeClr val="accent1">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00" b="0" baseline="0"/>
              <a:t>            A</a:t>
            </a:r>
            <a:r>
              <a:rPr lang="en-US" sz="800" b="0" baseline="0"/>
              <a:t>verage Order Value (AOV)</a:t>
            </a:r>
            <a:endParaRPr lang="en-US" sz="800" b="1" baseline="0"/>
          </a:p>
          <a:p>
            <a:pPr algn="ctr"/>
            <a:r>
              <a:rPr lang="en-US" sz="1600" b="1">
                <a:solidFill>
                  <a:schemeClr val="bg1"/>
                </a:solidFill>
              </a:rPr>
              <a:t>    $ 52,758.97 </a:t>
            </a:r>
          </a:p>
        </xdr:txBody>
      </xdr:sp>
      <xdr:pic>
        <xdr:nvPicPr>
          <xdr:cNvPr id="96" name="Graphic 95" descr="Bar graph with upward trend with solid fill">
            <a:extLst>
              <a:ext uri="{FF2B5EF4-FFF2-40B4-BE49-F238E27FC236}">
                <a16:creationId xmlns:a16="http://schemas.microsoft.com/office/drawing/2014/main" id="{9D70A99D-8CC1-446E-80D4-8D43E90B3FA9}"/>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219076" y="4000501"/>
            <a:ext cx="361950" cy="361950"/>
          </a:xfrm>
          <a:prstGeom prst="rect">
            <a:avLst/>
          </a:prstGeom>
        </xdr:spPr>
      </xdr:pic>
    </xdr:grpSp>
    <xdr:clientData/>
  </xdr:twoCellAnchor>
  <xdr:twoCellAnchor>
    <xdr:from>
      <xdr:col>0</xdr:col>
      <xdr:colOff>123429</xdr:colOff>
      <xdr:row>33</xdr:row>
      <xdr:rowOff>154383</xdr:rowOff>
    </xdr:from>
    <xdr:to>
      <xdr:col>2</xdr:col>
      <xdr:colOff>485379</xdr:colOff>
      <xdr:row>36</xdr:row>
      <xdr:rowOff>154380</xdr:rowOff>
    </xdr:to>
    <xdr:grpSp>
      <xdr:nvGrpSpPr>
        <xdr:cNvPr id="109" name="Group 108">
          <a:extLst>
            <a:ext uri="{FF2B5EF4-FFF2-40B4-BE49-F238E27FC236}">
              <a16:creationId xmlns:a16="http://schemas.microsoft.com/office/drawing/2014/main" id="{0B5BD94C-8E04-404D-BA78-099A914C04E0}"/>
            </a:ext>
          </a:extLst>
        </xdr:cNvPr>
        <xdr:cNvGrpSpPr/>
      </xdr:nvGrpSpPr>
      <xdr:grpSpPr>
        <a:xfrm>
          <a:off x="123429" y="6375399"/>
          <a:ext cx="1572419" cy="565544"/>
          <a:chOff x="142875" y="4752973"/>
          <a:chExt cx="1581150" cy="571498"/>
        </a:xfrm>
      </xdr:grpSpPr>
      <xdr:sp macro="" textlink="">
        <xdr:nvSpPr>
          <xdr:cNvPr id="103" name="Rectangle: Rounded Corners 102">
            <a:extLst>
              <a:ext uri="{FF2B5EF4-FFF2-40B4-BE49-F238E27FC236}">
                <a16:creationId xmlns:a16="http://schemas.microsoft.com/office/drawing/2014/main" id="{2C950750-BA47-4568-A7C0-E455F1408D63}"/>
              </a:ext>
            </a:extLst>
          </xdr:cNvPr>
          <xdr:cNvSpPr/>
        </xdr:nvSpPr>
        <xdr:spPr>
          <a:xfrm>
            <a:off x="142875" y="4752973"/>
            <a:ext cx="1581150" cy="571498"/>
          </a:xfrm>
          <a:prstGeom prst="roundRect">
            <a:avLst/>
          </a:prstGeom>
          <a:solidFill>
            <a:schemeClr val="accent1">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800" b="0" baseline="0"/>
              <a:t>                    </a:t>
            </a:r>
            <a:r>
              <a:rPr lang="en-US" sz="1000" b="0">
                <a:solidFill>
                  <a:schemeClr val="lt1"/>
                </a:solidFill>
                <a:effectLst/>
                <a:latin typeface="+mn-lt"/>
                <a:ea typeface="+mn-ea"/>
                <a:cs typeface="+mn-cs"/>
              </a:rPr>
              <a:t>Total</a:t>
            </a:r>
            <a:r>
              <a:rPr lang="en-US" sz="1000" b="0" baseline="0">
                <a:solidFill>
                  <a:schemeClr val="lt1"/>
                </a:solidFill>
                <a:effectLst/>
                <a:latin typeface="+mn-lt"/>
                <a:ea typeface="+mn-ea"/>
                <a:cs typeface="+mn-cs"/>
              </a:rPr>
              <a:t> Customers </a:t>
            </a:r>
            <a:r>
              <a:rPr lang="en-US" sz="1200" b="1">
                <a:solidFill>
                  <a:schemeClr val="bg1"/>
                </a:solidFill>
              </a:rPr>
              <a:t> </a:t>
            </a:r>
          </a:p>
          <a:p>
            <a:pPr algn="ctr"/>
            <a:r>
              <a:rPr lang="en-US" sz="2000" b="1">
                <a:solidFill>
                  <a:schemeClr val="lt1"/>
                </a:solidFill>
                <a:effectLst/>
                <a:latin typeface="+mn-lt"/>
                <a:ea typeface="+mn-ea"/>
                <a:cs typeface="+mn-cs"/>
              </a:rPr>
              <a:t>569</a:t>
            </a:r>
            <a:endParaRPr lang="en-US" sz="2000" b="1">
              <a:solidFill>
                <a:schemeClr val="bg1"/>
              </a:solidFill>
            </a:endParaRPr>
          </a:p>
        </xdr:txBody>
      </xdr:sp>
      <xdr:pic>
        <xdr:nvPicPr>
          <xdr:cNvPr id="105" name="Graphic 104" descr="Target Audience with solid fill">
            <a:extLst>
              <a:ext uri="{FF2B5EF4-FFF2-40B4-BE49-F238E27FC236}">
                <a16:creationId xmlns:a16="http://schemas.microsoft.com/office/drawing/2014/main" id="{E16F6AAB-D54B-42A8-87AF-61D5BBEDE901}"/>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257175" y="4819650"/>
            <a:ext cx="409575" cy="409575"/>
          </a:xfrm>
          <a:prstGeom prst="rect">
            <a:avLst/>
          </a:prstGeom>
        </xdr:spPr>
      </xdr:pic>
    </xdr:grpSp>
    <xdr:clientData/>
  </xdr:twoCellAnchor>
  <xdr:twoCellAnchor>
    <xdr:from>
      <xdr:col>0</xdr:col>
      <xdr:colOff>94457</xdr:colOff>
      <xdr:row>42</xdr:row>
      <xdr:rowOff>12303</xdr:rowOff>
    </xdr:from>
    <xdr:to>
      <xdr:col>2</xdr:col>
      <xdr:colOff>585391</xdr:colOff>
      <xdr:row>45</xdr:row>
      <xdr:rowOff>67469</xdr:rowOff>
    </xdr:to>
    <xdr:grpSp>
      <xdr:nvGrpSpPr>
        <xdr:cNvPr id="97" name="Group 96">
          <a:extLst>
            <a:ext uri="{FF2B5EF4-FFF2-40B4-BE49-F238E27FC236}">
              <a16:creationId xmlns:a16="http://schemas.microsoft.com/office/drawing/2014/main" id="{BC8F0D90-25B5-4D30-AC60-BB583A35DD63}"/>
            </a:ext>
          </a:extLst>
        </xdr:cNvPr>
        <xdr:cNvGrpSpPr/>
      </xdr:nvGrpSpPr>
      <xdr:grpSpPr>
        <a:xfrm>
          <a:off x="94457" y="7929959"/>
          <a:ext cx="1701403" cy="620713"/>
          <a:chOff x="142769" y="5553075"/>
          <a:chExt cx="1733550" cy="628650"/>
        </a:xfrm>
      </xdr:grpSpPr>
      <xdr:sp macro="" textlink="">
        <xdr:nvSpPr>
          <xdr:cNvPr id="107" name="Rectangle: Rounded Corners 106">
            <a:extLst>
              <a:ext uri="{FF2B5EF4-FFF2-40B4-BE49-F238E27FC236}">
                <a16:creationId xmlns:a16="http://schemas.microsoft.com/office/drawing/2014/main" id="{F7E15CF2-9863-4B73-AFBF-FA38E6CF69C2}"/>
              </a:ext>
            </a:extLst>
          </xdr:cNvPr>
          <xdr:cNvSpPr/>
        </xdr:nvSpPr>
        <xdr:spPr>
          <a:xfrm>
            <a:off x="142769" y="5553075"/>
            <a:ext cx="1733550" cy="628650"/>
          </a:xfrm>
          <a:prstGeom prst="roundRect">
            <a:avLst/>
          </a:prstGeom>
          <a:solidFill>
            <a:schemeClr val="accent1">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sz="1000" b="0" baseline="0"/>
              <a:t>Total Revenue</a:t>
            </a:r>
            <a:r>
              <a:rPr lang="en-US" sz="1600" b="1">
                <a:solidFill>
                  <a:schemeClr val="bg1"/>
                </a:solidFill>
              </a:rPr>
              <a:t>  </a:t>
            </a:r>
          </a:p>
          <a:p>
            <a:pPr algn="ctr"/>
            <a:r>
              <a:rPr lang="en-US" sz="1400" b="1">
                <a:solidFill>
                  <a:schemeClr val="bg1"/>
                </a:solidFill>
              </a:rPr>
              <a:t>         Approx.</a:t>
            </a:r>
            <a:r>
              <a:rPr lang="en-US" sz="1400" b="1" baseline="0">
                <a:solidFill>
                  <a:schemeClr val="bg1"/>
                </a:solidFill>
              </a:rPr>
              <a:t> $ 95M</a:t>
            </a:r>
            <a:endParaRPr lang="en-US" sz="1400" b="1">
              <a:solidFill>
                <a:schemeClr val="bg1"/>
              </a:solidFill>
            </a:endParaRPr>
          </a:p>
        </xdr:txBody>
      </xdr:sp>
      <xdr:pic>
        <xdr:nvPicPr>
          <xdr:cNvPr id="108" name="Graphic 107" descr="Bar graph with upward trend with solid fill">
            <a:extLst>
              <a:ext uri="{FF2B5EF4-FFF2-40B4-BE49-F238E27FC236}">
                <a16:creationId xmlns:a16="http://schemas.microsoft.com/office/drawing/2014/main" id="{5560A2AE-C516-489D-9EA8-45826DFD3C1F}"/>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90923" y="5667375"/>
            <a:ext cx="361950" cy="361950"/>
          </a:xfrm>
          <a:prstGeom prst="rect">
            <a:avLst/>
          </a:prstGeom>
        </xdr:spPr>
      </xdr:pic>
    </xdr:grpSp>
    <xdr:clientData/>
  </xdr:twoCellAnchor>
  <xdr:twoCellAnchor>
    <xdr:from>
      <xdr:col>0</xdr:col>
      <xdr:colOff>332185</xdr:colOff>
      <xdr:row>19</xdr:row>
      <xdr:rowOff>67469</xdr:rowOff>
    </xdr:from>
    <xdr:to>
      <xdr:col>2</xdr:col>
      <xdr:colOff>275035</xdr:colOff>
      <xdr:row>20</xdr:row>
      <xdr:rowOff>172243</xdr:rowOff>
    </xdr:to>
    <xdr:sp macro="" textlink="">
      <xdr:nvSpPr>
        <xdr:cNvPr id="110" name="TextBox 109">
          <a:extLst>
            <a:ext uri="{FF2B5EF4-FFF2-40B4-BE49-F238E27FC236}">
              <a16:creationId xmlns:a16="http://schemas.microsoft.com/office/drawing/2014/main" id="{AB1E42F3-C64D-44D9-807C-0612C4026DC5}"/>
            </a:ext>
          </a:extLst>
        </xdr:cNvPr>
        <xdr:cNvSpPr txBox="1"/>
      </xdr:nvSpPr>
      <xdr:spPr>
        <a:xfrm>
          <a:off x="332185" y="3649266"/>
          <a:ext cx="1153319" cy="293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KPI SUMMARY</a:t>
          </a:r>
        </a:p>
      </xdr:txBody>
    </xdr:sp>
    <xdr:clientData/>
  </xdr:twoCellAnchor>
  <xdr:twoCellAnchor>
    <xdr:from>
      <xdr:col>4</xdr:col>
      <xdr:colOff>74084</xdr:colOff>
      <xdr:row>5</xdr:row>
      <xdr:rowOff>137583</xdr:rowOff>
    </xdr:from>
    <xdr:to>
      <xdr:col>7</xdr:col>
      <xdr:colOff>148168</xdr:colOff>
      <xdr:row>7</xdr:row>
      <xdr:rowOff>42333</xdr:rowOff>
    </xdr:to>
    <xdr:sp macro="" textlink="$AF$2">
      <xdr:nvSpPr>
        <xdr:cNvPr id="6" name="TextBox 5">
          <a:extLst>
            <a:ext uri="{FF2B5EF4-FFF2-40B4-BE49-F238E27FC236}">
              <a16:creationId xmlns:a16="http://schemas.microsoft.com/office/drawing/2014/main" id="{EDD65EE5-8F3F-46A5-AB48-979872CE497B}"/>
            </a:ext>
          </a:extLst>
        </xdr:cNvPr>
        <xdr:cNvSpPr txBox="1"/>
      </xdr:nvSpPr>
      <xdr:spPr>
        <a:xfrm>
          <a:off x="2529417" y="1090083"/>
          <a:ext cx="19155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FBC8BA-18CC-4B5D-9DB9-8425D4AFEFC2}" type="TxLink">
            <a:rPr lang="en-US" sz="1800" b="1" i="0" u="none" strike="noStrike">
              <a:solidFill>
                <a:schemeClr val="accent1">
                  <a:lumMod val="75000"/>
                </a:schemeClr>
              </a:solidFill>
              <a:latin typeface="Calibri"/>
              <a:ea typeface="Calibri"/>
              <a:cs typeface="Calibri"/>
            </a:rPr>
            <a:pPr/>
            <a:t> $94,966,142.60 </a:t>
          </a:fld>
          <a:endParaRPr lang="en-US" sz="1800" b="1">
            <a:solidFill>
              <a:schemeClr val="accent1">
                <a:lumMod val="75000"/>
              </a:schemeClr>
            </a:solidFill>
          </a:endParaRPr>
        </a:p>
      </xdr:txBody>
    </xdr:sp>
    <xdr:clientData/>
  </xdr:twoCellAnchor>
  <xdr:twoCellAnchor>
    <xdr:from>
      <xdr:col>8</xdr:col>
      <xdr:colOff>519642</xdr:colOff>
      <xdr:row>5</xdr:row>
      <xdr:rowOff>178859</xdr:rowOff>
    </xdr:from>
    <xdr:to>
      <xdr:col>11</xdr:col>
      <xdr:colOff>486833</xdr:colOff>
      <xdr:row>7</xdr:row>
      <xdr:rowOff>83609</xdr:rowOff>
    </xdr:to>
    <xdr:sp macro="" textlink="$AF$3">
      <xdr:nvSpPr>
        <xdr:cNvPr id="69" name="TextBox 68">
          <a:extLst>
            <a:ext uri="{FF2B5EF4-FFF2-40B4-BE49-F238E27FC236}">
              <a16:creationId xmlns:a16="http://schemas.microsoft.com/office/drawing/2014/main" id="{DE9B8D8B-93B4-479C-8336-E8E24DC39EBD}"/>
            </a:ext>
          </a:extLst>
        </xdr:cNvPr>
        <xdr:cNvSpPr txBox="1"/>
      </xdr:nvSpPr>
      <xdr:spPr>
        <a:xfrm>
          <a:off x="5430309" y="1131359"/>
          <a:ext cx="180869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B8D403-8BAE-4827-BFF2-39C1784562B9}" type="TxLink">
            <a:rPr lang="en-US" sz="1800" b="1" i="0" u="none" strike="noStrike">
              <a:solidFill>
                <a:schemeClr val="accent1">
                  <a:lumMod val="75000"/>
                </a:schemeClr>
              </a:solidFill>
              <a:latin typeface="Calibri"/>
              <a:ea typeface="Calibri"/>
              <a:cs typeface="Calibri"/>
            </a:rPr>
            <a:pPr/>
            <a:t> $30,190,494.22 </a:t>
          </a:fld>
          <a:endParaRPr lang="en-US" sz="1800" b="1">
            <a:solidFill>
              <a:schemeClr val="accent1">
                <a:lumMod val="75000"/>
              </a:schemeClr>
            </a:solidFill>
          </a:endParaRPr>
        </a:p>
      </xdr:txBody>
    </xdr:sp>
    <xdr:clientData/>
  </xdr:twoCellAnchor>
  <xdr:twoCellAnchor>
    <xdr:from>
      <xdr:col>0</xdr:col>
      <xdr:colOff>0</xdr:colOff>
      <xdr:row>20</xdr:row>
      <xdr:rowOff>138905</xdr:rowOff>
    </xdr:from>
    <xdr:to>
      <xdr:col>3</xdr:col>
      <xdr:colOff>69453</xdr:colOff>
      <xdr:row>31</xdr:row>
      <xdr:rowOff>138906</xdr:rowOff>
    </xdr:to>
    <xdr:graphicFrame macro="">
      <xdr:nvGraphicFramePr>
        <xdr:cNvPr id="79" name="Chart 78">
          <a:extLst>
            <a:ext uri="{FF2B5EF4-FFF2-40B4-BE49-F238E27FC236}">
              <a16:creationId xmlns:a16="http://schemas.microsoft.com/office/drawing/2014/main" id="{8433DECD-CB90-4455-AAC4-063F91014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200025</xdr:colOff>
      <xdr:row>0</xdr:row>
      <xdr:rowOff>133350</xdr:rowOff>
    </xdr:from>
    <xdr:to>
      <xdr:col>4</xdr:col>
      <xdr:colOff>499533</xdr:colOff>
      <xdr:row>0</xdr:row>
      <xdr:rowOff>503767</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03B2C5BF-6620-4906-915A-6E3B0CCE783E}"/>
            </a:ext>
          </a:extLst>
        </xdr:cNvPr>
        <xdr:cNvSpPr/>
      </xdr:nvSpPr>
      <xdr:spPr>
        <a:xfrm>
          <a:off x="3505200" y="133350"/>
          <a:ext cx="1471083" cy="370417"/>
        </a:xfrm>
        <a:prstGeom prst="roundRect">
          <a:avLst>
            <a:gd name="adj" fmla="val 50000"/>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800" b="1" cap="none" spc="0">
              <a:ln w="0"/>
              <a:solidFill>
                <a:schemeClr val="accent1">
                  <a:lumMod val="75000"/>
                </a:schemeClr>
              </a:solidFill>
              <a:effectLst>
                <a:outerShdw blurRad="38100" dist="25400" dir="5400000" algn="ctr" rotWithShape="0">
                  <a:srgbClr val="6E747A">
                    <a:alpha val="43000"/>
                  </a:srgbClr>
                </a:outerShdw>
              </a:effectLst>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137584</xdr:colOff>
      <xdr:row>3</xdr:row>
      <xdr:rowOff>63500</xdr:rowOff>
    </xdr:from>
    <xdr:to>
      <xdr:col>5</xdr:col>
      <xdr:colOff>370416</xdr:colOff>
      <xdr:row>5</xdr:row>
      <xdr:rowOff>0</xdr:rowOff>
    </xdr:to>
    <xdr:cxnSp macro="">
      <xdr:nvCxnSpPr>
        <xdr:cNvPr id="3" name="Straight Arrow Connector 2">
          <a:extLst>
            <a:ext uri="{FF2B5EF4-FFF2-40B4-BE49-F238E27FC236}">
              <a16:creationId xmlns:a16="http://schemas.microsoft.com/office/drawing/2014/main" id="{2A0F9A5D-C8C1-4D8A-B645-1F1CAEE730B1}"/>
            </a:ext>
          </a:extLst>
        </xdr:cNvPr>
        <xdr:cNvCxnSpPr/>
      </xdr:nvCxnSpPr>
      <xdr:spPr>
        <a:xfrm flipV="1">
          <a:off x="4910667" y="635000"/>
          <a:ext cx="846666" cy="317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137584</xdr:colOff>
      <xdr:row>7</xdr:row>
      <xdr:rowOff>179916</xdr:rowOff>
    </xdr:from>
    <xdr:to>
      <xdr:col>5</xdr:col>
      <xdr:colOff>444499</xdr:colOff>
      <xdr:row>8</xdr:row>
      <xdr:rowOff>137583</xdr:rowOff>
    </xdr:to>
    <xdr:cxnSp macro="">
      <xdr:nvCxnSpPr>
        <xdr:cNvPr id="4" name="Straight Arrow Connector 3">
          <a:extLst>
            <a:ext uri="{FF2B5EF4-FFF2-40B4-BE49-F238E27FC236}">
              <a16:creationId xmlns:a16="http://schemas.microsoft.com/office/drawing/2014/main" id="{986EABCB-5CE4-43F3-846C-BCB26FD660A3}"/>
            </a:ext>
          </a:extLst>
        </xdr:cNvPr>
        <xdr:cNvCxnSpPr/>
      </xdr:nvCxnSpPr>
      <xdr:spPr>
        <a:xfrm>
          <a:off x="4910667" y="1513416"/>
          <a:ext cx="920749" cy="148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127000</xdr:colOff>
      <xdr:row>12</xdr:row>
      <xdr:rowOff>74084</xdr:rowOff>
    </xdr:from>
    <xdr:to>
      <xdr:col>5</xdr:col>
      <xdr:colOff>433915</xdr:colOff>
      <xdr:row>13</xdr:row>
      <xdr:rowOff>31751</xdr:rowOff>
    </xdr:to>
    <xdr:cxnSp macro="">
      <xdr:nvCxnSpPr>
        <xdr:cNvPr id="6" name="Straight Arrow Connector 5">
          <a:extLst>
            <a:ext uri="{FF2B5EF4-FFF2-40B4-BE49-F238E27FC236}">
              <a16:creationId xmlns:a16="http://schemas.microsoft.com/office/drawing/2014/main" id="{0A84A6DE-7D8E-4F41-B076-F57411183AF6}"/>
            </a:ext>
          </a:extLst>
        </xdr:cNvPr>
        <xdr:cNvCxnSpPr/>
      </xdr:nvCxnSpPr>
      <xdr:spPr>
        <a:xfrm>
          <a:off x="4900083" y="2360084"/>
          <a:ext cx="920749" cy="148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127000</xdr:colOff>
      <xdr:row>18</xdr:row>
      <xdr:rowOff>0</xdr:rowOff>
    </xdr:from>
    <xdr:to>
      <xdr:col>5</xdr:col>
      <xdr:colOff>433915</xdr:colOff>
      <xdr:row>18</xdr:row>
      <xdr:rowOff>148167</xdr:rowOff>
    </xdr:to>
    <xdr:cxnSp macro="">
      <xdr:nvCxnSpPr>
        <xdr:cNvPr id="7" name="Straight Arrow Connector 6">
          <a:extLst>
            <a:ext uri="{FF2B5EF4-FFF2-40B4-BE49-F238E27FC236}">
              <a16:creationId xmlns:a16="http://schemas.microsoft.com/office/drawing/2014/main" id="{5B7B2CC5-DFDA-40DC-B968-2F7ED398A8D3}"/>
            </a:ext>
          </a:extLst>
        </xdr:cNvPr>
        <xdr:cNvCxnSpPr/>
      </xdr:nvCxnSpPr>
      <xdr:spPr>
        <a:xfrm>
          <a:off x="4900083" y="3429000"/>
          <a:ext cx="920749" cy="148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C2B173F-B06B-4863-BDFA-787E549D9C07}" sourceName="Customer_Segment">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2585895A-D233-4278-8AF0-F31C99BE60C8}" cache="Slicer_Customer_Segment" caption="Customer Segment Filter" columnCount="3"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D5" totalsRowCount="1">
  <autoFilter ref="A1:D4" xr:uid="{00000000-0009-0000-0100-000004000000}">
    <filterColumn colId="0" hiddenButton="1"/>
    <filterColumn colId="1" hiddenButton="1"/>
    <filterColumn colId="2" hiddenButton="1"/>
    <filterColumn colId="3" hiddenButton="1"/>
  </autoFilter>
  <tableColumns count="4">
    <tableColumn id="1" xr3:uid="{00000000-0010-0000-0000-000001000000}" name="Customer_Segment" totalsRowLabel="Total"/>
    <tableColumn id="2" xr3:uid="{00000000-0010-0000-0000-000002000000}" name="Total Revenue" totalsRowFunction="sum" totalsRowDxfId="33" dataCellStyle="Currency"/>
    <tableColumn id="3" xr3:uid="{00000000-0010-0000-0000-000003000000}" name="Total Gross_Profit" totalsRowFunction="sum" totalsRowDxfId="32" dataCellStyle="Currency"/>
    <tableColumn id="4" xr3:uid="{FAE88AF2-D10C-456A-9D79-E3E353C6CE66}" name="Total Number" totalsRowFunction="sum"/>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235A2A9-336A-40BA-BD17-9C7981FEE99D}" name="Table14" displayName="Table14" ref="A2:E9" totalsRowShown="0">
  <autoFilter ref="A2:E9" xr:uid="{7235A2A9-336A-40BA-BD17-9C7981FEE99D}">
    <filterColumn colId="0" hiddenButton="1"/>
    <filterColumn colId="1" hiddenButton="1"/>
    <filterColumn colId="2" hiddenButton="1"/>
    <filterColumn colId="3" hiddenButton="1"/>
    <filterColumn colId="4" hiddenButton="1"/>
  </autoFilter>
  <tableColumns count="5">
    <tableColumn id="1" xr3:uid="{6C84ACFA-E565-452E-939C-40344AA4F8DA}" name="Issue Found"/>
    <tableColumn id="2" xr3:uid="{865D09FD-0A03-464C-9891-C9DCD10F4AE1}" name="How Identified"/>
    <tableColumn id="3" xr3:uid="{D38B3C12-B84A-4AD9-9BFC-DCD6E3DAE813}" name="Rows Affected"/>
    <tableColumn id="4" xr3:uid="{1CB858D5-D7EF-4703-B278-558A1BFBFB0B}" name="Action Taken"/>
    <tableColumn id="5" xr3:uid="{1C9E9F31-5AE9-4A41-B0AB-D8D36CDA426C}" name="Rationale"/>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978249-9C39-40C1-88E3-893C0FD026E2}" name="Table7" displayName="Table7" ref="A3:H573" totalsRowShown="0">
  <autoFilter ref="A3:H573" xr:uid="{D4978249-9C39-40C1-88E3-893C0FD026E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AD36753-F561-4833-9E6B-31D1BC704958}" name="Customer ID"/>
    <tableColumn id="2" xr3:uid="{AB9EC248-693C-4316-8052-ABB1E5DF88F5}" name="Orders"/>
    <tableColumn id="3" xr3:uid="{389B74B4-9D1A-42C6-A452-91D048E11E77}" name="Total Quantity"/>
    <tableColumn id="4" xr3:uid="{F3D6F36C-0D34-4229-BDCC-C360AE394BD0}" name="Total Revenue" dataDxfId="31"/>
    <tableColumn id="5" xr3:uid="{194D778E-2DBE-450D-AED6-D52E64318CA1}" name="Total Gross_Profit" dataDxfId="30"/>
    <tableColumn id="6" xr3:uid="{7AAC3D57-1F64-4E88-BFE3-46E8A2BA9005}" name="Average Customer_Rating" dataDxfId="29"/>
    <tableColumn id="7" xr3:uid="{E4FA0969-8FC9-47E5-901B-94EB995F833E}" name="Average Order_Value" dataDxfId="28">
      <calculatedColumnFormula>Table7[[#This Row],[Total Revenue]]/Table7[[#This Row],[Orders]]</calculatedColumnFormula>
    </tableColumn>
    <tableColumn id="8" xr3:uid="{D9EBA459-ADF7-4848-BFDB-A59884C34C50}" name="Cutomer Segment" dataDxfId="27">
      <calculatedColumnFormula>IF(Table7[[#This Row],[Orders]]=1,"New",IF(Table7[[#This Row],[Orders]]&lt;=3,"Returning","Loyal"))</calculatedColumnFormula>
    </tableColum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8" displayName="Table8" ref="A3:H13" totalsRowShown="0">
  <autoFilter ref="A3:H1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200-000001000000}" name="Customer"/>
    <tableColumn id="2" xr3:uid="{00000000-0010-0000-0200-000002000000}" name="Total Revenue" dataCellStyle="Currency"/>
    <tableColumn id="3" xr3:uid="{00000000-0010-0000-0200-000003000000}" name="Average Customer_Rating" dataDxfId="26"/>
    <tableColumn id="4" xr3:uid="{00000000-0010-0000-0200-000004000000}" name="Orders"/>
    <tableColumn id="5" xr3:uid="{00000000-0010-0000-0200-000005000000}" name="Total Quantity"/>
    <tableColumn id="6" xr3:uid="{00000000-0010-0000-0200-000006000000}" name="Total Gross_Profit" dataCellStyle="Currency"/>
    <tableColumn id="7" xr3:uid="{00000000-0010-0000-0200-000007000000}" name="Average Order_Value" dataCellStyle="Currency"/>
    <tableColumn id="8" xr3:uid="{00000000-0010-0000-0200-000008000000}" name="Customer_Segment"/>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D021164-62DE-47AA-A258-7B36A9BB54F9}" name="Table11" displayName="Table11" ref="A18:H28" totalsRowShown="0">
  <autoFilter ref="A18:H28" xr:uid="{5D021164-62DE-47AA-A258-7B36A9BB54F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8698ABF-C4F9-4D71-BD44-89733674E1C6}" name="Customer"/>
    <tableColumn id="2" xr3:uid="{3F86B52B-D59D-4EE0-8A58-220C1BC0A027}" name="Total Revenue" dataDxfId="25" dataCellStyle="Currency"/>
    <tableColumn id="3" xr3:uid="{C75CD24B-7AA0-4B6A-97CC-A24E129EAF8F}" name="Average Customer_Rating" dataDxfId="24"/>
    <tableColumn id="4" xr3:uid="{0249DE39-75E0-4D2F-AA92-28A5A9C8C3F8}" name="Orders"/>
    <tableColumn id="5" xr3:uid="{CA0A2F2A-A124-43F8-B76A-F7360A9EE008}" name="Total Quantity"/>
    <tableColumn id="6" xr3:uid="{263107D0-AEDD-4C7C-8D40-D31EDDA5CB1C}" name="Total Gross_Profit" dataDxfId="23" dataCellStyle="Currency"/>
    <tableColumn id="7" xr3:uid="{644521E8-612A-488F-8AF8-84CA48637F62}" name="Average Order_Value" dataDxfId="22" dataCellStyle="Currency"/>
    <tableColumn id="8" xr3:uid="{42C5A791-D77A-4698-9630-140CDA31B2A6}" name="Customer_Segment"/>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14">
  <autoFilter ref="A3:E14" xr:uid="{00000000-0009-0000-0100-000005000000}">
    <filterColumn colId="0" hiddenButton="1"/>
    <filterColumn colId="1" hiddenButton="1"/>
    <filterColumn colId="2" hiddenButton="1"/>
    <filterColumn colId="3" hiddenButton="1"/>
    <filterColumn colId="4" hiddenButton="1"/>
  </autoFilter>
  <tableColumns count="5">
    <tableColumn id="1" xr3:uid="{00000000-0010-0000-0400-000001000000}" name="Region" totalsRowLabel="Total"/>
    <tableColumn id="2" xr3:uid="{00000000-0010-0000-0400-000002000000}" name="Loyal" dataDxfId="21" dataCellStyle="Percent"/>
    <tableColumn id="3" xr3:uid="{00000000-0010-0000-0400-000003000000}" name="New" dataDxfId="20" dataCellStyle="Percent"/>
    <tableColumn id="4" xr3:uid="{00000000-0010-0000-0400-000004000000}" name="Returning" dataDxfId="19" dataCellStyle="Percent"/>
    <tableColumn id="5" xr3:uid="{00000000-0010-0000-0400-000005000000}" name="Grand Total" totalsRowFunction="sum" dataDxfId="18" dataCellStyle="Percent"/>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H3:L10" totalsRowShown="0">
  <autoFilter ref="H3:L10" xr:uid="{00000000-0009-0000-0100-000006000000}">
    <filterColumn colId="0" hiddenButton="1"/>
    <filterColumn colId="1" hiddenButton="1"/>
    <filterColumn colId="2" hiddenButton="1"/>
    <filterColumn colId="3" hiddenButton="1"/>
    <filterColumn colId="4" hiddenButton="1"/>
  </autoFilter>
  <tableColumns count="5">
    <tableColumn id="1" xr3:uid="{00000000-0010-0000-0500-000001000000}" name="Acquisition Channels"/>
    <tableColumn id="2" xr3:uid="{00000000-0010-0000-0500-000002000000}" name="Loyal" dataDxfId="17" dataCellStyle="Percent"/>
    <tableColumn id="3" xr3:uid="{00000000-0010-0000-0500-000003000000}" name="New" dataDxfId="16" dataCellStyle="Percent"/>
    <tableColumn id="4" xr3:uid="{00000000-0010-0000-0500-000004000000}" name="Returning" dataDxfId="15" dataCellStyle="Percent"/>
    <tableColumn id="5" xr3:uid="{00000000-0010-0000-0500-000005000000}" name="Grand Total" dataDxfId="14" dataCellStyle="Percent"/>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8C8399E-C4FB-4821-AE13-784EA9D350B0}" name="Table10" displayName="Table10" ref="O3:R7" totalsRowCount="1">
  <autoFilter ref="O3:R6" xr:uid="{F8C8399E-C4FB-4821-AE13-784EA9D350B0}">
    <filterColumn colId="0" hiddenButton="1"/>
    <filterColumn colId="1" hiddenButton="1"/>
    <filterColumn colId="2" hiddenButton="1"/>
    <filterColumn colId="3" hiddenButton="1"/>
  </autoFilter>
  <tableColumns count="4">
    <tableColumn id="1" xr3:uid="{B09BAB07-FB2B-4C56-89A8-B06D80699CB8}" name="Customer_Segment" totalsRowLabel="Total Average"/>
    <tableColumn id="2" xr3:uid="{19641C7A-2077-45AF-B9B3-157534A42D0D}" name="Average Purchase Frequency" totalsRowFunction="average" dataDxfId="13" totalsRowDxfId="12"/>
    <tableColumn id="3" xr3:uid="{5071893D-3B48-4956-892E-7437261D075A}" name="Average Order_Value" totalsRowFunction="average" dataDxfId="11" totalsRowDxfId="10" dataCellStyle="Currency"/>
    <tableColumn id="4" xr3:uid="{8FBFA987-B894-4D81-95BA-67D2176EA80F}" name="Average Revenue" totalsRowFunction="average" dataDxfId="9" totalsRowDxfId="8" dataCellStyle="Currency"/>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DataSet" displayName="DataSet" ref="A1:W1814" totalsRowCount="1">
  <autoFilter ref="A1:W181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0000000-0010-0000-0800-000001000000}" name="Order_ID" totalsRowLabel="Total"/>
    <tableColumn id="2" xr3:uid="{00000000-0010-0000-0800-000002000000}" name="Order_Date" dataDxfId="7"/>
    <tableColumn id="3" xr3:uid="{00000000-0010-0000-0800-000003000000}" name="Customer_ID"/>
    <tableColumn id="4" xr3:uid="{00000000-0010-0000-0800-000004000000}" name="Region"/>
    <tableColumn id="5" xr3:uid="{00000000-0010-0000-0800-000005000000}" name="Customer_Segment"/>
    <tableColumn id="6" xr3:uid="{00000000-0010-0000-0800-000006000000}" name="Category"/>
    <tableColumn id="7" xr3:uid="{00000000-0010-0000-0800-000007000000}" name="Product"/>
    <tableColumn id="8" xr3:uid="{00000000-0010-0000-0800-000008000000}" name="Quantity"/>
    <tableColumn id="9" xr3:uid="{00000000-0010-0000-0800-000009000000}" name="Unit_Price"/>
    <tableColumn id="10" xr3:uid="{00000000-0010-0000-0800-00000A000000}" name="Discount_Pct"/>
    <tableColumn id="11" xr3:uid="{00000000-0010-0000-0800-00000B000000}" name="Discount_Amount"/>
    <tableColumn id="12" xr3:uid="{00000000-0010-0000-0800-00000C000000}" name="Revenue" totalsRowFunction="sum"/>
    <tableColumn id="13" xr3:uid="{00000000-0010-0000-0800-00000D000000}" name="Cost"/>
    <tableColumn id="14" xr3:uid="{00000000-0010-0000-0800-00000E000000}" name="Gross_Profit" totalsRowFunction="sum"/>
    <tableColumn id="15" xr3:uid="{00000000-0010-0000-0800-00000F000000}" name="Acquisition_Channel"/>
    <tableColumn id="16" xr3:uid="{00000000-0010-0000-0800-000010000000}" name="Marketing_Cost"/>
    <tableColumn id="17" xr3:uid="{00000000-0010-0000-0800-000011000000}" name="Payment_Method"/>
    <tableColumn id="18" xr3:uid="{00000000-0010-0000-0800-000012000000}" name="Delivery_Type"/>
    <tableColumn id="19" xr3:uid="{00000000-0010-0000-0800-000013000000}" name="Promised_Days"/>
    <tableColumn id="20" xr3:uid="{00000000-0010-0000-0800-000014000000}" name="Delivery_Days"/>
    <tableColumn id="21" xr3:uid="{00000000-0010-0000-0800-000015000000}" name="Late_Delivery"/>
    <tableColumn id="22" xr3:uid="{00000000-0010-0000-0800-000016000000}" name="Order_Status"/>
    <tableColumn id="23" xr3:uid="{00000000-0010-0000-0800-000017000000}" name="Customer_Rating" totalsRowFunction="sum"/>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5CC3A4B-87F9-4387-9C85-B7B9D7149A11}" name="DataSet13" displayName="DataSet13" ref="A1:W1801">
  <autoFilter ref="A1:W1801" xr:uid="{D5CC3A4B-87F9-4387-9C85-B7B9D7149A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6CF48C22-28CC-4E43-89BF-D45719BEA4E1}" name="Order_ID" totalsRowLabel="Total"/>
    <tableColumn id="2" xr3:uid="{266F2CA6-1B01-4D8D-895F-A266A1F4575B}" name="Order_Date" dataDxfId="6"/>
    <tableColumn id="3" xr3:uid="{D0431FB3-222B-4840-8FEE-DCD50EE9FABE}" name="Customer_ID"/>
    <tableColumn id="4" xr3:uid="{979BC5A9-C517-4FC2-B00F-A808EEA1E5B1}" name="Region"/>
    <tableColumn id="5" xr3:uid="{F2E2D916-A888-4BAA-B195-FB190BEFC99E}" name="Customer_Segment"/>
    <tableColumn id="6" xr3:uid="{0B88BFD1-8143-46F4-8EC8-C48F8FCCDD97}" name="Category"/>
    <tableColumn id="7" xr3:uid="{8002E1D3-8EFD-4DB0-A70D-FDD72923D41C}" name="Product"/>
    <tableColumn id="8" xr3:uid="{51A63753-AA5C-4E23-B5CC-61D57C830567}" name="Quantity"/>
    <tableColumn id="9" xr3:uid="{DB6510A3-7BBF-4937-8F7B-5F24AF334C26}" name="Unit_Price" dataDxfId="5"/>
    <tableColumn id="10" xr3:uid="{5EE0DE26-7316-4E54-B86D-2B3C221D866A}" name="Discount_Pct"/>
    <tableColumn id="11" xr3:uid="{EC0711BA-3E09-4886-BCBC-A641714C4DD0}" name="Discount_Amount" dataDxfId="4"/>
    <tableColumn id="12" xr3:uid="{3D06B80B-5DF9-4C68-92FD-1E3360F2EF39}" name="Revenue" totalsRowFunction="sum" dataDxfId="3"/>
    <tableColumn id="13" xr3:uid="{C1621176-16B1-4C8A-8A52-2DE3779DE24B}" name="Cost" dataDxfId="2"/>
    <tableColumn id="14" xr3:uid="{864F8D1C-EC53-41ED-A377-7D3129C3095E}" name="Gross_Profit" totalsRowFunction="sum" dataDxfId="1"/>
    <tableColumn id="15" xr3:uid="{5CE6A19A-A715-431C-B063-F4C4E2E87EC5}" name="Acquisition_Channel"/>
    <tableColumn id="16" xr3:uid="{37D77559-780C-494C-9B23-AA3A849297F4}" name="Marketing_Cost" dataDxfId="0"/>
    <tableColumn id="17" xr3:uid="{F01AC903-E628-4781-ADAD-D9BF78451149}" name="Payment_Method"/>
    <tableColumn id="18" xr3:uid="{2285E00F-0EA6-4F0E-94E0-85A4ECC3625E}" name="Delivery_Type"/>
    <tableColumn id="19" xr3:uid="{C1A497EA-53F1-4624-BCCD-101878E922D4}" name="Promised_Days"/>
    <tableColumn id="20" xr3:uid="{CD0A3B8C-4493-47CD-9E91-2CB7C18F68F2}" name="Delivery_Days"/>
    <tableColumn id="21" xr3:uid="{464F87DF-B7A5-4120-A60E-12655EC6287D}" name="Late_Delivery"/>
    <tableColumn id="22" xr3:uid="{9F6905F1-F440-4A27-9ACC-9D9ED0A599A3}" name="Order_Status"/>
    <tableColumn id="23" xr3:uid="{7E0B8BA5-5713-44EB-A962-A3BE7E0C312B}" name="Customer_Rating" totalsRowFunction="sum"/>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activeCell="C23" sqref="C23"/>
    </sheetView>
  </sheetViews>
  <sheetFormatPr defaultRowHeight="15" x14ac:dyDescent="0.25"/>
  <cols>
    <col min="1" max="1" width="20.140625" customWidth="1"/>
    <col min="2" max="2" width="24.140625" style="4" customWidth="1"/>
    <col min="3" max="3" width="27.28515625" style="4" customWidth="1"/>
    <col min="4" max="4" width="15.140625" customWidth="1"/>
  </cols>
  <sheetData>
    <row r="1" spans="1:4" x14ac:dyDescent="0.25">
      <c r="A1" t="s">
        <v>4</v>
      </c>
      <c r="B1" s="4" t="s">
        <v>2456</v>
      </c>
      <c r="C1" s="4" t="s">
        <v>2457</v>
      </c>
      <c r="D1" t="s">
        <v>2475</v>
      </c>
    </row>
    <row r="2" spans="1:4" x14ac:dyDescent="0.25">
      <c r="A2" t="s">
        <v>36</v>
      </c>
      <c r="B2" s="4">
        <v>52456821.700000018</v>
      </c>
      <c r="C2" s="4">
        <v>16621333.880000001</v>
      </c>
      <c r="D2">
        <v>207</v>
      </c>
    </row>
    <row r="3" spans="1:4" x14ac:dyDescent="0.25">
      <c r="A3" t="s">
        <v>46</v>
      </c>
      <c r="B3" s="4">
        <v>3988915.7499999986</v>
      </c>
      <c r="C3" s="4">
        <v>1380996.8299999998</v>
      </c>
      <c r="D3">
        <v>81</v>
      </c>
    </row>
    <row r="4" spans="1:4" x14ac:dyDescent="0.25">
      <c r="A4" t="s">
        <v>26</v>
      </c>
      <c r="B4" s="4">
        <v>38520405.149999976</v>
      </c>
      <c r="C4" s="4">
        <v>12188163.509999994</v>
      </c>
      <c r="D4">
        <v>281</v>
      </c>
    </row>
    <row r="5" spans="1:4" x14ac:dyDescent="0.25">
      <c r="A5" t="s">
        <v>2466</v>
      </c>
      <c r="B5" s="19">
        <f>SUBTOTAL(109,Table4[Total Revenue])</f>
        <v>94966142.599999994</v>
      </c>
      <c r="C5" s="19">
        <f>SUBTOTAL(109,Table4[Total Gross_Profit])</f>
        <v>30190494.219999995</v>
      </c>
      <c r="D5">
        <f>SUBTOTAL(109,Table4[Total Number])</f>
        <v>569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866A-ECA5-446B-A7A7-49415327173D}">
  <sheetPr>
    <pageSetUpPr fitToPage="1"/>
  </sheetPr>
  <dimension ref="T2:AF8"/>
  <sheetViews>
    <sheetView showGridLines="0" topLeftCell="A19" zoomScale="96" zoomScaleNormal="96" workbookViewId="0">
      <selection activeCell="T44" sqref="T44"/>
    </sheetView>
  </sheetViews>
  <sheetFormatPr defaultRowHeight="15" x14ac:dyDescent="0.25"/>
  <cols>
    <col min="20" max="20" width="11.5703125" bestFit="1" customWidth="1"/>
    <col min="21" max="21" width="16.28515625" bestFit="1" customWidth="1"/>
    <col min="32" max="32" width="18.85546875" customWidth="1"/>
  </cols>
  <sheetData>
    <row r="2" spans="20:32" x14ac:dyDescent="0.25">
      <c r="AF2" s="19">
        <f>'Segment Revenue and Profit'!B5</f>
        <v>94966142.599999994</v>
      </c>
    </row>
    <row r="3" spans="20:32" x14ac:dyDescent="0.25">
      <c r="T3" s="18"/>
      <c r="AF3" s="19">
        <f>'Segment Revenue and Profit'!C5</f>
        <v>30190494.219999995</v>
      </c>
    </row>
    <row r="4" spans="20:32" x14ac:dyDescent="0.25">
      <c r="T4" s="19"/>
    </row>
    <row r="8" spans="20:32" x14ac:dyDescent="0.25">
      <c r="U8" s="4"/>
    </row>
  </sheetData>
  <pageMargins left="0.7" right="0.7" top="0.75" bottom="0.75" header="0.3" footer="0.3"/>
  <pageSetup scale="39"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6529-620A-4849-AC77-9C8C56890FC5}">
  <dimension ref="A6:Q44"/>
  <sheetViews>
    <sheetView showGridLines="0" workbookViewId="0">
      <selection activeCell="G3" sqref="G3"/>
    </sheetView>
  </sheetViews>
  <sheetFormatPr defaultRowHeight="15" x14ac:dyDescent="0.25"/>
  <sheetData>
    <row r="6" spans="1:17" ht="23.25" x14ac:dyDescent="0.25">
      <c r="A6" s="27" t="s">
        <v>2516</v>
      </c>
      <c r="B6" s="27"/>
      <c r="C6" s="27"/>
      <c r="D6" s="27"/>
      <c r="E6" s="27"/>
      <c r="F6" s="27"/>
      <c r="G6" s="27"/>
      <c r="H6" s="27"/>
      <c r="I6" s="27"/>
      <c r="J6" s="27"/>
      <c r="K6" s="27"/>
      <c r="L6" s="27"/>
      <c r="M6" s="27"/>
      <c r="N6" s="27"/>
      <c r="O6" s="27"/>
      <c r="P6" s="27"/>
      <c r="Q6" s="27"/>
    </row>
    <row r="8" spans="1:17" ht="21" x14ac:dyDescent="0.35">
      <c r="A8" s="28" t="s">
        <v>2534</v>
      </c>
      <c r="B8" s="28"/>
      <c r="C8" s="28"/>
    </row>
    <row r="9" spans="1:17" x14ac:dyDescent="0.25">
      <c r="A9" t="s">
        <v>2533</v>
      </c>
    </row>
    <row r="11" spans="1:17" ht="21" x14ac:dyDescent="0.35">
      <c r="A11" s="28" t="s">
        <v>2535</v>
      </c>
      <c r="B11" s="28"/>
      <c r="C11" s="28"/>
    </row>
    <row r="12" spans="1:17" x14ac:dyDescent="0.25">
      <c r="A12" t="s">
        <v>2536</v>
      </c>
    </row>
    <row r="14" spans="1:17" ht="21" x14ac:dyDescent="0.35">
      <c r="A14" s="28" t="s">
        <v>2537</v>
      </c>
      <c r="B14" s="28"/>
      <c r="C14" s="28"/>
    </row>
    <row r="15" spans="1:17" x14ac:dyDescent="0.25">
      <c r="A15" s="24" t="s">
        <v>2538</v>
      </c>
    </row>
    <row r="16" spans="1:17" x14ac:dyDescent="0.25">
      <c r="A16" s="25" t="s">
        <v>2517</v>
      </c>
    </row>
    <row r="17" spans="1:3" x14ac:dyDescent="0.25">
      <c r="A17" s="25" t="s">
        <v>2518</v>
      </c>
    </row>
    <row r="18" spans="1:3" x14ac:dyDescent="0.25">
      <c r="A18" s="25" t="s">
        <v>2519</v>
      </c>
    </row>
    <row r="19" spans="1:3" x14ac:dyDescent="0.25">
      <c r="A19" s="25" t="s">
        <v>2520</v>
      </c>
    </row>
    <row r="20" spans="1:3" x14ac:dyDescent="0.25">
      <c r="A20" s="25" t="s">
        <v>2521</v>
      </c>
    </row>
    <row r="21" spans="1:3" x14ac:dyDescent="0.25">
      <c r="A21" s="25" t="s">
        <v>2522</v>
      </c>
    </row>
    <row r="23" spans="1:3" ht="21" x14ac:dyDescent="0.35">
      <c r="A23" s="28" t="s">
        <v>2539</v>
      </c>
      <c r="B23" s="28"/>
      <c r="C23" s="28"/>
    </row>
    <row r="24" spans="1:3" x14ac:dyDescent="0.25">
      <c r="A24" t="s">
        <v>2540</v>
      </c>
    </row>
    <row r="26" spans="1:3" ht="21" x14ac:dyDescent="0.35">
      <c r="A26" s="28" t="s">
        <v>2523</v>
      </c>
      <c r="B26" s="28"/>
      <c r="C26" s="28"/>
    </row>
    <row r="27" spans="1:3" x14ac:dyDescent="0.25">
      <c r="A27" s="24" t="s">
        <v>2524</v>
      </c>
    </row>
    <row r="28" spans="1:3" x14ac:dyDescent="0.25">
      <c r="A28" s="25" t="s">
        <v>2525</v>
      </c>
    </row>
    <row r="29" spans="1:3" x14ac:dyDescent="0.25">
      <c r="A29" s="24" t="s">
        <v>2526</v>
      </c>
    </row>
    <row r="30" spans="1:3" x14ac:dyDescent="0.25">
      <c r="A30" s="25" t="s">
        <v>2527</v>
      </c>
    </row>
    <row r="31" spans="1:3" x14ac:dyDescent="0.25">
      <c r="A31" s="24" t="s">
        <v>2528</v>
      </c>
    </row>
    <row r="34" spans="1:3" ht="21" x14ac:dyDescent="0.35">
      <c r="A34" s="28" t="s">
        <v>2529</v>
      </c>
      <c r="B34" s="28"/>
      <c r="C34" s="28"/>
    </row>
    <row r="35" spans="1:3" x14ac:dyDescent="0.25">
      <c r="A35" s="24" t="s">
        <v>2530</v>
      </c>
    </row>
    <row r="36" spans="1:3" x14ac:dyDescent="0.25">
      <c r="A36" s="24" t="s">
        <v>2531</v>
      </c>
    </row>
    <row r="37" spans="1:3" x14ac:dyDescent="0.25">
      <c r="A37" s="24" t="s">
        <v>2532</v>
      </c>
    </row>
    <row r="40" spans="1:3" ht="21" x14ac:dyDescent="0.35">
      <c r="A40" s="28" t="s">
        <v>2541</v>
      </c>
      <c r="B40" s="28"/>
      <c r="C40" s="28"/>
    </row>
    <row r="41" spans="1:3" x14ac:dyDescent="0.25">
      <c r="A41" t="s">
        <v>2542</v>
      </c>
    </row>
    <row r="43" spans="1:3" ht="21" x14ac:dyDescent="0.35">
      <c r="A43" s="28" t="s">
        <v>2543</v>
      </c>
      <c r="B43" s="28"/>
      <c r="C43" s="28"/>
    </row>
    <row r="44" spans="1:3" x14ac:dyDescent="0.25">
      <c r="A44" t="s">
        <v>2544</v>
      </c>
    </row>
  </sheetData>
  <mergeCells count="9">
    <mergeCell ref="A26:C26"/>
    <mergeCell ref="A34:C34"/>
    <mergeCell ref="A40:C40"/>
    <mergeCell ref="A43:C43"/>
    <mergeCell ref="A6:Q6"/>
    <mergeCell ref="A8:C8"/>
    <mergeCell ref="A11:C11"/>
    <mergeCell ref="A14:C14"/>
    <mergeCell ref="A23:C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50BC-1E72-4555-B171-D5D360425EE9}">
  <dimension ref="A2:E9"/>
  <sheetViews>
    <sheetView topLeftCell="E1" workbookViewId="0">
      <selection activeCell="E9" sqref="E9"/>
    </sheetView>
  </sheetViews>
  <sheetFormatPr defaultRowHeight="15" x14ac:dyDescent="0.25"/>
  <cols>
    <col min="1" max="1" width="53.28515625" customWidth="1"/>
    <col min="2" max="2" width="69" customWidth="1"/>
    <col min="3" max="3" width="16" customWidth="1"/>
    <col min="4" max="4" width="120.140625" customWidth="1"/>
    <col min="5" max="5" width="119.28515625" customWidth="1"/>
  </cols>
  <sheetData>
    <row r="2" spans="1:5" x14ac:dyDescent="0.25">
      <c r="A2" t="s">
        <v>2476</v>
      </c>
      <c r="B2" t="s">
        <v>2477</v>
      </c>
      <c r="C2" t="s">
        <v>2478</v>
      </c>
      <c r="D2" t="s">
        <v>2479</v>
      </c>
      <c r="E2" t="s">
        <v>2480</v>
      </c>
    </row>
    <row r="3" spans="1:5" x14ac:dyDescent="0.25">
      <c r="A3" t="s">
        <v>2481</v>
      </c>
      <c r="B3" t="s">
        <v>2482</v>
      </c>
      <c r="C3" t="s">
        <v>2483</v>
      </c>
      <c r="D3" t="s">
        <v>2484</v>
      </c>
      <c r="E3" t="s">
        <v>2485</v>
      </c>
    </row>
    <row r="4" spans="1:5" x14ac:dyDescent="0.25">
      <c r="A4" t="s">
        <v>2489</v>
      </c>
      <c r="B4" t="s">
        <v>2486</v>
      </c>
      <c r="C4" t="s">
        <v>2487</v>
      </c>
      <c r="D4" t="s">
        <v>2488</v>
      </c>
      <c r="E4" t="s">
        <v>2490</v>
      </c>
    </row>
    <row r="5" spans="1:5" x14ac:dyDescent="0.25">
      <c r="A5" t="s">
        <v>2492</v>
      </c>
      <c r="B5" t="s">
        <v>2491</v>
      </c>
      <c r="C5" t="s">
        <v>2494</v>
      </c>
      <c r="D5" t="s">
        <v>2495</v>
      </c>
      <c r="E5" t="s">
        <v>2493</v>
      </c>
    </row>
    <row r="6" spans="1:5" x14ac:dyDescent="0.25">
      <c r="A6" t="s">
        <v>2499</v>
      </c>
      <c r="B6" t="s">
        <v>2496</v>
      </c>
      <c r="C6" t="s">
        <v>2497</v>
      </c>
      <c r="D6" t="s">
        <v>2498</v>
      </c>
      <c r="E6" t="s">
        <v>2500</v>
      </c>
    </row>
    <row r="7" spans="1:5" x14ac:dyDescent="0.25">
      <c r="A7" t="s">
        <v>2501</v>
      </c>
      <c r="B7" t="s">
        <v>2504</v>
      </c>
      <c r="C7" t="s">
        <v>2502</v>
      </c>
      <c r="D7" t="s">
        <v>2503</v>
      </c>
      <c r="E7" t="s">
        <v>2505</v>
      </c>
    </row>
    <row r="8" spans="1:5" x14ac:dyDescent="0.25">
      <c r="A8" t="s">
        <v>2509</v>
      </c>
      <c r="B8" t="s">
        <v>2507</v>
      </c>
      <c r="C8" t="s">
        <v>2506</v>
      </c>
      <c r="D8" t="s">
        <v>2510</v>
      </c>
      <c r="E8" t="s">
        <v>2508</v>
      </c>
    </row>
    <row r="9" spans="1:5" x14ac:dyDescent="0.25">
      <c r="A9" t="s">
        <v>2514</v>
      </c>
      <c r="B9" t="s">
        <v>2511</v>
      </c>
      <c r="C9" t="s">
        <v>2512</v>
      </c>
      <c r="D9" t="s">
        <v>2513</v>
      </c>
      <c r="E9" t="s">
        <v>2515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9F87-26A3-47CE-990A-964733F87232}">
  <dimension ref="A1:J573"/>
  <sheetViews>
    <sheetView workbookViewId="0">
      <selection activeCell="J5" sqref="J5"/>
    </sheetView>
  </sheetViews>
  <sheetFormatPr defaultRowHeight="15" x14ac:dyDescent="0.25"/>
  <cols>
    <col min="1" max="1" width="13" customWidth="1"/>
    <col min="2" max="2" width="19.140625" customWidth="1"/>
    <col min="3" max="3" width="17.42578125" customWidth="1"/>
    <col min="4" max="4" width="17.5703125" style="21" customWidth="1"/>
    <col min="5" max="5" width="20.7109375" style="21" customWidth="1"/>
    <col min="6" max="6" width="28.28515625" style="2" customWidth="1"/>
    <col min="7" max="7" width="27.5703125" customWidth="1"/>
    <col min="8" max="8" width="20.85546875" customWidth="1"/>
    <col min="10" max="10" width="10.140625" bestFit="1" customWidth="1"/>
  </cols>
  <sheetData>
    <row r="1" spans="1:10" ht="46.5" customHeight="1" x14ac:dyDescent="0.5">
      <c r="A1" s="29" t="s">
        <v>2465</v>
      </c>
      <c r="B1" s="29"/>
      <c r="C1" s="29"/>
      <c r="D1" s="30"/>
      <c r="E1" s="30"/>
    </row>
    <row r="2" spans="1:10" x14ac:dyDescent="0.25">
      <c r="A2" s="21"/>
      <c r="B2" s="21"/>
      <c r="C2" s="21"/>
    </row>
    <row r="3" spans="1:10" x14ac:dyDescent="0.25">
      <c r="A3" t="s">
        <v>2468</v>
      </c>
      <c r="B3" t="s">
        <v>2455</v>
      </c>
      <c r="C3" t="s">
        <v>2469</v>
      </c>
      <c r="D3" s="21" t="s">
        <v>2456</v>
      </c>
      <c r="E3" s="21" t="s">
        <v>2457</v>
      </c>
      <c r="F3" s="2" t="s">
        <v>2473</v>
      </c>
      <c r="G3" t="s">
        <v>2458</v>
      </c>
      <c r="H3" t="s">
        <v>2470</v>
      </c>
    </row>
    <row r="4" spans="1:10" x14ac:dyDescent="0.25">
      <c r="A4" t="s">
        <v>360</v>
      </c>
      <c r="B4">
        <v>3</v>
      </c>
      <c r="C4">
        <v>6</v>
      </c>
      <c r="D4" s="21">
        <v>227742</v>
      </c>
      <c r="E4" s="21">
        <v>79475.88</v>
      </c>
      <c r="F4" s="2">
        <v>4</v>
      </c>
      <c r="G4" s="21">
        <f>Table7[[#This Row],[Total Revenue]]/Table7[[#This Row],[Orders]]</f>
        <v>75914</v>
      </c>
      <c r="H4" s="21" t="str">
        <f>IF(Table7[[#This Row],[Orders]]=1,"New",IF(Table7[[#This Row],[Orders]]&lt;=3,"Returning","Loyal"))</f>
        <v>Returning</v>
      </c>
      <c r="J4" s="23">
        <f>COUNTIF(H4:H572,"New")</f>
        <v>81</v>
      </c>
    </row>
    <row r="5" spans="1:10" x14ac:dyDescent="0.25">
      <c r="A5" t="s">
        <v>1492</v>
      </c>
      <c r="B5">
        <v>3</v>
      </c>
      <c r="C5">
        <v>5</v>
      </c>
      <c r="D5" s="21">
        <v>152054</v>
      </c>
      <c r="E5" s="21">
        <v>51309.47</v>
      </c>
      <c r="F5" s="2">
        <v>3.6666666666666665</v>
      </c>
      <c r="G5" s="21">
        <f>Table7[[#This Row],[Total Revenue]]/Table7[[#This Row],[Orders]]</f>
        <v>50684.666666666664</v>
      </c>
      <c r="H5" s="21" t="str">
        <f>IF(Table7[[#This Row],[Orders]]=1,"New",IF(Table7[[#This Row],[Orders]]&lt;=3,"Returning","Loyal"))</f>
        <v>Returning</v>
      </c>
    </row>
    <row r="6" spans="1:10" x14ac:dyDescent="0.25">
      <c r="A6" t="s">
        <v>1339</v>
      </c>
      <c r="B6">
        <v>2</v>
      </c>
      <c r="C6">
        <v>3</v>
      </c>
      <c r="D6" s="21">
        <v>47271.199999999997</v>
      </c>
      <c r="E6" s="21">
        <v>19241.919999999998</v>
      </c>
      <c r="F6" s="2">
        <v>3</v>
      </c>
      <c r="G6" s="21">
        <f>Table7[[#This Row],[Total Revenue]]/Table7[[#This Row],[Orders]]</f>
        <v>23635.599999999999</v>
      </c>
      <c r="H6" s="21" t="str">
        <f>IF(Table7[[#This Row],[Orders]]=1,"New",IF(Table7[[#This Row],[Orders]]&lt;=3,"Returning","Loyal"))</f>
        <v>Returning</v>
      </c>
    </row>
    <row r="7" spans="1:10" x14ac:dyDescent="0.25">
      <c r="A7" t="s">
        <v>166</v>
      </c>
      <c r="B7">
        <v>2</v>
      </c>
      <c r="C7">
        <v>2</v>
      </c>
      <c r="D7" s="21">
        <v>105916.3</v>
      </c>
      <c r="E7" s="21">
        <v>31074.6</v>
      </c>
      <c r="F7" s="2">
        <v>3</v>
      </c>
      <c r="G7" s="21">
        <f>Table7[[#This Row],[Total Revenue]]/Table7[[#This Row],[Orders]]</f>
        <v>52958.15</v>
      </c>
      <c r="H7" s="21" t="str">
        <f>IF(Table7[[#This Row],[Orders]]=1,"New",IF(Table7[[#This Row],[Orders]]&lt;=3,"Returning","Loyal"))</f>
        <v>Returning</v>
      </c>
    </row>
    <row r="8" spans="1:10" x14ac:dyDescent="0.25">
      <c r="A8" t="s">
        <v>531</v>
      </c>
      <c r="B8">
        <v>2</v>
      </c>
      <c r="C8">
        <v>3</v>
      </c>
      <c r="D8" s="21">
        <v>25622.7</v>
      </c>
      <c r="E8" s="21">
        <v>6325.27</v>
      </c>
      <c r="F8" s="2">
        <v>4.5</v>
      </c>
      <c r="G8" s="21">
        <f>Table7[[#This Row],[Total Revenue]]/Table7[[#This Row],[Orders]]</f>
        <v>12811.35</v>
      </c>
      <c r="H8" s="21" t="str">
        <f>IF(Table7[[#This Row],[Orders]]=1,"New",IF(Table7[[#This Row],[Orders]]&lt;=3,"Returning","Loyal"))</f>
        <v>Returning</v>
      </c>
    </row>
    <row r="9" spans="1:10" x14ac:dyDescent="0.25">
      <c r="A9" t="s">
        <v>1060</v>
      </c>
      <c r="B9">
        <v>6</v>
      </c>
      <c r="C9">
        <v>9</v>
      </c>
      <c r="D9" s="21">
        <v>256614.2</v>
      </c>
      <c r="E9" s="21">
        <v>69210.930000000008</v>
      </c>
      <c r="F9" s="2">
        <v>3.6</v>
      </c>
      <c r="G9" s="21">
        <f>Table7[[#This Row],[Total Revenue]]/Table7[[#This Row],[Orders]]</f>
        <v>42769.033333333333</v>
      </c>
      <c r="H9" s="21" t="str">
        <f>IF(Table7[[#This Row],[Orders]]=1,"New",IF(Table7[[#This Row],[Orders]]&lt;=3,"Returning","Loyal"))</f>
        <v>Loyal</v>
      </c>
    </row>
    <row r="10" spans="1:10" x14ac:dyDescent="0.25">
      <c r="A10" t="s">
        <v>404</v>
      </c>
      <c r="B10">
        <v>3</v>
      </c>
      <c r="C10">
        <v>6</v>
      </c>
      <c r="D10" s="21">
        <v>125126.20000000001</v>
      </c>
      <c r="E10" s="21">
        <v>44398.55</v>
      </c>
      <c r="F10" s="2">
        <v>1</v>
      </c>
      <c r="G10" s="21">
        <f>Table7[[#This Row],[Total Revenue]]/Table7[[#This Row],[Orders]]</f>
        <v>41708.733333333337</v>
      </c>
      <c r="H10" s="21" t="str">
        <f>IF(Table7[[#This Row],[Orders]]=1,"New",IF(Table7[[#This Row],[Orders]]&lt;=3,"Returning","Loyal"))</f>
        <v>Returning</v>
      </c>
    </row>
    <row r="11" spans="1:10" x14ac:dyDescent="0.25">
      <c r="A11" t="s">
        <v>587</v>
      </c>
      <c r="B11">
        <v>5</v>
      </c>
      <c r="C11">
        <v>11</v>
      </c>
      <c r="D11" s="21">
        <v>247894.10000000003</v>
      </c>
      <c r="E11" s="21">
        <v>85652.439999999988</v>
      </c>
      <c r="F11" s="2">
        <v>4.8</v>
      </c>
      <c r="G11" s="21">
        <f>Table7[[#This Row],[Total Revenue]]/Table7[[#This Row],[Orders]]</f>
        <v>49578.820000000007</v>
      </c>
      <c r="H11" s="21" t="str">
        <f>IF(Table7[[#This Row],[Orders]]=1,"New",IF(Table7[[#This Row],[Orders]]&lt;=3,"Returning","Loyal"))</f>
        <v>Loyal</v>
      </c>
    </row>
    <row r="12" spans="1:10" x14ac:dyDescent="0.25">
      <c r="A12" t="s">
        <v>546</v>
      </c>
      <c r="B12">
        <v>5</v>
      </c>
      <c r="C12">
        <v>6</v>
      </c>
      <c r="D12" s="21">
        <v>242627.6</v>
      </c>
      <c r="E12" s="21">
        <v>82986.94</v>
      </c>
      <c r="F12" s="2">
        <v>3.8</v>
      </c>
      <c r="G12" s="21">
        <f>Table7[[#This Row],[Total Revenue]]/Table7[[#This Row],[Orders]]</f>
        <v>48525.520000000004</v>
      </c>
      <c r="H12" s="21" t="str">
        <f>IF(Table7[[#This Row],[Orders]]=1,"New",IF(Table7[[#This Row],[Orders]]&lt;=3,"Returning","Loyal"))</f>
        <v>Loyal</v>
      </c>
    </row>
    <row r="13" spans="1:10" x14ac:dyDescent="0.25">
      <c r="A13" t="s">
        <v>1063</v>
      </c>
      <c r="B13">
        <v>5</v>
      </c>
      <c r="C13">
        <v>6</v>
      </c>
      <c r="D13" s="21">
        <v>228523</v>
      </c>
      <c r="E13" s="21">
        <v>75769</v>
      </c>
      <c r="F13" s="2">
        <v>5</v>
      </c>
      <c r="G13" s="21">
        <f>Table7[[#This Row],[Total Revenue]]/Table7[[#This Row],[Orders]]</f>
        <v>45704.6</v>
      </c>
      <c r="H13" s="21" t="str">
        <f>IF(Table7[[#This Row],[Orders]]=1,"New",IF(Table7[[#This Row],[Orders]]&lt;=3,"Returning","Loyal"))</f>
        <v>Loyal</v>
      </c>
    </row>
    <row r="14" spans="1:10" x14ac:dyDescent="0.25">
      <c r="A14" t="s">
        <v>1209</v>
      </c>
      <c r="B14">
        <v>2</v>
      </c>
      <c r="C14">
        <v>3</v>
      </c>
      <c r="D14" s="21">
        <v>80344.7</v>
      </c>
      <c r="E14" s="21">
        <v>30981.46</v>
      </c>
      <c r="F14" s="2">
        <v>1.5</v>
      </c>
      <c r="G14" s="21">
        <f>Table7[[#This Row],[Total Revenue]]/Table7[[#This Row],[Orders]]</f>
        <v>40172.35</v>
      </c>
      <c r="H14" s="21" t="str">
        <f>IF(Table7[[#This Row],[Orders]]=1,"New",IF(Table7[[#This Row],[Orders]]&lt;=3,"Returning","Loyal"))</f>
        <v>Returning</v>
      </c>
    </row>
    <row r="15" spans="1:10" x14ac:dyDescent="0.25">
      <c r="A15" t="s">
        <v>1328</v>
      </c>
      <c r="B15">
        <v>1</v>
      </c>
      <c r="C15">
        <v>2</v>
      </c>
      <c r="D15" s="21">
        <v>68670</v>
      </c>
      <c r="E15" s="21">
        <v>30453.93</v>
      </c>
      <c r="F15" s="2">
        <v>5</v>
      </c>
      <c r="G15" s="21">
        <f>Table7[[#This Row],[Total Revenue]]/Table7[[#This Row],[Orders]]</f>
        <v>68670</v>
      </c>
      <c r="H15" s="21" t="str">
        <f>IF(Table7[[#This Row],[Orders]]=1,"New",IF(Table7[[#This Row],[Orders]]&lt;=3,"Returning","Loyal"))</f>
        <v>New</v>
      </c>
    </row>
    <row r="16" spans="1:10" x14ac:dyDescent="0.25">
      <c r="A16" t="s">
        <v>203</v>
      </c>
      <c r="B16">
        <v>9</v>
      </c>
      <c r="C16">
        <v>13</v>
      </c>
      <c r="D16" s="21">
        <v>533271.85</v>
      </c>
      <c r="E16" s="21">
        <v>201513.59000000003</v>
      </c>
      <c r="F16" s="2">
        <v>3.2</v>
      </c>
      <c r="G16" s="21">
        <f>Table7[[#This Row],[Total Revenue]]/Table7[[#This Row],[Orders]]</f>
        <v>59252.427777777775</v>
      </c>
      <c r="H16" s="21" t="str">
        <f>IF(Table7[[#This Row],[Orders]]=1,"New",IF(Table7[[#This Row],[Orders]]&lt;=3,"Returning","Loyal"))</f>
        <v>Loyal</v>
      </c>
    </row>
    <row r="17" spans="1:8" x14ac:dyDescent="0.25">
      <c r="A17" t="s">
        <v>645</v>
      </c>
      <c r="B17">
        <v>3</v>
      </c>
      <c r="C17">
        <v>5</v>
      </c>
      <c r="D17" s="21">
        <v>133535.35</v>
      </c>
      <c r="E17" s="21">
        <v>35907.56</v>
      </c>
      <c r="F17" s="2">
        <v>1</v>
      </c>
      <c r="G17" s="21">
        <f>Table7[[#This Row],[Total Revenue]]/Table7[[#This Row],[Orders]]</f>
        <v>44511.783333333333</v>
      </c>
      <c r="H17" s="21" t="str">
        <f>IF(Table7[[#This Row],[Orders]]=1,"New",IF(Table7[[#This Row],[Orders]]&lt;=3,"Returning","Loyal"))</f>
        <v>Returning</v>
      </c>
    </row>
    <row r="18" spans="1:8" x14ac:dyDescent="0.25">
      <c r="A18" t="s">
        <v>195</v>
      </c>
      <c r="B18">
        <v>7</v>
      </c>
      <c r="C18">
        <v>13</v>
      </c>
      <c r="D18" s="21">
        <v>290976.89999999997</v>
      </c>
      <c r="E18" s="21">
        <v>79241.850000000006</v>
      </c>
      <c r="F18" s="2">
        <v>4.1428571428571432</v>
      </c>
      <c r="G18" s="21">
        <f>Table7[[#This Row],[Total Revenue]]/Table7[[#This Row],[Orders]]</f>
        <v>41568.12857142857</v>
      </c>
      <c r="H18" s="21" t="str">
        <f>IF(Table7[[#This Row],[Orders]]=1,"New",IF(Table7[[#This Row],[Orders]]&lt;=3,"Returning","Loyal"))</f>
        <v>Loyal</v>
      </c>
    </row>
    <row r="19" spans="1:8" x14ac:dyDescent="0.25">
      <c r="A19" t="s">
        <v>1759</v>
      </c>
      <c r="B19">
        <v>2</v>
      </c>
      <c r="C19">
        <v>3</v>
      </c>
      <c r="D19" s="21">
        <v>67770.2</v>
      </c>
      <c r="E19" s="21">
        <v>21901.8</v>
      </c>
      <c r="F19" s="2">
        <v>5</v>
      </c>
      <c r="G19" s="21">
        <f>Table7[[#This Row],[Total Revenue]]/Table7[[#This Row],[Orders]]</f>
        <v>33885.1</v>
      </c>
      <c r="H19" s="21" t="str">
        <f>IF(Table7[[#This Row],[Orders]]=1,"New",IF(Table7[[#This Row],[Orders]]&lt;=3,"Returning","Loyal"))</f>
        <v>Returning</v>
      </c>
    </row>
    <row r="20" spans="1:8" x14ac:dyDescent="0.25">
      <c r="A20" t="s">
        <v>1615</v>
      </c>
      <c r="B20">
        <v>2</v>
      </c>
      <c r="C20">
        <v>3</v>
      </c>
      <c r="D20" s="21">
        <v>147132.9</v>
      </c>
      <c r="E20" s="21">
        <v>63467.72</v>
      </c>
      <c r="F20" s="2">
        <v>3</v>
      </c>
      <c r="G20" s="21">
        <f>Table7[[#This Row],[Total Revenue]]/Table7[[#This Row],[Orders]]</f>
        <v>73566.45</v>
      </c>
      <c r="H20" s="21" t="str">
        <f>IF(Table7[[#This Row],[Orders]]=1,"New",IF(Table7[[#This Row],[Orders]]&lt;=3,"Returning","Loyal"))</f>
        <v>Returning</v>
      </c>
    </row>
    <row r="21" spans="1:8" x14ac:dyDescent="0.25">
      <c r="A21" t="s">
        <v>453</v>
      </c>
      <c r="B21">
        <v>2</v>
      </c>
      <c r="C21">
        <v>2</v>
      </c>
      <c r="D21" s="21">
        <v>40254.199999999997</v>
      </c>
      <c r="E21" s="21">
        <v>15027.68</v>
      </c>
      <c r="F21" s="2">
        <v>3</v>
      </c>
      <c r="G21" s="21">
        <f>Table7[[#This Row],[Total Revenue]]/Table7[[#This Row],[Orders]]</f>
        <v>20127.099999999999</v>
      </c>
      <c r="H21" s="21" t="str">
        <f>IF(Table7[[#This Row],[Orders]]=1,"New",IF(Table7[[#This Row],[Orders]]&lt;=3,"Returning","Loyal"))</f>
        <v>Returning</v>
      </c>
    </row>
    <row r="22" spans="1:8" x14ac:dyDescent="0.25">
      <c r="A22" t="s">
        <v>812</v>
      </c>
      <c r="B22">
        <v>2</v>
      </c>
      <c r="C22">
        <v>4</v>
      </c>
      <c r="D22" s="21">
        <v>160845</v>
      </c>
      <c r="E22" s="21">
        <v>47997.770000000004</v>
      </c>
      <c r="F22" s="2">
        <v>2.5</v>
      </c>
      <c r="G22" s="21">
        <f>Table7[[#This Row],[Total Revenue]]/Table7[[#This Row],[Orders]]</f>
        <v>80422.5</v>
      </c>
      <c r="H22" s="21" t="str">
        <f>IF(Table7[[#This Row],[Orders]]=1,"New",IF(Table7[[#This Row],[Orders]]&lt;=3,"Returning","Loyal"))</f>
        <v>Returning</v>
      </c>
    </row>
    <row r="23" spans="1:8" x14ac:dyDescent="0.25">
      <c r="A23" t="s">
        <v>1050</v>
      </c>
      <c r="B23">
        <v>5</v>
      </c>
      <c r="C23">
        <v>11</v>
      </c>
      <c r="D23" s="21">
        <v>400157.8</v>
      </c>
      <c r="E23" s="21">
        <v>122989.66</v>
      </c>
      <c r="F23" s="2">
        <v>4.333333333333333</v>
      </c>
      <c r="G23" s="21">
        <f>Table7[[#This Row],[Total Revenue]]/Table7[[#This Row],[Orders]]</f>
        <v>80031.56</v>
      </c>
      <c r="H23" s="21" t="str">
        <f>IF(Table7[[#This Row],[Orders]]=1,"New",IF(Table7[[#This Row],[Orders]]&lt;=3,"Returning","Loyal"))</f>
        <v>Loyal</v>
      </c>
    </row>
    <row r="24" spans="1:8" x14ac:dyDescent="0.25">
      <c r="A24" t="s">
        <v>292</v>
      </c>
      <c r="B24">
        <v>1</v>
      </c>
      <c r="C24">
        <v>1</v>
      </c>
      <c r="D24" s="21">
        <v>45752.1</v>
      </c>
      <c r="E24" s="21">
        <v>13349.34</v>
      </c>
      <c r="F24" s="2">
        <v>3</v>
      </c>
      <c r="G24" s="21">
        <f>Table7[[#This Row],[Total Revenue]]/Table7[[#This Row],[Orders]]</f>
        <v>45752.1</v>
      </c>
      <c r="H24" s="21" t="str">
        <f>IF(Table7[[#This Row],[Orders]]=1,"New",IF(Table7[[#This Row],[Orders]]&lt;=3,"Returning","Loyal"))</f>
        <v>New</v>
      </c>
    </row>
    <row r="25" spans="1:8" x14ac:dyDescent="0.25">
      <c r="A25" t="s">
        <v>679</v>
      </c>
      <c r="B25">
        <v>2</v>
      </c>
      <c r="C25">
        <v>2</v>
      </c>
      <c r="D25" s="21">
        <v>49061</v>
      </c>
      <c r="E25" s="21">
        <v>15526.42</v>
      </c>
      <c r="F25" s="2">
        <v>1.5</v>
      </c>
      <c r="G25" s="21">
        <f>Table7[[#This Row],[Total Revenue]]/Table7[[#This Row],[Orders]]</f>
        <v>24530.5</v>
      </c>
      <c r="H25" s="21" t="str">
        <f>IF(Table7[[#This Row],[Orders]]=1,"New",IF(Table7[[#This Row],[Orders]]&lt;=3,"Returning","Loyal"))</f>
        <v>Returning</v>
      </c>
    </row>
    <row r="26" spans="1:8" x14ac:dyDescent="0.25">
      <c r="A26" t="s">
        <v>1744</v>
      </c>
      <c r="B26">
        <v>4</v>
      </c>
      <c r="C26">
        <v>6</v>
      </c>
      <c r="D26" s="21">
        <v>275025.5</v>
      </c>
      <c r="E26" s="21">
        <v>92289.9</v>
      </c>
      <c r="F26" s="2">
        <v>3</v>
      </c>
      <c r="G26" s="21">
        <f>Table7[[#This Row],[Total Revenue]]/Table7[[#This Row],[Orders]]</f>
        <v>68756.375</v>
      </c>
      <c r="H26" s="21" t="str">
        <f>IF(Table7[[#This Row],[Orders]]=1,"New",IF(Table7[[#This Row],[Orders]]&lt;=3,"Returning","Loyal"))</f>
        <v>Loyal</v>
      </c>
    </row>
    <row r="27" spans="1:8" x14ac:dyDescent="0.25">
      <c r="A27" t="s">
        <v>2012</v>
      </c>
      <c r="B27">
        <v>2</v>
      </c>
      <c r="C27">
        <v>3</v>
      </c>
      <c r="D27" s="21">
        <v>42162.8</v>
      </c>
      <c r="E27" s="21">
        <v>13078.9</v>
      </c>
      <c r="F27" s="2">
        <v>5</v>
      </c>
      <c r="G27" s="21">
        <f>Table7[[#This Row],[Total Revenue]]/Table7[[#This Row],[Orders]]</f>
        <v>21081.4</v>
      </c>
      <c r="H27" s="21" t="str">
        <f>IF(Table7[[#This Row],[Orders]]=1,"New",IF(Table7[[#This Row],[Orders]]&lt;=3,"Returning","Loyal"))</f>
        <v>Returning</v>
      </c>
    </row>
    <row r="28" spans="1:8" x14ac:dyDescent="0.25">
      <c r="A28" t="s">
        <v>286</v>
      </c>
      <c r="B28">
        <v>5</v>
      </c>
      <c r="C28">
        <v>10</v>
      </c>
      <c r="D28" s="21">
        <v>329553.45</v>
      </c>
      <c r="E28" s="21">
        <v>118848.53</v>
      </c>
      <c r="F28" s="2">
        <v>4.666666666666667</v>
      </c>
      <c r="G28" s="21">
        <f>Table7[[#This Row],[Total Revenue]]/Table7[[#This Row],[Orders]]</f>
        <v>65910.69</v>
      </c>
      <c r="H28" s="21" t="str">
        <f>IF(Table7[[#This Row],[Orders]]=1,"New",IF(Table7[[#This Row],[Orders]]&lt;=3,"Returning","Loyal"))</f>
        <v>Loyal</v>
      </c>
    </row>
    <row r="29" spans="1:8" x14ac:dyDescent="0.25">
      <c r="A29" t="s">
        <v>70</v>
      </c>
      <c r="B29">
        <v>3</v>
      </c>
      <c r="C29">
        <v>3</v>
      </c>
      <c r="D29" s="21">
        <v>39118</v>
      </c>
      <c r="E29" s="21">
        <v>10703.09</v>
      </c>
      <c r="F29" s="2">
        <v>3.3333333333333335</v>
      </c>
      <c r="G29" s="21">
        <f>Table7[[#This Row],[Total Revenue]]/Table7[[#This Row],[Orders]]</f>
        <v>13039.333333333334</v>
      </c>
      <c r="H29" s="21" t="str">
        <f>IF(Table7[[#This Row],[Orders]]=1,"New",IF(Table7[[#This Row],[Orders]]&lt;=3,"Returning","Loyal"))</f>
        <v>Returning</v>
      </c>
    </row>
    <row r="30" spans="1:8" x14ac:dyDescent="0.25">
      <c r="A30" t="s">
        <v>675</v>
      </c>
      <c r="B30">
        <v>3</v>
      </c>
      <c r="C30">
        <v>4</v>
      </c>
      <c r="D30" s="21">
        <v>83600.3</v>
      </c>
      <c r="E30" s="21">
        <v>24312.720000000001</v>
      </c>
      <c r="F30" s="2">
        <v>3</v>
      </c>
      <c r="G30" s="21">
        <f>Table7[[#This Row],[Total Revenue]]/Table7[[#This Row],[Orders]]</f>
        <v>27866.766666666666</v>
      </c>
      <c r="H30" s="21" t="str">
        <f>IF(Table7[[#This Row],[Orders]]=1,"New",IF(Table7[[#This Row],[Orders]]&lt;=3,"Returning","Loyal"))</f>
        <v>Returning</v>
      </c>
    </row>
    <row r="31" spans="1:8" x14ac:dyDescent="0.25">
      <c r="A31" t="s">
        <v>1158</v>
      </c>
      <c r="B31">
        <v>4</v>
      </c>
      <c r="C31">
        <v>7</v>
      </c>
      <c r="D31" s="21">
        <v>165289.15</v>
      </c>
      <c r="E31" s="21">
        <v>47051.99</v>
      </c>
      <c r="F31" s="2">
        <v>3</v>
      </c>
      <c r="G31" s="21">
        <f>Table7[[#This Row],[Total Revenue]]/Table7[[#This Row],[Orders]]</f>
        <v>41322.287499999999</v>
      </c>
      <c r="H31" s="21" t="str">
        <f>IF(Table7[[#This Row],[Orders]]=1,"New",IF(Table7[[#This Row],[Orders]]&lt;=3,"Returning","Loyal"))</f>
        <v>Loyal</v>
      </c>
    </row>
    <row r="32" spans="1:8" x14ac:dyDescent="0.25">
      <c r="A32" t="s">
        <v>770</v>
      </c>
      <c r="B32">
        <v>5</v>
      </c>
      <c r="C32">
        <v>8</v>
      </c>
      <c r="D32" s="21">
        <v>258410.15</v>
      </c>
      <c r="E32" s="21">
        <v>73703.989999999991</v>
      </c>
      <c r="F32" s="2">
        <v>4</v>
      </c>
      <c r="G32" s="21">
        <f>Table7[[#This Row],[Total Revenue]]/Table7[[#This Row],[Orders]]</f>
        <v>51682.03</v>
      </c>
      <c r="H32" s="21" t="str">
        <f>IF(Table7[[#This Row],[Orders]]=1,"New",IF(Table7[[#This Row],[Orders]]&lt;=3,"Returning","Loyal"))</f>
        <v>Loyal</v>
      </c>
    </row>
    <row r="33" spans="1:8" x14ac:dyDescent="0.25">
      <c r="A33" t="s">
        <v>322</v>
      </c>
      <c r="B33">
        <v>2</v>
      </c>
      <c r="C33">
        <v>3</v>
      </c>
      <c r="D33" s="21">
        <v>162956.79999999999</v>
      </c>
      <c r="E33" s="21">
        <v>31862.51</v>
      </c>
      <c r="F33" s="2">
        <v>4</v>
      </c>
      <c r="G33" s="21">
        <f>Table7[[#This Row],[Total Revenue]]/Table7[[#This Row],[Orders]]</f>
        <v>81478.399999999994</v>
      </c>
      <c r="H33" s="21" t="str">
        <f>IF(Table7[[#This Row],[Orders]]=1,"New",IF(Table7[[#This Row],[Orders]]&lt;=3,"Returning","Loyal"))</f>
        <v>Returning</v>
      </c>
    </row>
    <row r="34" spans="1:8" x14ac:dyDescent="0.25">
      <c r="A34" t="s">
        <v>1346</v>
      </c>
      <c r="B34">
        <v>6</v>
      </c>
      <c r="C34">
        <v>6</v>
      </c>
      <c r="D34" s="21">
        <v>159276</v>
      </c>
      <c r="E34" s="21">
        <v>47068.81</v>
      </c>
      <c r="F34" s="2">
        <v>4.333333333333333</v>
      </c>
      <c r="G34" s="21">
        <f>Table7[[#This Row],[Total Revenue]]/Table7[[#This Row],[Orders]]</f>
        <v>26546</v>
      </c>
      <c r="H34" s="21" t="str">
        <f>IF(Table7[[#This Row],[Orders]]=1,"New",IF(Table7[[#This Row],[Orders]]&lt;=3,"Returning","Loyal"))</f>
        <v>Loyal</v>
      </c>
    </row>
    <row r="35" spans="1:8" x14ac:dyDescent="0.25">
      <c r="A35" t="s">
        <v>102</v>
      </c>
      <c r="B35">
        <v>4</v>
      </c>
      <c r="C35">
        <v>10</v>
      </c>
      <c r="D35" s="21">
        <v>168223.1</v>
      </c>
      <c r="E35" s="21">
        <v>61755.24</v>
      </c>
      <c r="F35" s="2">
        <v>3</v>
      </c>
      <c r="G35" s="21">
        <f>Table7[[#This Row],[Total Revenue]]/Table7[[#This Row],[Orders]]</f>
        <v>42055.775000000001</v>
      </c>
      <c r="H35" s="21" t="str">
        <f>IF(Table7[[#This Row],[Orders]]=1,"New",IF(Table7[[#This Row],[Orders]]&lt;=3,"Returning","Loyal"))</f>
        <v>Loyal</v>
      </c>
    </row>
    <row r="36" spans="1:8" x14ac:dyDescent="0.25">
      <c r="A36" t="s">
        <v>567</v>
      </c>
      <c r="B36">
        <v>2</v>
      </c>
      <c r="C36">
        <v>5</v>
      </c>
      <c r="D36" s="21">
        <v>320212</v>
      </c>
      <c r="E36" s="21">
        <v>136803.76999999999</v>
      </c>
      <c r="G36" s="21">
        <f>Table7[[#This Row],[Total Revenue]]/Table7[[#This Row],[Orders]]</f>
        <v>160106</v>
      </c>
      <c r="H36" s="21" t="str">
        <f>IF(Table7[[#This Row],[Orders]]=1,"New",IF(Table7[[#This Row],[Orders]]&lt;=3,"Returning","Loyal"))</f>
        <v>Returning</v>
      </c>
    </row>
    <row r="37" spans="1:8" x14ac:dyDescent="0.25">
      <c r="A37" t="s">
        <v>572</v>
      </c>
      <c r="B37">
        <v>2</v>
      </c>
      <c r="C37">
        <v>3</v>
      </c>
      <c r="D37" s="21">
        <v>191515.6</v>
      </c>
      <c r="E37" s="21">
        <v>42198.520000000004</v>
      </c>
      <c r="F37" s="2">
        <v>3</v>
      </c>
      <c r="G37" s="21">
        <f>Table7[[#This Row],[Total Revenue]]/Table7[[#This Row],[Orders]]</f>
        <v>95757.8</v>
      </c>
      <c r="H37" s="21" t="str">
        <f>IF(Table7[[#This Row],[Orders]]=1,"New",IF(Table7[[#This Row],[Orders]]&lt;=3,"Returning","Loyal"))</f>
        <v>Returning</v>
      </c>
    </row>
    <row r="38" spans="1:8" x14ac:dyDescent="0.25">
      <c r="A38" t="s">
        <v>1449</v>
      </c>
      <c r="B38">
        <v>6</v>
      </c>
      <c r="C38">
        <v>11</v>
      </c>
      <c r="D38" s="21">
        <v>476915.75</v>
      </c>
      <c r="E38" s="21">
        <v>146960.56999999998</v>
      </c>
      <c r="F38" s="2">
        <v>4.833333333333333</v>
      </c>
      <c r="G38" s="21">
        <f>Table7[[#This Row],[Total Revenue]]/Table7[[#This Row],[Orders]]</f>
        <v>79485.958333333328</v>
      </c>
      <c r="H38" s="21" t="str">
        <f>IF(Table7[[#This Row],[Orders]]=1,"New",IF(Table7[[#This Row],[Orders]]&lt;=3,"Returning","Loyal"))</f>
        <v>Loyal</v>
      </c>
    </row>
    <row r="39" spans="1:8" x14ac:dyDescent="0.25">
      <c r="A39" t="s">
        <v>213</v>
      </c>
      <c r="B39">
        <v>3</v>
      </c>
      <c r="C39">
        <v>4</v>
      </c>
      <c r="D39" s="21">
        <v>221959.3</v>
      </c>
      <c r="E39" s="21">
        <v>49655.8</v>
      </c>
      <c r="F39" s="2">
        <v>2</v>
      </c>
      <c r="G39" s="21">
        <f>Table7[[#This Row],[Total Revenue]]/Table7[[#This Row],[Orders]]</f>
        <v>73986.433333333334</v>
      </c>
      <c r="H39" s="21" t="str">
        <f>IF(Table7[[#This Row],[Orders]]=1,"New",IF(Table7[[#This Row],[Orders]]&lt;=3,"Returning","Loyal"))</f>
        <v>Returning</v>
      </c>
    </row>
    <row r="40" spans="1:8" x14ac:dyDescent="0.25">
      <c r="A40" t="s">
        <v>1648</v>
      </c>
      <c r="B40">
        <v>1</v>
      </c>
      <c r="C40">
        <v>1</v>
      </c>
      <c r="D40" s="21">
        <v>25600.6</v>
      </c>
      <c r="E40" s="21">
        <v>7604.02</v>
      </c>
      <c r="F40" s="2">
        <v>5</v>
      </c>
      <c r="G40" s="21">
        <f>Table7[[#This Row],[Total Revenue]]/Table7[[#This Row],[Orders]]</f>
        <v>25600.6</v>
      </c>
      <c r="H40" s="21" t="str">
        <f>IF(Table7[[#This Row],[Orders]]=1,"New",IF(Table7[[#This Row],[Orders]]&lt;=3,"Returning","Loyal"))</f>
        <v>New</v>
      </c>
    </row>
    <row r="41" spans="1:8" x14ac:dyDescent="0.25">
      <c r="A41" t="s">
        <v>1860</v>
      </c>
      <c r="B41">
        <v>3</v>
      </c>
      <c r="C41">
        <v>6</v>
      </c>
      <c r="D41" s="21">
        <v>195667.3</v>
      </c>
      <c r="E41" s="21">
        <v>61045.47</v>
      </c>
      <c r="F41" s="2">
        <v>4.333333333333333</v>
      </c>
      <c r="G41" s="21">
        <f>Table7[[#This Row],[Total Revenue]]/Table7[[#This Row],[Orders]]</f>
        <v>65222.433333333327</v>
      </c>
      <c r="H41" s="21" t="str">
        <f>IF(Table7[[#This Row],[Orders]]=1,"New",IF(Table7[[#This Row],[Orders]]&lt;=3,"Returning","Loyal"))</f>
        <v>Returning</v>
      </c>
    </row>
    <row r="42" spans="1:8" x14ac:dyDescent="0.25">
      <c r="A42" t="s">
        <v>1037</v>
      </c>
      <c r="B42">
        <v>8</v>
      </c>
      <c r="C42">
        <v>13</v>
      </c>
      <c r="D42" s="21">
        <v>250755.55</v>
      </c>
      <c r="E42" s="21">
        <v>85864.52</v>
      </c>
      <c r="F42" s="2">
        <v>4.2</v>
      </c>
      <c r="G42" s="21">
        <f>Table7[[#This Row],[Total Revenue]]/Table7[[#This Row],[Orders]]</f>
        <v>31344.443749999999</v>
      </c>
      <c r="H42" s="21" t="str">
        <f>IF(Table7[[#This Row],[Orders]]=1,"New",IF(Table7[[#This Row],[Orders]]&lt;=3,"Returning","Loyal"))</f>
        <v>Loyal</v>
      </c>
    </row>
    <row r="43" spans="1:8" x14ac:dyDescent="0.25">
      <c r="A43" t="s">
        <v>400</v>
      </c>
      <c r="B43">
        <v>3</v>
      </c>
      <c r="C43">
        <v>3</v>
      </c>
      <c r="D43" s="21">
        <v>119435.5</v>
      </c>
      <c r="E43" s="21">
        <v>50418.92</v>
      </c>
      <c r="F43" s="2">
        <v>2</v>
      </c>
      <c r="G43" s="21">
        <f>Table7[[#This Row],[Total Revenue]]/Table7[[#This Row],[Orders]]</f>
        <v>39811.833333333336</v>
      </c>
      <c r="H43" s="21" t="str">
        <f>IF(Table7[[#This Row],[Orders]]=1,"New",IF(Table7[[#This Row],[Orders]]&lt;=3,"Returning","Loyal"))</f>
        <v>Returning</v>
      </c>
    </row>
    <row r="44" spans="1:8" x14ac:dyDescent="0.25">
      <c r="A44" t="s">
        <v>1281</v>
      </c>
      <c r="B44">
        <v>4</v>
      </c>
      <c r="C44">
        <v>7</v>
      </c>
      <c r="D44" s="21">
        <v>180443.95</v>
      </c>
      <c r="E44" s="21">
        <v>68719.67</v>
      </c>
      <c r="F44" s="2">
        <v>3.25</v>
      </c>
      <c r="G44" s="21">
        <f>Table7[[#This Row],[Total Revenue]]/Table7[[#This Row],[Orders]]</f>
        <v>45110.987500000003</v>
      </c>
      <c r="H44" s="21" t="str">
        <f>IF(Table7[[#This Row],[Orders]]=1,"New",IF(Table7[[#This Row],[Orders]]&lt;=3,"Returning","Loyal"))</f>
        <v>Loyal</v>
      </c>
    </row>
    <row r="45" spans="1:8" x14ac:dyDescent="0.25">
      <c r="A45" t="s">
        <v>860</v>
      </c>
      <c r="B45">
        <v>6</v>
      </c>
      <c r="C45">
        <v>11</v>
      </c>
      <c r="D45" s="21">
        <v>318276.19999999995</v>
      </c>
      <c r="E45" s="21">
        <v>92339.14</v>
      </c>
      <c r="F45" s="2">
        <v>4.5</v>
      </c>
      <c r="G45" s="21">
        <f>Table7[[#This Row],[Total Revenue]]/Table7[[#This Row],[Orders]]</f>
        <v>53046.033333333326</v>
      </c>
      <c r="H45" s="21" t="str">
        <f>IF(Table7[[#This Row],[Orders]]=1,"New",IF(Table7[[#This Row],[Orders]]&lt;=3,"Returning","Loyal"))</f>
        <v>Loyal</v>
      </c>
    </row>
    <row r="46" spans="1:8" x14ac:dyDescent="0.25">
      <c r="A46" t="s">
        <v>270</v>
      </c>
      <c r="B46">
        <v>3</v>
      </c>
      <c r="C46">
        <v>6</v>
      </c>
      <c r="D46" s="21">
        <v>456772.9</v>
      </c>
      <c r="E46" s="21">
        <v>120228.57</v>
      </c>
      <c r="F46" s="2">
        <v>3.5</v>
      </c>
      <c r="G46" s="21">
        <f>Table7[[#This Row],[Total Revenue]]/Table7[[#This Row],[Orders]]</f>
        <v>152257.63333333333</v>
      </c>
      <c r="H46" s="21" t="str">
        <f>IF(Table7[[#This Row],[Orders]]=1,"New",IF(Table7[[#This Row],[Orders]]&lt;=3,"Returning","Loyal"))</f>
        <v>Returning</v>
      </c>
    </row>
    <row r="47" spans="1:8" x14ac:dyDescent="0.25">
      <c r="A47" t="s">
        <v>1271</v>
      </c>
      <c r="B47">
        <v>2</v>
      </c>
      <c r="C47">
        <v>3</v>
      </c>
      <c r="D47" s="21">
        <v>83683.599999999991</v>
      </c>
      <c r="E47" s="21">
        <v>32445.11</v>
      </c>
      <c r="F47" s="2">
        <v>3</v>
      </c>
      <c r="G47" s="21">
        <f>Table7[[#This Row],[Total Revenue]]/Table7[[#This Row],[Orders]]</f>
        <v>41841.799999999996</v>
      </c>
      <c r="H47" s="21" t="str">
        <f>IF(Table7[[#This Row],[Orders]]=1,"New",IF(Table7[[#This Row],[Orders]]&lt;=3,"Returning","Loyal"))</f>
        <v>Returning</v>
      </c>
    </row>
    <row r="48" spans="1:8" x14ac:dyDescent="0.25">
      <c r="A48" t="s">
        <v>582</v>
      </c>
      <c r="B48">
        <v>3</v>
      </c>
      <c r="C48">
        <v>5</v>
      </c>
      <c r="D48" s="21">
        <v>181941.8</v>
      </c>
      <c r="E48" s="21">
        <v>66511.820000000007</v>
      </c>
      <c r="F48" s="2">
        <v>5</v>
      </c>
      <c r="G48" s="21">
        <f>Table7[[#This Row],[Total Revenue]]/Table7[[#This Row],[Orders]]</f>
        <v>60647.266666666663</v>
      </c>
      <c r="H48" s="21" t="str">
        <f>IF(Table7[[#This Row],[Orders]]=1,"New",IF(Table7[[#This Row],[Orders]]&lt;=3,"Returning","Loyal"))</f>
        <v>Returning</v>
      </c>
    </row>
    <row r="49" spans="1:8" x14ac:dyDescent="0.25">
      <c r="A49" t="s">
        <v>615</v>
      </c>
      <c r="B49">
        <v>3</v>
      </c>
      <c r="C49">
        <v>7</v>
      </c>
      <c r="D49" s="21">
        <v>274024.2</v>
      </c>
      <c r="E49" s="21">
        <v>65425.990000000005</v>
      </c>
      <c r="F49" s="2">
        <v>2.5</v>
      </c>
      <c r="G49" s="21">
        <f>Table7[[#This Row],[Total Revenue]]/Table7[[#This Row],[Orders]]</f>
        <v>91341.400000000009</v>
      </c>
      <c r="H49" s="21" t="str">
        <f>IF(Table7[[#This Row],[Orders]]=1,"New",IF(Table7[[#This Row],[Orders]]&lt;=3,"Returning","Loyal"))</f>
        <v>Returning</v>
      </c>
    </row>
    <row r="50" spans="1:8" x14ac:dyDescent="0.25">
      <c r="A50" t="s">
        <v>631</v>
      </c>
      <c r="B50">
        <v>4</v>
      </c>
      <c r="C50">
        <v>7</v>
      </c>
      <c r="D50" s="21">
        <v>231391.69999999998</v>
      </c>
      <c r="E50" s="21">
        <v>77205.16</v>
      </c>
      <c r="F50" s="2">
        <v>3.5</v>
      </c>
      <c r="G50" s="21">
        <f>Table7[[#This Row],[Total Revenue]]/Table7[[#This Row],[Orders]]</f>
        <v>57847.924999999996</v>
      </c>
      <c r="H50" s="21" t="str">
        <f>IF(Table7[[#This Row],[Orders]]=1,"New",IF(Table7[[#This Row],[Orders]]&lt;=3,"Returning","Loyal"))</f>
        <v>Loyal</v>
      </c>
    </row>
    <row r="51" spans="1:8" x14ac:dyDescent="0.25">
      <c r="A51" t="s">
        <v>1775</v>
      </c>
      <c r="B51">
        <v>1</v>
      </c>
      <c r="C51">
        <v>1</v>
      </c>
      <c r="D51" s="21">
        <v>11070.35</v>
      </c>
      <c r="E51" s="21">
        <v>4662.0200000000004</v>
      </c>
      <c r="F51" s="2">
        <v>1</v>
      </c>
      <c r="G51" s="21">
        <f>Table7[[#This Row],[Total Revenue]]/Table7[[#This Row],[Orders]]</f>
        <v>11070.35</v>
      </c>
      <c r="H51" s="21" t="str">
        <f>IF(Table7[[#This Row],[Orders]]=1,"New",IF(Table7[[#This Row],[Orders]]&lt;=3,"Returning","Loyal"))</f>
        <v>New</v>
      </c>
    </row>
    <row r="52" spans="1:8" x14ac:dyDescent="0.25">
      <c r="A52" t="s">
        <v>349</v>
      </c>
      <c r="B52">
        <v>5</v>
      </c>
      <c r="C52">
        <v>7</v>
      </c>
      <c r="D52" s="21">
        <v>189036.79999999999</v>
      </c>
      <c r="E52" s="21">
        <v>47658.34</v>
      </c>
      <c r="F52" s="2">
        <v>4.75</v>
      </c>
      <c r="G52" s="21">
        <f>Table7[[#This Row],[Total Revenue]]/Table7[[#This Row],[Orders]]</f>
        <v>37807.360000000001</v>
      </c>
      <c r="H52" s="21" t="str">
        <f>IF(Table7[[#This Row],[Orders]]=1,"New",IF(Table7[[#This Row],[Orders]]&lt;=3,"Returning","Loyal"))</f>
        <v>Loyal</v>
      </c>
    </row>
    <row r="53" spans="1:8" x14ac:dyDescent="0.25">
      <c r="A53" t="s">
        <v>882</v>
      </c>
      <c r="B53">
        <v>3</v>
      </c>
      <c r="C53">
        <v>3</v>
      </c>
      <c r="D53" s="21">
        <v>55346.85</v>
      </c>
      <c r="E53" s="21">
        <v>21365.69</v>
      </c>
      <c r="F53" s="2">
        <v>5</v>
      </c>
      <c r="G53" s="21">
        <f>Table7[[#This Row],[Total Revenue]]/Table7[[#This Row],[Orders]]</f>
        <v>18448.95</v>
      </c>
      <c r="H53" s="21" t="str">
        <f>IF(Table7[[#This Row],[Orders]]=1,"New",IF(Table7[[#This Row],[Orders]]&lt;=3,"Returning","Loyal"))</f>
        <v>Returning</v>
      </c>
    </row>
    <row r="54" spans="1:8" x14ac:dyDescent="0.25">
      <c r="A54" t="s">
        <v>66</v>
      </c>
      <c r="B54">
        <v>5</v>
      </c>
      <c r="C54">
        <v>8</v>
      </c>
      <c r="D54" s="21">
        <v>234408.2</v>
      </c>
      <c r="E54" s="21">
        <v>65737.170000000013</v>
      </c>
      <c r="F54" s="2">
        <v>4</v>
      </c>
      <c r="G54" s="21">
        <f>Table7[[#This Row],[Total Revenue]]/Table7[[#This Row],[Orders]]</f>
        <v>46881.64</v>
      </c>
      <c r="H54" s="21" t="str">
        <f>IF(Table7[[#This Row],[Orders]]=1,"New",IF(Table7[[#This Row],[Orders]]&lt;=3,"Returning","Loyal"))</f>
        <v>Loyal</v>
      </c>
    </row>
    <row r="55" spans="1:8" x14ac:dyDescent="0.25">
      <c r="A55" t="s">
        <v>492</v>
      </c>
      <c r="B55">
        <v>3</v>
      </c>
      <c r="C55">
        <v>4</v>
      </c>
      <c r="D55" s="21">
        <v>59680.1</v>
      </c>
      <c r="E55" s="21">
        <v>11864.65</v>
      </c>
      <c r="F55" s="2">
        <v>4</v>
      </c>
      <c r="G55" s="21">
        <f>Table7[[#This Row],[Total Revenue]]/Table7[[#This Row],[Orders]]</f>
        <v>19893.366666666665</v>
      </c>
      <c r="H55" s="21" t="str">
        <f>IF(Table7[[#This Row],[Orders]]=1,"New",IF(Table7[[#This Row],[Orders]]&lt;=3,"Returning","Loyal"))</f>
        <v>Returning</v>
      </c>
    </row>
    <row r="56" spans="1:8" x14ac:dyDescent="0.25">
      <c r="A56" t="s">
        <v>251</v>
      </c>
      <c r="B56">
        <v>3</v>
      </c>
      <c r="C56">
        <v>3</v>
      </c>
      <c r="D56" s="21">
        <v>74239.399999999994</v>
      </c>
      <c r="E56" s="21">
        <v>25393.08</v>
      </c>
      <c r="F56" s="2">
        <v>5</v>
      </c>
      <c r="G56" s="21">
        <f>Table7[[#This Row],[Total Revenue]]/Table7[[#This Row],[Orders]]</f>
        <v>24746.466666666664</v>
      </c>
      <c r="H56" s="21" t="str">
        <f>IF(Table7[[#This Row],[Orders]]=1,"New",IF(Table7[[#This Row],[Orders]]&lt;=3,"Returning","Loyal"))</f>
        <v>Returning</v>
      </c>
    </row>
    <row r="57" spans="1:8" x14ac:dyDescent="0.25">
      <c r="A57" t="s">
        <v>257</v>
      </c>
      <c r="B57">
        <v>1</v>
      </c>
      <c r="C57">
        <v>2</v>
      </c>
      <c r="D57" s="21">
        <v>49310</v>
      </c>
      <c r="E57" s="21">
        <v>15580.41</v>
      </c>
      <c r="F57" s="2">
        <v>2</v>
      </c>
      <c r="G57" s="21">
        <f>Table7[[#This Row],[Total Revenue]]/Table7[[#This Row],[Orders]]</f>
        <v>49310</v>
      </c>
      <c r="H57" s="21" t="str">
        <f>IF(Table7[[#This Row],[Orders]]=1,"New",IF(Table7[[#This Row],[Orders]]&lt;=3,"Returning","Loyal"))</f>
        <v>New</v>
      </c>
    </row>
    <row r="58" spans="1:8" x14ac:dyDescent="0.25">
      <c r="A58" t="s">
        <v>288</v>
      </c>
      <c r="B58">
        <v>4</v>
      </c>
      <c r="C58">
        <v>6</v>
      </c>
      <c r="D58" s="21">
        <v>170433.2</v>
      </c>
      <c r="E58" s="21">
        <v>52627.040000000008</v>
      </c>
      <c r="F58" s="2">
        <v>4</v>
      </c>
      <c r="G58" s="21">
        <f>Table7[[#This Row],[Total Revenue]]/Table7[[#This Row],[Orders]]</f>
        <v>42608.3</v>
      </c>
      <c r="H58" s="21" t="str">
        <f>IF(Table7[[#This Row],[Orders]]=1,"New",IF(Table7[[#This Row],[Orders]]&lt;=3,"Returning","Loyal"))</f>
        <v>Loyal</v>
      </c>
    </row>
    <row r="59" spans="1:8" x14ac:dyDescent="0.25">
      <c r="A59" t="s">
        <v>828</v>
      </c>
      <c r="B59">
        <v>2</v>
      </c>
      <c r="C59">
        <v>2</v>
      </c>
      <c r="D59" s="21">
        <v>67172.850000000006</v>
      </c>
      <c r="E59" s="21">
        <v>25914.800000000003</v>
      </c>
      <c r="F59" s="2">
        <v>4.5</v>
      </c>
      <c r="G59" s="21">
        <f>Table7[[#This Row],[Total Revenue]]/Table7[[#This Row],[Orders]]</f>
        <v>33586.425000000003</v>
      </c>
      <c r="H59" s="21" t="str">
        <f>IF(Table7[[#This Row],[Orders]]=1,"New",IF(Table7[[#This Row],[Orders]]&lt;=3,"Returning","Loyal"))</f>
        <v>Returning</v>
      </c>
    </row>
    <row r="60" spans="1:8" x14ac:dyDescent="0.25">
      <c r="A60" t="s">
        <v>722</v>
      </c>
      <c r="B60">
        <v>1</v>
      </c>
      <c r="C60">
        <v>3</v>
      </c>
      <c r="D60" s="21">
        <v>116858.7</v>
      </c>
      <c r="E60" s="21">
        <v>52337.08</v>
      </c>
      <c r="F60" s="2">
        <v>5</v>
      </c>
      <c r="G60" s="21">
        <f>Table7[[#This Row],[Total Revenue]]/Table7[[#This Row],[Orders]]</f>
        <v>116858.7</v>
      </c>
      <c r="H60" s="21" t="str">
        <f>IF(Table7[[#This Row],[Orders]]=1,"New",IF(Table7[[#This Row],[Orders]]&lt;=3,"Returning","Loyal"))</f>
        <v>New</v>
      </c>
    </row>
    <row r="61" spans="1:8" x14ac:dyDescent="0.25">
      <c r="A61" t="s">
        <v>148</v>
      </c>
      <c r="B61">
        <v>4</v>
      </c>
      <c r="C61">
        <v>5</v>
      </c>
      <c r="D61" s="21">
        <v>112514.1</v>
      </c>
      <c r="E61" s="21">
        <v>31230.39</v>
      </c>
      <c r="F61" s="2">
        <v>3.5</v>
      </c>
      <c r="G61" s="21">
        <f>Table7[[#This Row],[Total Revenue]]/Table7[[#This Row],[Orders]]</f>
        <v>28128.525000000001</v>
      </c>
      <c r="H61" s="21" t="str">
        <f>IF(Table7[[#This Row],[Orders]]=1,"New",IF(Table7[[#This Row],[Orders]]&lt;=3,"Returning","Loyal"))</f>
        <v>Loyal</v>
      </c>
    </row>
    <row r="62" spans="1:8" x14ac:dyDescent="0.25">
      <c r="A62" t="s">
        <v>1306</v>
      </c>
      <c r="B62">
        <v>2</v>
      </c>
      <c r="C62">
        <v>3</v>
      </c>
      <c r="D62" s="21">
        <v>122521.1</v>
      </c>
      <c r="E62" s="21">
        <v>31189.37</v>
      </c>
      <c r="F62" s="2">
        <v>3</v>
      </c>
      <c r="G62" s="21">
        <f>Table7[[#This Row],[Total Revenue]]/Table7[[#This Row],[Orders]]</f>
        <v>61260.55</v>
      </c>
      <c r="H62" s="21" t="str">
        <f>IF(Table7[[#This Row],[Orders]]=1,"New",IF(Table7[[#This Row],[Orders]]&lt;=3,"Returning","Loyal"))</f>
        <v>Returning</v>
      </c>
    </row>
    <row r="63" spans="1:8" x14ac:dyDescent="0.25">
      <c r="A63" t="s">
        <v>1238</v>
      </c>
      <c r="B63">
        <v>4</v>
      </c>
      <c r="C63">
        <v>8</v>
      </c>
      <c r="D63" s="21">
        <v>169155</v>
      </c>
      <c r="E63" s="21">
        <v>57202.879999999997</v>
      </c>
      <c r="F63" s="2">
        <v>3.75</v>
      </c>
      <c r="G63" s="21">
        <f>Table7[[#This Row],[Total Revenue]]/Table7[[#This Row],[Orders]]</f>
        <v>42288.75</v>
      </c>
      <c r="H63" s="21" t="str">
        <f>IF(Table7[[#This Row],[Orders]]=1,"New",IF(Table7[[#This Row],[Orders]]&lt;=3,"Returning","Loyal"))</f>
        <v>Loyal</v>
      </c>
    </row>
    <row r="64" spans="1:8" x14ac:dyDescent="0.25">
      <c r="A64" t="s">
        <v>241</v>
      </c>
      <c r="B64">
        <v>6</v>
      </c>
      <c r="C64">
        <v>11</v>
      </c>
      <c r="D64" s="21">
        <v>316526.10000000003</v>
      </c>
      <c r="E64" s="21">
        <v>83116.86</v>
      </c>
      <c r="F64" s="2">
        <v>4.5</v>
      </c>
      <c r="G64" s="21">
        <f>Table7[[#This Row],[Total Revenue]]/Table7[[#This Row],[Orders]]</f>
        <v>52754.350000000006</v>
      </c>
      <c r="H64" s="21" t="str">
        <f>IF(Table7[[#This Row],[Orders]]=1,"New",IF(Table7[[#This Row],[Orders]]&lt;=3,"Returning","Loyal"))</f>
        <v>Loyal</v>
      </c>
    </row>
    <row r="65" spans="1:8" x14ac:dyDescent="0.25">
      <c r="A65" t="s">
        <v>1451</v>
      </c>
      <c r="B65">
        <v>3</v>
      </c>
      <c r="C65">
        <v>3</v>
      </c>
      <c r="D65" s="21">
        <v>141037.35</v>
      </c>
      <c r="E65" s="21">
        <v>38102.189999999995</v>
      </c>
      <c r="F65" s="2">
        <v>3.3333333333333335</v>
      </c>
      <c r="G65" s="21">
        <f>Table7[[#This Row],[Total Revenue]]/Table7[[#This Row],[Orders]]</f>
        <v>47012.450000000004</v>
      </c>
      <c r="H65" s="21" t="str">
        <f>IF(Table7[[#This Row],[Orders]]=1,"New",IF(Table7[[#This Row],[Orders]]&lt;=3,"Returning","Loyal"))</f>
        <v>Returning</v>
      </c>
    </row>
    <row r="66" spans="1:8" x14ac:dyDescent="0.25">
      <c r="A66" t="s">
        <v>2143</v>
      </c>
      <c r="B66">
        <v>1</v>
      </c>
      <c r="C66">
        <v>1</v>
      </c>
      <c r="D66" s="21">
        <v>46048</v>
      </c>
      <c r="E66" s="21">
        <v>17065.61</v>
      </c>
      <c r="F66" s="2">
        <v>5</v>
      </c>
      <c r="G66" s="21">
        <f>Table7[[#This Row],[Total Revenue]]/Table7[[#This Row],[Orders]]</f>
        <v>46048</v>
      </c>
      <c r="H66" s="21" t="str">
        <f>IF(Table7[[#This Row],[Orders]]=1,"New",IF(Table7[[#This Row],[Orders]]&lt;=3,"Returning","Loyal"))</f>
        <v>New</v>
      </c>
    </row>
    <row r="67" spans="1:8" x14ac:dyDescent="0.25">
      <c r="A67" t="s">
        <v>1160</v>
      </c>
      <c r="B67">
        <v>3</v>
      </c>
      <c r="C67">
        <v>4</v>
      </c>
      <c r="D67" s="21">
        <v>150231.29999999999</v>
      </c>
      <c r="E67" s="21">
        <v>47415.13</v>
      </c>
      <c r="F67" s="2">
        <v>3</v>
      </c>
      <c r="G67" s="21">
        <f>Table7[[#This Row],[Total Revenue]]/Table7[[#This Row],[Orders]]</f>
        <v>50077.1</v>
      </c>
      <c r="H67" s="21" t="str">
        <f>IF(Table7[[#This Row],[Orders]]=1,"New",IF(Table7[[#This Row],[Orders]]&lt;=3,"Returning","Loyal"))</f>
        <v>Returning</v>
      </c>
    </row>
    <row r="68" spans="1:8" x14ac:dyDescent="0.25">
      <c r="A68" t="s">
        <v>172</v>
      </c>
      <c r="B68">
        <v>7</v>
      </c>
      <c r="C68">
        <v>12</v>
      </c>
      <c r="D68" s="21">
        <v>361439.5</v>
      </c>
      <c r="E68" s="21">
        <v>126152.53000000001</v>
      </c>
      <c r="F68" s="2">
        <v>3.8333333333333335</v>
      </c>
      <c r="G68" s="21">
        <f>Table7[[#This Row],[Total Revenue]]/Table7[[#This Row],[Orders]]</f>
        <v>51634.214285714283</v>
      </c>
      <c r="H68" s="21" t="str">
        <f>IF(Table7[[#This Row],[Orders]]=1,"New",IF(Table7[[#This Row],[Orders]]&lt;=3,"Returning","Loyal"))</f>
        <v>Loyal</v>
      </c>
    </row>
    <row r="69" spans="1:8" x14ac:dyDescent="0.25">
      <c r="A69" t="s">
        <v>517</v>
      </c>
      <c r="B69">
        <v>1</v>
      </c>
      <c r="C69">
        <v>1</v>
      </c>
      <c r="D69" s="21">
        <v>35672.800000000003</v>
      </c>
      <c r="E69" s="21">
        <v>10999.55</v>
      </c>
      <c r="F69" s="2">
        <v>1</v>
      </c>
      <c r="G69" s="21">
        <f>Table7[[#This Row],[Total Revenue]]/Table7[[#This Row],[Orders]]</f>
        <v>35672.800000000003</v>
      </c>
      <c r="H69" s="21" t="str">
        <f>IF(Table7[[#This Row],[Orders]]=1,"New",IF(Table7[[#This Row],[Orders]]&lt;=3,"Returning","Loyal"))</f>
        <v>New</v>
      </c>
    </row>
    <row r="70" spans="1:8" x14ac:dyDescent="0.25">
      <c r="A70" t="s">
        <v>211</v>
      </c>
      <c r="B70">
        <v>4</v>
      </c>
      <c r="C70">
        <v>5</v>
      </c>
      <c r="D70" s="21">
        <v>169960.09999999998</v>
      </c>
      <c r="E70" s="21">
        <v>49802.560000000005</v>
      </c>
      <c r="F70" s="2">
        <v>5</v>
      </c>
      <c r="G70" s="21">
        <f>Table7[[#This Row],[Total Revenue]]/Table7[[#This Row],[Orders]]</f>
        <v>42490.024999999994</v>
      </c>
      <c r="H70" s="21" t="str">
        <f>IF(Table7[[#This Row],[Orders]]=1,"New",IF(Table7[[#This Row],[Orders]]&lt;=3,"Returning","Loyal"))</f>
        <v>Loyal</v>
      </c>
    </row>
    <row r="71" spans="1:8" x14ac:dyDescent="0.25">
      <c r="A71" t="s">
        <v>1119</v>
      </c>
      <c r="B71">
        <v>2</v>
      </c>
      <c r="C71">
        <v>3</v>
      </c>
      <c r="D71" s="21">
        <v>73601</v>
      </c>
      <c r="E71" s="21">
        <v>15904.01</v>
      </c>
      <c r="F71" s="2">
        <v>5</v>
      </c>
      <c r="G71" s="21">
        <f>Table7[[#This Row],[Total Revenue]]/Table7[[#This Row],[Orders]]</f>
        <v>36800.5</v>
      </c>
      <c r="H71" s="21" t="str">
        <f>IF(Table7[[#This Row],[Orders]]=1,"New",IF(Table7[[#This Row],[Orders]]&lt;=3,"Returning","Loyal"))</f>
        <v>Returning</v>
      </c>
    </row>
    <row r="72" spans="1:8" x14ac:dyDescent="0.25">
      <c r="A72" t="s">
        <v>384</v>
      </c>
      <c r="B72">
        <v>4</v>
      </c>
      <c r="C72">
        <v>4</v>
      </c>
      <c r="D72" s="21">
        <v>206618.3</v>
      </c>
      <c r="E72" s="21">
        <v>66316.69</v>
      </c>
      <c r="F72" s="2">
        <v>5</v>
      </c>
      <c r="G72" s="21">
        <f>Table7[[#This Row],[Total Revenue]]/Table7[[#This Row],[Orders]]</f>
        <v>51654.574999999997</v>
      </c>
      <c r="H72" s="21" t="str">
        <f>IF(Table7[[#This Row],[Orders]]=1,"New",IF(Table7[[#This Row],[Orders]]&lt;=3,"Returning","Loyal"))</f>
        <v>Loyal</v>
      </c>
    </row>
    <row r="73" spans="1:8" x14ac:dyDescent="0.25">
      <c r="A73" t="s">
        <v>550</v>
      </c>
      <c r="B73">
        <v>3</v>
      </c>
      <c r="C73">
        <v>4</v>
      </c>
      <c r="D73" s="21">
        <v>88888.4</v>
      </c>
      <c r="E73" s="21">
        <v>20923.29</v>
      </c>
      <c r="F73" s="2">
        <v>2.3333333333333335</v>
      </c>
      <c r="G73" s="21">
        <f>Table7[[#This Row],[Total Revenue]]/Table7[[#This Row],[Orders]]</f>
        <v>29629.466666666664</v>
      </c>
      <c r="H73" s="21" t="str">
        <f>IF(Table7[[#This Row],[Orders]]=1,"New",IF(Table7[[#This Row],[Orders]]&lt;=3,"Returning","Loyal"))</f>
        <v>Returning</v>
      </c>
    </row>
    <row r="74" spans="1:8" x14ac:dyDescent="0.25">
      <c r="A74" t="s">
        <v>386</v>
      </c>
      <c r="B74">
        <v>6</v>
      </c>
      <c r="C74">
        <v>8</v>
      </c>
      <c r="D74" s="21">
        <v>153250.75</v>
      </c>
      <c r="E74" s="21">
        <v>48939.01</v>
      </c>
      <c r="F74" s="2">
        <v>3.6666666666666665</v>
      </c>
      <c r="G74" s="21">
        <f>Table7[[#This Row],[Total Revenue]]/Table7[[#This Row],[Orders]]</f>
        <v>25541.791666666668</v>
      </c>
      <c r="H74" s="21" t="str">
        <f>IF(Table7[[#This Row],[Orders]]=1,"New",IF(Table7[[#This Row],[Orders]]&lt;=3,"Returning","Loyal"))</f>
        <v>Loyal</v>
      </c>
    </row>
    <row r="75" spans="1:8" x14ac:dyDescent="0.25">
      <c r="A75" t="s">
        <v>1217</v>
      </c>
      <c r="B75">
        <v>3</v>
      </c>
      <c r="C75">
        <v>3</v>
      </c>
      <c r="D75" s="21">
        <v>79694.2</v>
      </c>
      <c r="E75" s="21">
        <v>24232.440000000002</v>
      </c>
      <c r="F75" s="2">
        <v>4.666666666666667</v>
      </c>
      <c r="G75" s="21">
        <f>Table7[[#This Row],[Total Revenue]]/Table7[[#This Row],[Orders]]</f>
        <v>26564.733333333334</v>
      </c>
      <c r="H75" s="21" t="str">
        <f>IF(Table7[[#This Row],[Orders]]=1,"New",IF(Table7[[#This Row],[Orders]]&lt;=3,"Returning","Loyal"))</f>
        <v>Returning</v>
      </c>
    </row>
    <row r="76" spans="1:8" x14ac:dyDescent="0.25">
      <c r="A76" t="s">
        <v>958</v>
      </c>
      <c r="B76">
        <v>5</v>
      </c>
      <c r="C76">
        <v>8</v>
      </c>
      <c r="D76" s="21">
        <v>135129.1</v>
      </c>
      <c r="E76" s="21">
        <v>46534.689999999995</v>
      </c>
      <c r="F76" s="2">
        <v>3</v>
      </c>
      <c r="G76" s="21">
        <f>Table7[[#This Row],[Total Revenue]]/Table7[[#This Row],[Orders]]</f>
        <v>27025.82</v>
      </c>
      <c r="H76" s="21" t="str">
        <f>IF(Table7[[#This Row],[Orders]]=1,"New",IF(Table7[[#This Row],[Orders]]&lt;=3,"Returning","Loyal"))</f>
        <v>Loyal</v>
      </c>
    </row>
    <row r="77" spans="1:8" x14ac:dyDescent="0.25">
      <c r="A77" t="s">
        <v>2423</v>
      </c>
      <c r="B77">
        <v>2</v>
      </c>
      <c r="C77">
        <v>2</v>
      </c>
      <c r="D77" s="21">
        <v>41292.6</v>
      </c>
      <c r="E77" s="21">
        <v>17734.93</v>
      </c>
      <c r="F77" s="2">
        <v>5</v>
      </c>
      <c r="G77" s="21">
        <f>Table7[[#This Row],[Total Revenue]]/Table7[[#This Row],[Orders]]</f>
        <v>20646.3</v>
      </c>
      <c r="H77" s="21" t="str">
        <f>IF(Table7[[#This Row],[Orders]]=1,"New",IF(Table7[[#This Row],[Orders]]&lt;=3,"Returning","Loyal"))</f>
        <v>Returning</v>
      </c>
    </row>
    <row r="78" spans="1:8" x14ac:dyDescent="0.25">
      <c r="A78" t="s">
        <v>1663</v>
      </c>
      <c r="B78">
        <v>2</v>
      </c>
      <c r="C78">
        <v>3</v>
      </c>
      <c r="D78" s="21">
        <v>105044.2</v>
      </c>
      <c r="E78" s="21">
        <v>24563.77</v>
      </c>
      <c r="F78" s="2">
        <v>5</v>
      </c>
      <c r="G78" s="21">
        <f>Table7[[#This Row],[Total Revenue]]/Table7[[#This Row],[Orders]]</f>
        <v>52522.1</v>
      </c>
      <c r="H78" s="21" t="str">
        <f>IF(Table7[[#This Row],[Orders]]=1,"New",IF(Table7[[#This Row],[Orders]]&lt;=3,"Returning","Loyal"))</f>
        <v>Returning</v>
      </c>
    </row>
    <row r="79" spans="1:8" x14ac:dyDescent="0.25">
      <c r="A79" t="s">
        <v>263</v>
      </c>
      <c r="B79">
        <v>3</v>
      </c>
      <c r="C79">
        <v>5</v>
      </c>
      <c r="D79" s="21">
        <v>248815.4</v>
      </c>
      <c r="E79" s="21">
        <v>74691.01999999999</v>
      </c>
      <c r="F79" s="2">
        <v>5</v>
      </c>
      <c r="G79" s="21">
        <f>Table7[[#This Row],[Total Revenue]]/Table7[[#This Row],[Orders]]</f>
        <v>82938.46666666666</v>
      </c>
      <c r="H79" s="21" t="str">
        <f>IF(Table7[[#This Row],[Orders]]=1,"New",IF(Table7[[#This Row],[Orders]]&lt;=3,"Returning","Loyal"))</f>
        <v>Returning</v>
      </c>
    </row>
    <row r="80" spans="1:8" x14ac:dyDescent="0.25">
      <c r="A80" t="s">
        <v>144</v>
      </c>
      <c r="B80">
        <v>5</v>
      </c>
      <c r="C80">
        <v>10</v>
      </c>
      <c r="D80" s="21">
        <v>421576.75</v>
      </c>
      <c r="E80" s="21">
        <v>138392.22</v>
      </c>
      <c r="F80" s="2">
        <v>3</v>
      </c>
      <c r="G80" s="21">
        <f>Table7[[#This Row],[Total Revenue]]/Table7[[#This Row],[Orders]]</f>
        <v>84315.35</v>
      </c>
      <c r="H80" s="21" t="str">
        <f>IF(Table7[[#This Row],[Orders]]=1,"New",IF(Table7[[#This Row],[Orders]]&lt;=3,"Returning","Loyal"))</f>
        <v>Loyal</v>
      </c>
    </row>
    <row r="81" spans="1:8" x14ac:dyDescent="0.25">
      <c r="A81" t="s">
        <v>1536</v>
      </c>
      <c r="B81">
        <v>1</v>
      </c>
      <c r="C81">
        <v>3</v>
      </c>
      <c r="D81" s="21">
        <v>20124.599999999999</v>
      </c>
      <c r="E81" s="21">
        <v>4749.75</v>
      </c>
      <c r="F81" s="2">
        <v>1</v>
      </c>
      <c r="G81" s="21">
        <f>Table7[[#This Row],[Total Revenue]]/Table7[[#This Row],[Orders]]</f>
        <v>20124.599999999999</v>
      </c>
      <c r="H81" s="21" t="str">
        <f>IF(Table7[[#This Row],[Orders]]=1,"New",IF(Table7[[#This Row],[Orders]]&lt;=3,"Returning","Loyal"))</f>
        <v>New</v>
      </c>
    </row>
    <row r="82" spans="1:8" x14ac:dyDescent="0.25">
      <c r="A82" t="s">
        <v>673</v>
      </c>
      <c r="B82">
        <v>2</v>
      </c>
      <c r="C82">
        <v>5</v>
      </c>
      <c r="D82" s="21">
        <v>251953.2</v>
      </c>
      <c r="E82" s="21">
        <v>86076.67</v>
      </c>
      <c r="F82" s="2">
        <v>3.5</v>
      </c>
      <c r="G82" s="21">
        <f>Table7[[#This Row],[Total Revenue]]/Table7[[#This Row],[Orders]]</f>
        <v>125976.6</v>
      </c>
      <c r="H82" s="21" t="str">
        <f>IF(Table7[[#This Row],[Orders]]=1,"New",IF(Table7[[#This Row],[Orders]]&lt;=3,"Returning","Loyal"))</f>
        <v>Returning</v>
      </c>
    </row>
    <row r="83" spans="1:8" x14ac:dyDescent="0.25">
      <c r="A83" t="s">
        <v>44</v>
      </c>
      <c r="B83">
        <v>4</v>
      </c>
      <c r="C83">
        <v>4</v>
      </c>
      <c r="D83" s="21">
        <v>139238.25</v>
      </c>
      <c r="E83" s="21">
        <v>45676.31</v>
      </c>
      <c r="F83" s="2">
        <v>3</v>
      </c>
      <c r="G83" s="21">
        <f>Table7[[#This Row],[Total Revenue]]/Table7[[#This Row],[Orders]]</f>
        <v>34809.5625</v>
      </c>
      <c r="H83" s="21" t="str">
        <f>IF(Table7[[#This Row],[Orders]]=1,"New",IF(Table7[[#This Row],[Orders]]&lt;=3,"Returning","Loyal"))</f>
        <v>Loyal</v>
      </c>
    </row>
    <row r="84" spans="1:8" x14ac:dyDescent="0.25">
      <c r="A84" t="s">
        <v>1076</v>
      </c>
      <c r="B84">
        <v>5</v>
      </c>
      <c r="C84">
        <v>11</v>
      </c>
      <c r="D84" s="21">
        <v>218920.7</v>
      </c>
      <c r="E84" s="21">
        <v>71983.429999999993</v>
      </c>
      <c r="F84" s="2">
        <v>4.333333333333333</v>
      </c>
      <c r="G84" s="21">
        <f>Table7[[#This Row],[Total Revenue]]/Table7[[#This Row],[Orders]]</f>
        <v>43784.14</v>
      </c>
      <c r="H84" s="21" t="str">
        <f>IF(Table7[[#This Row],[Orders]]=1,"New",IF(Table7[[#This Row],[Orders]]&lt;=3,"Returning","Loyal"))</f>
        <v>Loyal</v>
      </c>
    </row>
    <row r="85" spans="1:8" x14ac:dyDescent="0.25">
      <c r="A85" t="s">
        <v>622</v>
      </c>
      <c r="B85">
        <v>5</v>
      </c>
      <c r="C85">
        <v>10</v>
      </c>
      <c r="D85" s="21">
        <v>371581.4</v>
      </c>
      <c r="E85" s="21">
        <v>95151.110000000015</v>
      </c>
      <c r="F85" s="2">
        <v>1.5</v>
      </c>
      <c r="G85" s="21">
        <f>Table7[[#This Row],[Total Revenue]]/Table7[[#This Row],[Orders]]</f>
        <v>74316.28</v>
      </c>
      <c r="H85" s="21" t="str">
        <f>IF(Table7[[#This Row],[Orders]]=1,"New",IF(Table7[[#This Row],[Orders]]&lt;=3,"Returning","Loyal"))</f>
        <v>Loyal</v>
      </c>
    </row>
    <row r="86" spans="1:8" x14ac:dyDescent="0.25">
      <c r="A86" t="s">
        <v>560</v>
      </c>
      <c r="B86">
        <v>2</v>
      </c>
      <c r="C86">
        <v>2</v>
      </c>
      <c r="D86" s="21">
        <v>84256.8</v>
      </c>
      <c r="E86" s="21">
        <v>32522.850000000002</v>
      </c>
      <c r="F86" s="2">
        <v>4.5</v>
      </c>
      <c r="G86" s="21">
        <f>Table7[[#This Row],[Total Revenue]]/Table7[[#This Row],[Orders]]</f>
        <v>42128.4</v>
      </c>
      <c r="H86" s="21" t="str">
        <f>IF(Table7[[#This Row],[Orders]]=1,"New",IF(Table7[[#This Row],[Orders]]&lt;=3,"Returning","Loyal"))</f>
        <v>Returning</v>
      </c>
    </row>
    <row r="87" spans="1:8" x14ac:dyDescent="0.25">
      <c r="A87" t="s">
        <v>758</v>
      </c>
      <c r="B87">
        <v>7</v>
      </c>
      <c r="C87">
        <v>14</v>
      </c>
      <c r="D87" s="21">
        <v>416520.3</v>
      </c>
      <c r="E87" s="21">
        <v>152870.02000000002</v>
      </c>
      <c r="F87" s="2">
        <v>2.3333333333333335</v>
      </c>
      <c r="G87" s="21">
        <f>Table7[[#This Row],[Total Revenue]]/Table7[[#This Row],[Orders]]</f>
        <v>59502.9</v>
      </c>
      <c r="H87" s="21" t="str">
        <f>IF(Table7[[#This Row],[Orders]]=1,"New",IF(Table7[[#This Row],[Orders]]&lt;=3,"Returning","Loyal"))</f>
        <v>Loyal</v>
      </c>
    </row>
    <row r="88" spans="1:8" x14ac:dyDescent="0.25">
      <c r="A88" t="s">
        <v>423</v>
      </c>
      <c r="B88">
        <v>4</v>
      </c>
      <c r="C88">
        <v>7</v>
      </c>
      <c r="D88" s="21">
        <v>197322.8</v>
      </c>
      <c r="E88" s="21">
        <v>74251.33</v>
      </c>
      <c r="F88" s="2">
        <v>3.75</v>
      </c>
      <c r="G88" s="21">
        <f>Table7[[#This Row],[Total Revenue]]/Table7[[#This Row],[Orders]]</f>
        <v>49330.7</v>
      </c>
      <c r="H88" s="21" t="str">
        <f>IF(Table7[[#This Row],[Orders]]=1,"New",IF(Table7[[#This Row],[Orders]]&lt;=3,"Returning","Loyal"))</f>
        <v>Loyal</v>
      </c>
    </row>
    <row r="89" spans="1:8" x14ac:dyDescent="0.25">
      <c r="A89" t="s">
        <v>1288</v>
      </c>
      <c r="B89">
        <v>6</v>
      </c>
      <c r="C89">
        <v>13</v>
      </c>
      <c r="D89" s="21">
        <v>470292.75</v>
      </c>
      <c r="E89" s="21">
        <v>150283.18</v>
      </c>
      <c r="F89" s="2">
        <v>4.75</v>
      </c>
      <c r="G89" s="21">
        <f>Table7[[#This Row],[Total Revenue]]/Table7[[#This Row],[Orders]]</f>
        <v>78382.125</v>
      </c>
      <c r="H89" s="21" t="str">
        <f>IF(Table7[[#This Row],[Orders]]=1,"New",IF(Table7[[#This Row],[Orders]]&lt;=3,"Returning","Loyal"))</f>
        <v>Loyal</v>
      </c>
    </row>
    <row r="90" spans="1:8" x14ac:dyDescent="0.25">
      <c r="A90" t="s">
        <v>1940</v>
      </c>
      <c r="B90">
        <v>3</v>
      </c>
      <c r="C90">
        <v>5</v>
      </c>
      <c r="D90" s="21">
        <v>388514.25</v>
      </c>
      <c r="E90" s="21">
        <v>112941.39</v>
      </c>
      <c r="F90" s="2">
        <v>3.6666666666666665</v>
      </c>
      <c r="G90" s="21">
        <f>Table7[[#This Row],[Total Revenue]]/Table7[[#This Row],[Orders]]</f>
        <v>129504.75</v>
      </c>
      <c r="H90" s="21" t="str">
        <f>IF(Table7[[#This Row],[Orders]]=1,"New",IF(Table7[[#This Row],[Orders]]&lt;=3,"Returning","Loyal"))</f>
        <v>Returning</v>
      </c>
    </row>
    <row r="91" spans="1:8" x14ac:dyDescent="0.25">
      <c r="A91" t="s">
        <v>1396</v>
      </c>
      <c r="B91">
        <v>1</v>
      </c>
      <c r="C91">
        <v>1</v>
      </c>
      <c r="D91" s="21">
        <v>38832</v>
      </c>
      <c r="E91" s="21">
        <v>15748.27</v>
      </c>
      <c r="F91" s="2">
        <v>1</v>
      </c>
      <c r="G91" s="21">
        <f>Table7[[#This Row],[Total Revenue]]/Table7[[#This Row],[Orders]]</f>
        <v>38832</v>
      </c>
      <c r="H91" s="21" t="str">
        <f>IF(Table7[[#This Row],[Orders]]=1,"New",IF(Table7[[#This Row],[Orders]]&lt;=3,"Returning","Loyal"))</f>
        <v>New</v>
      </c>
    </row>
    <row r="92" spans="1:8" x14ac:dyDescent="0.25">
      <c r="A92" t="s">
        <v>509</v>
      </c>
      <c r="B92">
        <v>5</v>
      </c>
      <c r="C92">
        <v>10</v>
      </c>
      <c r="D92" s="21">
        <v>136592.79999999999</v>
      </c>
      <c r="E92" s="21">
        <v>36982.26</v>
      </c>
      <c r="F92" s="2">
        <v>4.2</v>
      </c>
      <c r="G92" s="21">
        <f>Table7[[#This Row],[Total Revenue]]/Table7[[#This Row],[Orders]]</f>
        <v>27318.559999999998</v>
      </c>
      <c r="H92" s="21" t="str">
        <f>IF(Table7[[#This Row],[Orders]]=1,"New",IF(Table7[[#This Row],[Orders]]&lt;=3,"Returning","Loyal"))</f>
        <v>Loyal</v>
      </c>
    </row>
    <row r="93" spans="1:8" x14ac:dyDescent="0.25">
      <c r="A93" t="s">
        <v>1116</v>
      </c>
      <c r="B93">
        <v>4</v>
      </c>
      <c r="C93">
        <v>9</v>
      </c>
      <c r="D93" s="21">
        <v>185392.3</v>
      </c>
      <c r="E93" s="21">
        <v>62280.509999999995</v>
      </c>
      <c r="F93" s="2">
        <v>4.333333333333333</v>
      </c>
      <c r="G93" s="21">
        <f>Table7[[#This Row],[Total Revenue]]/Table7[[#This Row],[Orders]]</f>
        <v>46348.074999999997</v>
      </c>
      <c r="H93" s="21" t="str">
        <f>IF(Table7[[#This Row],[Orders]]=1,"New",IF(Table7[[#This Row],[Orders]]&lt;=3,"Returning","Loyal"))</f>
        <v>Loyal</v>
      </c>
    </row>
    <row r="94" spans="1:8" x14ac:dyDescent="0.25">
      <c r="A94" t="s">
        <v>819</v>
      </c>
      <c r="B94">
        <v>4</v>
      </c>
      <c r="C94">
        <v>10</v>
      </c>
      <c r="D94" s="21">
        <v>568307.70000000007</v>
      </c>
      <c r="E94" s="21">
        <v>185149.93</v>
      </c>
      <c r="F94" s="2">
        <v>4.5</v>
      </c>
      <c r="G94" s="21">
        <f>Table7[[#This Row],[Total Revenue]]/Table7[[#This Row],[Orders]]</f>
        <v>142076.92500000002</v>
      </c>
      <c r="H94" s="21" t="str">
        <f>IF(Table7[[#This Row],[Orders]]=1,"New",IF(Table7[[#This Row],[Orders]]&lt;=3,"Returning","Loyal"))</f>
        <v>Loyal</v>
      </c>
    </row>
    <row r="95" spans="1:8" x14ac:dyDescent="0.25">
      <c r="A95" t="s">
        <v>1386</v>
      </c>
      <c r="B95">
        <v>4</v>
      </c>
      <c r="C95">
        <v>6</v>
      </c>
      <c r="D95" s="21">
        <v>215127.4</v>
      </c>
      <c r="E95" s="21">
        <v>92332.07</v>
      </c>
      <c r="F95" s="2">
        <v>3.5</v>
      </c>
      <c r="G95" s="21">
        <f>Table7[[#This Row],[Total Revenue]]/Table7[[#This Row],[Orders]]</f>
        <v>53781.85</v>
      </c>
      <c r="H95" s="21" t="str">
        <f>IF(Table7[[#This Row],[Orders]]=1,"New",IF(Table7[[#This Row],[Orders]]&lt;=3,"Returning","Loyal"))</f>
        <v>Loyal</v>
      </c>
    </row>
    <row r="96" spans="1:8" x14ac:dyDescent="0.25">
      <c r="A96" t="s">
        <v>278</v>
      </c>
      <c r="B96">
        <v>5</v>
      </c>
      <c r="C96">
        <v>6</v>
      </c>
      <c r="D96" s="21">
        <v>90475.65</v>
      </c>
      <c r="E96" s="21">
        <v>28577.399999999998</v>
      </c>
      <c r="F96" s="2">
        <v>5</v>
      </c>
      <c r="G96" s="21">
        <f>Table7[[#This Row],[Total Revenue]]/Table7[[#This Row],[Orders]]</f>
        <v>18095.129999999997</v>
      </c>
      <c r="H96" s="21" t="str">
        <f>IF(Table7[[#This Row],[Orders]]=1,"New",IF(Table7[[#This Row],[Orders]]&lt;=3,"Returning","Loyal"))</f>
        <v>Loyal</v>
      </c>
    </row>
    <row r="97" spans="1:8" x14ac:dyDescent="0.25">
      <c r="A97" t="s">
        <v>1055</v>
      </c>
      <c r="B97">
        <v>1</v>
      </c>
      <c r="C97">
        <v>2</v>
      </c>
      <c r="D97" s="21">
        <v>9963</v>
      </c>
      <c r="E97" s="21">
        <v>3746.15</v>
      </c>
      <c r="F97" s="2">
        <v>3</v>
      </c>
      <c r="G97" s="21">
        <f>Table7[[#This Row],[Total Revenue]]/Table7[[#This Row],[Orders]]</f>
        <v>9963</v>
      </c>
      <c r="H97" s="21" t="str">
        <f>IF(Table7[[#This Row],[Orders]]=1,"New",IF(Table7[[#This Row],[Orders]]&lt;=3,"Returning","Loyal"))</f>
        <v>New</v>
      </c>
    </row>
    <row r="98" spans="1:8" x14ac:dyDescent="0.25">
      <c r="A98" t="s">
        <v>411</v>
      </c>
      <c r="B98">
        <v>2</v>
      </c>
      <c r="C98">
        <v>3</v>
      </c>
      <c r="D98" s="21">
        <v>78266.3</v>
      </c>
      <c r="E98" s="21">
        <v>22348.86</v>
      </c>
      <c r="F98" s="2">
        <v>3</v>
      </c>
      <c r="G98" s="21">
        <f>Table7[[#This Row],[Total Revenue]]/Table7[[#This Row],[Orders]]</f>
        <v>39133.15</v>
      </c>
      <c r="H98" s="21" t="str">
        <f>IF(Table7[[#This Row],[Orders]]=1,"New",IF(Table7[[#This Row],[Orders]]&lt;=3,"Returning","Loyal"))</f>
        <v>Returning</v>
      </c>
    </row>
    <row r="99" spans="1:8" x14ac:dyDescent="0.25">
      <c r="A99" t="s">
        <v>826</v>
      </c>
      <c r="B99">
        <v>1</v>
      </c>
      <c r="C99">
        <v>1</v>
      </c>
      <c r="D99" s="21">
        <v>22173.95</v>
      </c>
      <c r="E99" s="21">
        <v>7963.36</v>
      </c>
      <c r="F99" s="2">
        <v>5</v>
      </c>
      <c r="G99" s="21">
        <f>Table7[[#This Row],[Total Revenue]]/Table7[[#This Row],[Orders]]</f>
        <v>22173.95</v>
      </c>
      <c r="H99" s="21" t="str">
        <f>IF(Table7[[#This Row],[Orders]]=1,"New",IF(Table7[[#This Row],[Orders]]&lt;=3,"Returning","Loyal"))</f>
        <v>New</v>
      </c>
    </row>
    <row r="100" spans="1:8" x14ac:dyDescent="0.25">
      <c r="A100" t="s">
        <v>852</v>
      </c>
      <c r="B100">
        <v>3</v>
      </c>
      <c r="C100">
        <v>3</v>
      </c>
      <c r="D100" s="21">
        <v>113419.7</v>
      </c>
      <c r="E100" s="21">
        <v>41229.199999999997</v>
      </c>
      <c r="F100" s="2">
        <v>4.666666666666667</v>
      </c>
      <c r="G100" s="21">
        <f>Table7[[#This Row],[Total Revenue]]/Table7[[#This Row],[Orders]]</f>
        <v>37806.566666666666</v>
      </c>
      <c r="H100" s="21" t="str">
        <f>IF(Table7[[#This Row],[Orders]]=1,"New",IF(Table7[[#This Row],[Orders]]&lt;=3,"Returning","Loyal"))</f>
        <v>Returning</v>
      </c>
    </row>
    <row r="101" spans="1:8" x14ac:dyDescent="0.25">
      <c r="A101" t="s">
        <v>875</v>
      </c>
      <c r="B101">
        <v>3</v>
      </c>
      <c r="C101">
        <v>3</v>
      </c>
      <c r="D101" s="21">
        <v>91113</v>
      </c>
      <c r="E101" s="21">
        <v>29558.89</v>
      </c>
      <c r="F101" s="2">
        <v>5</v>
      </c>
      <c r="G101" s="21">
        <f>Table7[[#This Row],[Total Revenue]]/Table7[[#This Row],[Orders]]</f>
        <v>30371</v>
      </c>
      <c r="H101" s="21" t="str">
        <f>IF(Table7[[#This Row],[Orders]]=1,"New",IF(Table7[[#This Row],[Orders]]&lt;=3,"Returning","Loyal"))</f>
        <v>Returning</v>
      </c>
    </row>
    <row r="102" spans="1:8" x14ac:dyDescent="0.25">
      <c r="A102" t="s">
        <v>1131</v>
      </c>
      <c r="B102">
        <v>2</v>
      </c>
      <c r="C102">
        <v>4</v>
      </c>
      <c r="D102" s="21">
        <v>85124.200000000012</v>
      </c>
      <c r="E102" s="21">
        <v>20900.349999999999</v>
      </c>
      <c r="F102" s="2">
        <v>1</v>
      </c>
      <c r="G102" s="21">
        <f>Table7[[#This Row],[Total Revenue]]/Table7[[#This Row],[Orders]]</f>
        <v>42562.100000000006</v>
      </c>
      <c r="H102" s="21" t="str">
        <f>IF(Table7[[#This Row],[Orders]]=1,"New",IF(Table7[[#This Row],[Orders]]&lt;=3,"Returning","Loyal"))</f>
        <v>Returning</v>
      </c>
    </row>
    <row r="103" spans="1:8" x14ac:dyDescent="0.25">
      <c r="A103" t="s">
        <v>742</v>
      </c>
      <c r="B103">
        <v>5</v>
      </c>
      <c r="C103">
        <v>7</v>
      </c>
      <c r="D103" s="21">
        <v>318407.55</v>
      </c>
      <c r="E103" s="21">
        <v>92964.44</v>
      </c>
      <c r="F103" s="2">
        <v>4.4000000000000004</v>
      </c>
      <c r="G103" s="21">
        <f>Table7[[#This Row],[Total Revenue]]/Table7[[#This Row],[Orders]]</f>
        <v>63681.509999999995</v>
      </c>
      <c r="H103" s="21" t="str">
        <f>IF(Table7[[#This Row],[Orders]]=1,"New",IF(Table7[[#This Row],[Orders]]&lt;=3,"Returning","Loyal"))</f>
        <v>Loyal</v>
      </c>
    </row>
    <row r="104" spans="1:8" x14ac:dyDescent="0.25">
      <c r="A104" t="s">
        <v>1872</v>
      </c>
      <c r="B104">
        <v>2</v>
      </c>
      <c r="C104">
        <v>4</v>
      </c>
      <c r="D104" s="21">
        <v>112196.4</v>
      </c>
      <c r="E104" s="21">
        <v>27193.5</v>
      </c>
      <c r="F104" s="2">
        <v>4</v>
      </c>
      <c r="G104" s="21">
        <f>Table7[[#This Row],[Total Revenue]]/Table7[[#This Row],[Orders]]</f>
        <v>56098.2</v>
      </c>
      <c r="H104" s="21" t="str">
        <f>IF(Table7[[#This Row],[Orders]]=1,"New",IF(Table7[[#This Row],[Orders]]&lt;=3,"Returning","Loyal"))</f>
        <v>Returning</v>
      </c>
    </row>
    <row r="105" spans="1:8" x14ac:dyDescent="0.25">
      <c r="A105" t="s">
        <v>2183</v>
      </c>
      <c r="B105">
        <v>1</v>
      </c>
      <c r="C105">
        <v>3</v>
      </c>
      <c r="D105" s="21">
        <v>167631</v>
      </c>
      <c r="E105" s="21">
        <v>72769.320000000007</v>
      </c>
      <c r="F105" s="2">
        <v>5</v>
      </c>
      <c r="G105" s="21">
        <f>Table7[[#This Row],[Total Revenue]]/Table7[[#This Row],[Orders]]</f>
        <v>167631</v>
      </c>
      <c r="H105" s="21" t="str">
        <f>IF(Table7[[#This Row],[Orders]]=1,"New",IF(Table7[[#This Row],[Orders]]&lt;=3,"Returning","Loyal"))</f>
        <v>New</v>
      </c>
    </row>
    <row r="106" spans="1:8" x14ac:dyDescent="0.25">
      <c r="A106" t="s">
        <v>85</v>
      </c>
      <c r="B106">
        <v>4</v>
      </c>
      <c r="C106">
        <v>6</v>
      </c>
      <c r="D106" s="21">
        <v>106572</v>
      </c>
      <c r="E106" s="21">
        <v>26255.999999999996</v>
      </c>
      <c r="F106" s="2">
        <v>3.25</v>
      </c>
      <c r="G106" s="21">
        <f>Table7[[#This Row],[Total Revenue]]/Table7[[#This Row],[Orders]]</f>
        <v>26643</v>
      </c>
      <c r="H106" s="21" t="str">
        <f>IF(Table7[[#This Row],[Orders]]=1,"New",IF(Table7[[#This Row],[Orders]]&lt;=3,"Returning","Loyal"))</f>
        <v>Loyal</v>
      </c>
    </row>
    <row r="107" spans="1:8" x14ac:dyDescent="0.25">
      <c r="A107" t="s">
        <v>215</v>
      </c>
      <c r="B107">
        <v>5</v>
      </c>
      <c r="C107">
        <v>8</v>
      </c>
      <c r="D107" s="21">
        <v>265808.25</v>
      </c>
      <c r="E107" s="21">
        <v>106295.16</v>
      </c>
      <c r="F107" s="2">
        <v>3</v>
      </c>
      <c r="G107" s="21">
        <f>Table7[[#This Row],[Total Revenue]]/Table7[[#This Row],[Orders]]</f>
        <v>53161.65</v>
      </c>
      <c r="H107" s="21" t="str">
        <f>IF(Table7[[#This Row],[Orders]]=1,"New",IF(Table7[[#This Row],[Orders]]&lt;=3,"Returning","Loyal"))</f>
        <v>Loyal</v>
      </c>
    </row>
    <row r="108" spans="1:8" x14ac:dyDescent="0.25">
      <c r="A108" t="s">
        <v>364</v>
      </c>
      <c r="B108">
        <v>6</v>
      </c>
      <c r="C108">
        <v>11</v>
      </c>
      <c r="D108" s="21">
        <v>247497.05</v>
      </c>
      <c r="E108" s="21">
        <v>88041.629999999976</v>
      </c>
      <c r="F108" s="2">
        <v>4.2</v>
      </c>
      <c r="G108" s="21">
        <f>Table7[[#This Row],[Total Revenue]]/Table7[[#This Row],[Orders]]</f>
        <v>41249.508333333331</v>
      </c>
      <c r="H108" s="21" t="str">
        <f>IF(Table7[[#This Row],[Orders]]=1,"New",IF(Table7[[#This Row],[Orders]]&lt;=3,"Returning","Loyal"))</f>
        <v>Loyal</v>
      </c>
    </row>
    <row r="109" spans="1:8" x14ac:dyDescent="0.25">
      <c r="A109" t="s">
        <v>327</v>
      </c>
      <c r="B109">
        <v>3</v>
      </c>
      <c r="C109">
        <v>3</v>
      </c>
      <c r="D109" s="21">
        <v>103783.25</v>
      </c>
      <c r="E109" s="21">
        <v>33647.94</v>
      </c>
      <c r="F109" s="2">
        <v>3</v>
      </c>
      <c r="G109" s="21">
        <f>Table7[[#This Row],[Total Revenue]]/Table7[[#This Row],[Orders]]</f>
        <v>34594.416666666664</v>
      </c>
      <c r="H109" s="21" t="str">
        <f>IF(Table7[[#This Row],[Orders]]=1,"New",IF(Table7[[#This Row],[Orders]]&lt;=3,"Returning","Loyal"))</f>
        <v>Returning</v>
      </c>
    </row>
    <row r="110" spans="1:8" x14ac:dyDescent="0.25">
      <c r="A110" t="s">
        <v>824</v>
      </c>
      <c r="B110">
        <v>1</v>
      </c>
      <c r="C110">
        <v>1</v>
      </c>
      <c r="D110" s="21">
        <v>3577.6</v>
      </c>
      <c r="E110" s="21">
        <v>1141.25</v>
      </c>
      <c r="F110" s="2">
        <v>1</v>
      </c>
      <c r="G110" s="21">
        <f>Table7[[#This Row],[Total Revenue]]/Table7[[#This Row],[Orders]]</f>
        <v>3577.6</v>
      </c>
      <c r="H110" s="21" t="str">
        <f>IF(Table7[[#This Row],[Orders]]=1,"New",IF(Table7[[#This Row],[Orders]]&lt;=3,"Returning","Loyal"))</f>
        <v>New</v>
      </c>
    </row>
    <row r="111" spans="1:8" x14ac:dyDescent="0.25">
      <c r="A111" t="s">
        <v>2264</v>
      </c>
      <c r="B111">
        <v>1</v>
      </c>
      <c r="C111">
        <v>3</v>
      </c>
      <c r="D111" s="21">
        <v>33165.449999999997</v>
      </c>
      <c r="E111" s="21">
        <v>12504.8</v>
      </c>
      <c r="G111" s="21">
        <f>Table7[[#This Row],[Total Revenue]]/Table7[[#This Row],[Orders]]</f>
        <v>33165.449999999997</v>
      </c>
      <c r="H111" s="21" t="str">
        <f>IF(Table7[[#This Row],[Orders]]=1,"New",IF(Table7[[#This Row],[Orders]]&lt;=3,"Returning","Loyal"))</f>
        <v>New</v>
      </c>
    </row>
    <row r="112" spans="1:8" x14ac:dyDescent="0.25">
      <c r="A112" t="s">
        <v>1212</v>
      </c>
      <c r="B112">
        <v>2</v>
      </c>
      <c r="C112">
        <v>2</v>
      </c>
      <c r="D112" s="21">
        <v>16420.5</v>
      </c>
      <c r="E112" s="21">
        <v>5767.27</v>
      </c>
      <c r="F112" s="2">
        <v>5</v>
      </c>
      <c r="G112" s="21">
        <f>Table7[[#This Row],[Total Revenue]]/Table7[[#This Row],[Orders]]</f>
        <v>8210.25</v>
      </c>
      <c r="H112" s="21" t="str">
        <f>IF(Table7[[#This Row],[Orders]]=1,"New",IF(Table7[[#This Row],[Orders]]&lt;=3,"Returning","Loyal"))</f>
        <v>Returning</v>
      </c>
    </row>
    <row r="113" spans="1:8" x14ac:dyDescent="0.25">
      <c r="A113" t="s">
        <v>553</v>
      </c>
      <c r="B113">
        <v>3</v>
      </c>
      <c r="C113">
        <v>3</v>
      </c>
      <c r="D113" s="21">
        <v>121969.20000000001</v>
      </c>
      <c r="E113" s="21">
        <v>35419.240000000005</v>
      </c>
      <c r="F113" s="2">
        <v>3.5</v>
      </c>
      <c r="G113" s="21">
        <f>Table7[[#This Row],[Total Revenue]]/Table7[[#This Row],[Orders]]</f>
        <v>40656.400000000001</v>
      </c>
      <c r="H113" s="21" t="str">
        <f>IF(Table7[[#This Row],[Orders]]=1,"New",IF(Table7[[#This Row],[Orders]]&lt;=3,"Returning","Loyal"))</f>
        <v>Returning</v>
      </c>
    </row>
    <row r="114" spans="1:8" x14ac:dyDescent="0.25">
      <c r="A114" t="s">
        <v>925</v>
      </c>
      <c r="B114">
        <v>2</v>
      </c>
      <c r="C114">
        <v>3</v>
      </c>
      <c r="D114" s="21">
        <v>101888.2</v>
      </c>
      <c r="E114" s="21">
        <v>32655.25</v>
      </c>
      <c r="F114" s="2">
        <v>5</v>
      </c>
      <c r="G114" s="21">
        <f>Table7[[#This Row],[Total Revenue]]/Table7[[#This Row],[Orders]]</f>
        <v>50944.1</v>
      </c>
      <c r="H114" s="21" t="str">
        <f>IF(Table7[[#This Row],[Orders]]=1,"New",IF(Table7[[#This Row],[Orders]]&lt;=3,"Returning","Loyal"))</f>
        <v>Returning</v>
      </c>
    </row>
    <row r="115" spans="1:8" x14ac:dyDescent="0.25">
      <c r="A115" t="s">
        <v>2429</v>
      </c>
      <c r="B115">
        <v>1</v>
      </c>
      <c r="C115">
        <v>3</v>
      </c>
      <c r="D115" s="21">
        <v>104646.9</v>
      </c>
      <c r="E115" s="21">
        <v>33087.839999999997</v>
      </c>
      <c r="G115" s="21">
        <f>Table7[[#This Row],[Total Revenue]]/Table7[[#This Row],[Orders]]</f>
        <v>104646.9</v>
      </c>
      <c r="H115" s="21" t="str">
        <f>IF(Table7[[#This Row],[Orders]]=1,"New",IF(Table7[[#This Row],[Orders]]&lt;=3,"Returning","Loyal"))</f>
        <v>New</v>
      </c>
    </row>
    <row r="116" spans="1:8" x14ac:dyDescent="0.25">
      <c r="A116" t="s">
        <v>643</v>
      </c>
      <c r="B116">
        <v>3</v>
      </c>
      <c r="C116">
        <v>5</v>
      </c>
      <c r="D116" s="21">
        <v>126215</v>
      </c>
      <c r="E116" s="21">
        <v>38106.199999999997</v>
      </c>
      <c r="F116" s="2">
        <v>3</v>
      </c>
      <c r="G116" s="21">
        <f>Table7[[#This Row],[Total Revenue]]/Table7[[#This Row],[Orders]]</f>
        <v>42071.666666666664</v>
      </c>
      <c r="H116" s="21" t="str">
        <f>IF(Table7[[#This Row],[Orders]]=1,"New",IF(Table7[[#This Row],[Orders]]&lt;=3,"Returning","Loyal"))</f>
        <v>Returning</v>
      </c>
    </row>
    <row r="117" spans="1:8" x14ac:dyDescent="0.25">
      <c r="A117" t="s">
        <v>345</v>
      </c>
      <c r="B117">
        <v>5</v>
      </c>
      <c r="C117">
        <v>7</v>
      </c>
      <c r="D117" s="21">
        <v>316719.7</v>
      </c>
      <c r="E117" s="21">
        <v>107469.84</v>
      </c>
      <c r="F117" s="2">
        <v>2.4</v>
      </c>
      <c r="G117" s="21">
        <f>Table7[[#This Row],[Total Revenue]]/Table7[[#This Row],[Orders]]</f>
        <v>63343.94</v>
      </c>
      <c r="H117" s="21" t="str">
        <f>IF(Table7[[#This Row],[Orders]]=1,"New",IF(Table7[[#This Row],[Orders]]&lt;=3,"Returning","Loyal"))</f>
        <v>Loyal</v>
      </c>
    </row>
    <row r="118" spans="1:8" x14ac:dyDescent="0.25">
      <c r="A118" t="s">
        <v>1891</v>
      </c>
      <c r="B118">
        <v>2</v>
      </c>
      <c r="C118">
        <v>2</v>
      </c>
      <c r="D118" s="21">
        <v>22420.799999999999</v>
      </c>
      <c r="E118" s="21">
        <v>8348.3499999999985</v>
      </c>
      <c r="F118" s="2">
        <v>4</v>
      </c>
      <c r="G118" s="21">
        <f>Table7[[#This Row],[Total Revenue]]/Table7[[#This Row],[Orders]]</f>
        <v>11210.4</v>
      </c>
      <c r="H118" s="21" t="str">
        <f>IF(Table7[[#This Row],[Orders]]=1,"New",IF(Table7[[#This Row],[Orders]]&lt;=3,"Returning","Loyal"))</f>
        <v>Returning</v>
      </c>
    </row>
    <row r="119" spans="1:8" x14ac:dyDescent="0.25">
      <c r="A119" t="s">
        <v>629</v>
      </c>
      <c r="B119">
        <v>4</v>
      </c>
      <c r="C119">
        <v>7</v>
      </c>
      <c r="D119" s="21">
        <v>175275.6</v>
      </c>
      <c r="E119" s="21">
        <v>64229.15</v>
      </c>
      <c r="F119" s="2">
        <v>3.75</v>
      </c>
      <c r="G119" s="21">
        <f>Table7[[#This Row],[Total Revenue]]/Table7[[#This Row],[Orders]]</f>
        <v>43818.9</v>
      </c>
      <c r="H119" s="21" t="str">
        <f>IF(Table7[[#This Row],[Orders]]=1,"New",IF(Table7[[#This Row],[Orders]]&lt;=3,"Returning","Loyal"))</f>
        <v>Loyal</v>
      </c>
    </row>
    <row r="120" spans="1:8" x14ac:dyDescent="0.25">
      <c r="A120" t="s">
        <v>737</v>
      </c>
      <c r="B120">
        <v>4</v>
      </c>
      <c r="C120">
        <v>9</v>
      </c>
      <c r="D120" s="21">
        <v>275011.59999999998</v>
      </c>
      <c r="E120" s="21">
        <v>66321.759999999995</v>
      </c>
      <c r="F120" s="2">
        <v>3.75</v>
      </c>
      <c r="G120" s="21">
        <f>Table7[[#This Row],[Total Revenue]]/Table7[[#This Row],[Orders]]</f>
        <v>68752.899999999994</v>
      </c>
      <c r="H120" s="21" t="str">
        <f>IF(Table7[[#This Row],[Orders]]=1,"New",IF(Table7[[#This Row],[Orders]]&lt;=3,"Returning","Loyal"))</f>
        <v>Loyal</v>
      </c>
    </row>
    <row r="121" spans="1:8" x14ac:dyDescent="0.25">
      <c r="A121" t="s">
        <v>1358</v>
      </c>
      <c r="B121">
        <v>2</v>
      </c>
      <c r="C121">
        <v>4</v>
      </c>
      <c r="D121" s="21">
        <v>263142</v>
      </c>
      <c r="E121" s="21">
        <v>101397.26</v>
      </c>
      <c r="F121" s="2">
        <v>5</v>
      </c>
      <c r="G121" s="21">
        <f>Table7[[#This Row],[Total Revenue]]/Table7[[#This Row],[Orders]]</f>
        <v>131571</v>
      </c>
      <c r="H121" s="21" t="str">
        <f>IF(Table7[[#This Row],[Orders]]=1,"New",IF(Table7[[#This Row],[Orders]]&lt;=3,"Returning","Loyal"))</f>
        <v>Returning</v>
      </c>
    </row>
    <row r="122" spans="1:8" x14ac:dyDescent="0.25">
      <c r="A122" t="s">
        <v>458</v>
      </c>
      <c r="B122">
        <v>2</v>
      </c>
      <c r="C122">
        <v>4</v>
      </c>
      <c r="D122" s="21">
        <v>70502.399999999994</v>
      </c>
      <c r="E122" s="21">
        <v>28809.83</v>
      </c>
      <c r="F122" s="2">
        <v>3</v>
      </c>
      <c r="G122" s="21">
        <f>Table7[[#This Row],[Total Revenue]]/Table7[[#This Row],[Orders]]</f>
        <v>35251.199999999997</v>
      </c>
      <c r="H122" s="21" t="str">
        <f>IF(Table7[[#This Row],[Orders]]=1,"New",IF(Table7[[#This Row],[Orders]]&lt;=3,"Returning","Loyal"))</f>
        <v>Returning</v>
      </c>
    </row>
    <row r="123" spans="1:8" x14ac:dyDescent="0.25">
      <c r="A123" t="s">
        <v>1112</v>
      </c>
      <c r="B123">
        <v>3</v>
      </c>
      <c r="C123">
        <v>8</v>
      </c>
      <c r="D123" s="21">
        <v>143695.4</v>
      </c>
      <c r="E123" s="21">
        <v>39702.479999999996</v>
      </c>
      <c r="F123" s="2">
        <v>5</v>
      </c>
      <c r="G123" s="21">
        <f>Table7[[#This Row],[Total Revenue]]/Table7[[#This Row],[Orders]]</f>
        <v>47898.466666666667</v>
      </c>
      <c r="H123" s="21" t="str">
        <f>IF(Table7[[#This Row],[Orders]]=1,"New",IF(Table7[[#This Row],[Orders]]&lt;=3,"Returning","Loyal"))</f>
        <v>Returning</v>
      </c>
    </row>
    <row r="124" spans="1:8" x14ac:dyDescent="0.25">
      <c r="A124" t="s">
        <v>93</v>
      </c>
      <c r="B124">
        <v>3</v>
      </c>
      <c r="C124">
        <v>7</v>
      </c>
      <c r="D124" s="21">
        <v>102291.6</v>
      </c>
      <c r="E124" s="21">
        <v>21348.48</v>
      </c>
      <c r="F124" s="2">
        <v>4</v>
      </c>
      <c r="G124" s="21">
        <f>Table7[[#This Row],[Total Revenue]]/Table7[[#This Row],[Orders]]</f>
        <v>34097.200000000004</v>
      </c>
      <c r="H124" s="21" t="str">
        <f>IF(Table7[[#This Row],[Orders]]=1,"New",IF(Table7[[#This Row],[Orders]]&lt;=3,"Returning","Loyal"))</f>
        <v>Returning</v>
      </c>
    </row>
    <row r="125" spans="1:8" x14ac:dyDescent="0.25">
      <c r="A125" t="s">
        <v>704</v>
      </c>
      <c r="B125">
        <v>1</v>
      </c>
      <c r="C125">
        <v>2</v>
      </c>
      <c r="D125" s="21">
        <v>19028</v>
      </c>
      <c r="E125" s="21">
        <v>5224.5200000000004</v>
      </c>
      <c r="F125" s="2">
        <v>1</v>
      </c>
      <c r="G125" s="21">
        <f>Table7[[#This Row],[Total Revenue]]/Table7[[#This Row],[Orders]]</f>
        <v>19028</v>
      </c>
      <c r="H125" s="21" t="str">
        <f>IF(Table7[[#This Row],[Orders]]=1,"New",IF(Table7[[#This Row],[Orders]]&lt;=3,"Returning","Loyal"))</f>
        <v>New</v>
      </c>
    </row>
    <row r="126" spans="1:8" x14ac:dyDescent="0.25">
      <c r="A126" t="s">
        <v>1591</v>
      </c>
      <c r="B126">
        <v>3</v>
      </c>
      <c r="C126">
        <v>6</v>
      </c>
      <c r="D126" s="21">
        <v>450339</v>
      </c>
      <c r="E126" s="21">
        <v>155032.51</v>
      </c>
      <c r="F126" s="2">
        <v>4</v>
      </c>
      <c r="G126" s="21">
        <f>Table7[[#This Row],[Total Revenue]]/Table7[[#This Row],[Orders]]</f>
        <v>150113</v>
      </c>
      <c r="H126" s="21" t="str">
        <f>IF(Table7[[#This Row],[Orders]]=1,"New",IF(Table7[[#This Row],[Orders]]&lt;=3,"Returning","Loyal"))</f>
        <v>Returning</v>
      </c>
    </row>
    <row r="127" spans="1:8" x14ac:dyDescent="0.25">
      <c r="A127" t="s">
        <v>1623</v>
      </c>
      <c r="B127">
        <v>3</v>
      </c>
      <c r="C127">
        <v>6</v>
      </c>
      <c r="D127" s="21">
        <v>234487.35</v>
      </c>
      <c r="E127" s="21">
        <v>81952.969999999987</v>
      </c>
      <c r="F127" s="2">
        <v>3.5</v>
      </c>
      <c r="G127" s="21">
        <f>Table7[[#This Row],[Total Revenue]]/Table7[[#This Row],[Orders]]</f>
        <v>78162.45</v>
      </c>
      <c r="H127" s="21" t="str">
        <f>IF(Table7[[#This Row],[Orders]]=1,"New",IF(Table7[[#This Row],[Orders]]&lt;=3,"Returning","Loyal"))</f>
        <v>Returning</v>
      </c>
    </row>
    <row r="128" spans="1:8" x14ac:dyDescent="0.25">
      <c r="A128" t="s">
        <v>2070</v>
      </c>
      <c r="B128">
        <v>1</v>
      </c>
      <c r="C128">
        <v>1</v>
      </c>
      <c r="D128" s="21">
        <v>43567.6</v>
      </c>
      <c r="E128" s="21">
        <v>11793.79</v>
      </c>
      <c r="F128" s="2">
        <v>5</v>
      </c>
      <c r="G128" s="21">
        <f>Table7[[#This Row],[Total Revenue]]/Table7[[#This Row],[Orders]]</f>
        <v>43567.6</v>
      </c>
      <c r="H128" s="21" t="str">
        <f>IF(Table7[[#This Row],[Orders]]=1,"New",IF(Table7[[#This Row],[Orders]]&lt;=3,"Returning","Loyal"))</f>
        <v>New</v>
      </c>
    </row>
    <row r="129" spans="1:8" x14ac:dyDescent="0.25">
      <c r="A129" t="s">
        <v>990</v>
      </c>
      <c r="B129">
        <v>4</v>
      </c>
      <c r="C129">
        <v>8</v>
      </c>
      <c r="D129" s="21">
        <v>358037.25</v>
      </c>
      <c r="E129" s="21">
        <v>117413.33</v>
      </c>
      <c r="F129" s="2">
        <v>4.5</v>
      </c>
      <c r="G129" s="21">
        <f>Table7[[#This Row],[Total Revenue]]/Table7[[#This Row],[Orders]]</f>
        <v>89509.3125</v>
      </c>
      <c r="H129" s="21" t="str">
        <f>IF(Table7[[#This Row],[Orders]]=1,"New",IF(Table7[[#This Row],[Orders]]&lt;=3,"Returning","Loyal"))</f>
        <v>Loyal</v>
      </c>
    </row>
    <row r="130" spans="1:8" x14ac:dyDescent="0.25">
      <c r="A130" t="s">
        <v>1972</v>
      </c>
      <c r="B130">
        <v>3</v>
      </c>
      <c r="C130">
        <v>4</v>
      </c>
      <c r="D130" s="21">
        <v>186247.7</v>
      </c>
      <c r="E130" s="21">
        <v>59875.4</v>
      </c>
      <c r="F130" s="2">
        <v>5</v>
      </c>
      <c r="G130" s="21">
        <f>Table7[[#This Row],[Total Revenue]]/Table7[[#This Row],[Orders]]</f>
        <v>62082.566666666673</v>
      </c>
      <c r="H130" s="21" t="str">
        <f>IF(Table7[[#This Row],[Orders]]=1,"New",IF(Table7[[#This Row],[Orders]]&lt;=3,"Returning","Loyal"))</f>
        <v>Returning</v>
      </c>
    </row>
    <row r="131" spans="1:8" x14ac:dyDescent="0.25">
      <c r="A131" t="s">
        <v>58</v>
      </c>
      <c r="B131">
        <v>2</v>
      </c>
      <c r="C131">
        <v>2</v>
      </c>
      <c r="D131" s="21">
        <v>145667</v>
      </c>
      <c r="E131" s="21">
        <v>52437.03</v>
      </c>
      <c r="F131" s="2">
        <v>3.5</v>
      </c>
      <c r="G131" s="21">
        <f>Table7[[#This Row],[Total Revenue]]/Table7[[#This Row],[Orders]]</f>
        <v>72833.5</v>
      </c>
      <c r="H131" s="21" t="str">
        <f>IF(Table7[[#This Row],[Orders]]=1,"New",IF(Table7[[#This Row],[Orders]]&lt;=3,"Returning","Loyal"))</f>
        <v>Returning</v>
      </c>
    </row>
    <row r="132" spans="1:8" x14ac:dyDescent="0.25">
      <c r="A132" t="s">
        <v>353</v>
      </c>
      <c r="B132">
        <v>1</v>
      </c>
      <c r="C132">
        <v>3</v>
      </c>
      <c r="D132" s="21">
        <v>119572.2</v>
      </c>
      <c r="E132" s="21">
        <v>34070.089999999997</v>
      </c>
      <c r="F132" s="2">
        <v>4</v>
      </c>
      <c r="G132" s="21">
        <f>Table7[[#This Row],[Total Revenue]]/Table7[[#This Row],[Orders]]</f>
        <v>119572.2</v>
      </c>
      <c r="H132" s="21" t="str">
        <f>IF(Table7[[#This Row],[Orders]]=1,"New",IF(Table7[[#This Row],[Orders]]&lt;=3,"Returning","Loyal"))</f>
        <v>New</v>
      </c>
    </row>
    <row r="133" spans="1:8" x14ac:dyDescent="0.25">
      <c r="A133" t="s">
        <v>1192</v>
      </c>
      <c r="B133">
        <v>1</v>
      </c>
      <c r="C133">
        <v>1</v>
      </c>
      <c r="D133" s="21">
        <v>10747.5</v>
      </c>
      <c r="E133" s="21">
        <v>2090.4699999999998</v>
      </c>
      <c r="F133" s="2">
        <v>5</v>
      </c>
      <c r="G133" s="21">
        <f>Table7[[#This Row],[Total Revenue]]/Table7[[#This Row],[Orders]]</f>
        <v>10747.5</v>
      </c>
      <c r="H133" s="21" t="str">
        <f>IF(Table7[[#This Row],[Orders]]=1,"New",IF(Table7[[#This Row],[Orders]]&lt;=3,"Returning","Loyal"))</f>
        <v>New</v>
      </c>
    </row>
    <row r="134" spans="1:8" x14ac:dyDescent="0.25">
      <c r="A134" t="s">
        <v>394</v>
      </c>
      <c r="B134">
        <v>4</v>
      </c>
      <c r="C134">
        <v>6</v>
      </c>
      <c r="D134" s="21">
        <v>209428.9</v>
      </c>
      <c r="E134" s="21">
        <v>57051.92</v>
      </c>
      <c r="F134" s="2">
        <v>3</v>
      </c>
      <c r="G134" s="21">
        <f>Table7[[#This Row],[Total Revenue]]/Table7[[#This Row],[Orders]]</f>
        <v>52357.224999999999</v>
      </c>
      <c r="H134" s="21" t="str">
        <f>IF(Table7[[#This Row],[Orders]]=1,"New",IF(Table7[[#This Row],[Orders]]&lt;=3,"Returning","Loyal"))</f>
        <v>Loyal</v>
      </c>
    </row>
    <row r="135" spans="1:8" x14ac:dyDescent="0.25">
      <c r="A135" t="s">
        <v>1870</v>
      </c>
      <c r="B135">
        <v>2</v>
      </c>
      <c r="C135">
        <v>4</v>
      </c>
      <c r="D135" s="21">
        <v>45388.65</v>
      </c>
      <c r="E135" s="21">
        <v>15158.769999999999</v>
      </c>
      <c r="F135" s="2">
        <v>5</v>
      </c>
      <c r="G135" s="21">
        <f>Table7[[#This Row],[Total Revenue]]/Table7[[#This Row],[Orders]]</f>
        <v>22694.325000000001</v>
      </c>
      <c r="H135" s="21" t="str">
        <f>IF(Table7[[#This Row],[Orders]]=1,"New",IF(Table7[[#This Row],[Orders]]&lt;=3,"Returning","Loyal"))</f>
        <v>Returning</v>
      </c>
    </row>
    <row r="136" spans="1:8" x14ac:dyDescent="0.25">
      <c r="A136" t="s">
        <v>524</v>
      </c>
      <c r="B136">
        <v>3</v>
      </c>
      <c r="C136">
        <v>5</v>
      </c>
      <c r="D136" s="21">
        <v>134291.70000000001</v>
      </c>
      <c r="E136" s="21">
        <v>33535.72</v>
      </c>
      <c r="F136" s="2">
        <v>4.666666666666667</v>
      </c>
      <c r="G136" s="21">
        <f>Table7[[#This Row],[Total Revenue]]/Table7[[#This Row],[Orders]]</f>
        <v>44763.9</v>
      </c>
      <c r="H136" s="21" t="str">
        <f>IF(Table7[[#This Row],[Orders]]=1,"New",IF(Table7[[#This Row],[Orders]]&lt;=3,"Returning","Loyal"))</f>
        <v>Returning</v>
      </c>
    </row>
    <row r="137" spans="1:8" x14ac:dyDescent="0.25">
      <c r="A137" t="s">
        <v>1703</v>
      </c>
      <c r="B137">
        <v>1</v>
      </c>
      <c r="C137">
        <v>1</v>
      </c>
      <c r="D137" s="21">
        <v>5078.7</v>
      </c>
      <c r="E137" s="21">
        <v>1744.61</v>
      </c>
      <c r="F137" s="2">
        <v>5</v>
      </c>
      <c r="G137" s="21">
        <f>Table7[[#This Row],[Total Revenue]]/Table7[[#This Row],[Orders]]</f>
        <v>5078.7</v>
      </c>
      <c r="H137" s="21" t="str">
        <f>IF(Table7[[#This Row],[Orders]]=1,"New",IF(Table7[[#This Row],[Orders]]&lt;=3,"Returning","Loyal"))</f>
        <v>New</v>
      </c>
    </row>
    <row r="138" spans="1:8" x14ac:dyDescent="0.25">
      <c r="A138" t="s">
        <v>417</v>
      </c>
      <c r="B138">
        <v>4</v>
      </c>
      <c r="C138">
        <v>8</v>
      </c>
      <c r="D138" s="21">
        <v>200271.5</v>
      </c>
      <c r="E138" s="21">
        <v>50016.78</v>
      </c>
      <c r="F138" s="2">
        <v>3.3333333333333335</v>
      </c>
      <c r="G138" s="21">
        <f>Table7[[#This Row],[Total Revenue]]/Table7[[#This Row],[Orders]]</f>
        <v>50067.875</v>
      </c>
      <c r="H138" s="21" t="str">
        <f>IF(Table7[[#This Row],[Orders]]=1,"New",IF(Table7[[#This Row],[Orders]]&lt;=3,"Returning","Loyal"))</f>
        <v>Loyal</v>
      </c>
    </row>
    <row r="139" spans="1:8" x14ac:dyDescent="0.25">
      <c r="A139" t="s">
        <v>1300</v>
      </c>
      <c r="B139">
        <v>3</v>
      </c>
      <c r="C139">
        <v>3</v>
      </c>
      <c r="D139" s="21">
        <v>69890.600000000006</v>
      </c>
      <c r="E139" s="21">
        <v>26323.35</v>
      </c>
      <c r="F139" s="2">
        <v>4</v>
      </c>
      <c r="G139" s="21">
        <f>Table7[[#This Row],[Total Revenue]]/Table7[[#This Row],[Orders]]</f>
        <v>23296.866666666669</v>
      </c>
      <c r="H139" s="21" t="str">
        <f>IF(Table7[[#This Row],[Orders]]=1,"New",IF(Table7[[#This Row],[Orders]]&lt;=3,"Returning","Loyal"))</f>
        <v>Returning</v>
      </c>
    </row>
    <row r="140" spans="1:8" x14ac:dyDescent="0.25">
      <c r="A140" t="s">
        <v>329</v>
      </c>
      <c r="B140">
        <v>2</v>
      </c>
      <c r="C140">
        <v>3</v>
      </c>
      <c r="D140" s="21">
        <v>73183.75</v>
      </c>
      <c r="E140" s="21">
        <v>28090.68</v>
      </c>
      <c r="F140" s="2">
        <v>5</v>
      </c>
      <c r="G140" s="21">
        <f>Table7[[#This Row],[Total Revenue]]/Table7[[#This Row],[Orders]]</f>
        <v>36591.875</v>
      </c>
      <c r="H140" s="21" t="str">
        <f>IF(Table7[[#This Row],[Orders]]=1,"New",IF(Table7[[#This Row],[Orders]]&lt;=3,"Returning","Loyal"))</f>
        <v>Returning</v>
      </c>
    </row>
    <row r="141" spans="1:8" x14ac:dyDescent="0.25">
      <c r="A141" t="s">
        <v>535</v>
      </c>
      <c r="B141">
        <v>6</v>
      </c>
      <c r="C141">
        <v>11</v>
      </c>
      <c r="D141" s="21">
        <v>433933.9</v>
      </c>
      <c r="E141" s="21">
        <v>136419.22999999998</v>
      </c>
      <c r="F141" s="2">
        <v>2.8</v>
      </c>
      <c r="G141" s="21">
        <f>Table7[[#This Row],[Total Revenue]]/Table7[[#This Row],[Orders]]</f>
        <v>72322.316666666666</v>
      </c>
      <c r="H141" s="21" t="str">
        <f>IF(Table7[[#This Row],[Orders]]=1,"New",IF(Table7[[#This Row],[Orders]]&lt;=3,"Returning","Loyal"))</f>
        <v>Loyal</v>
      </c>
    </row>
    <row r="142" spans="1:8" x14ac:dyDescent="0.25">
      <c r="A142" t="s">
        <v>1009</v>
      </c>
      <c r="B142">
        <v>2</v>
      </c>
      <c r="C142">
        <v>4</v>
      </c>
      <c r="D142" s="21">
        <v>316833</v>
      </c>
      <c r="E142" s="21">
        <v>112810.22</v>
      </c>
      <c r="F142" s="2">
        <v>5</v>
      </c>
      <c r="G142" s="21">
        <f>Table7[[#This Row],[Total Revenue]]/Table7[[#This Row],[Orders]]</f>
        <v>158416.5</v>
      </c>
      <c r="H142" s="21" t="str">
        <f>IF(Table7[[#This Row],[Orders]]=1,"New",IF(Table7[[#This Row],[Orders]]&lt;=3,"Returning","Loyal"))</f>
        <v>Returning</v>
      </c>
    </row>
    <row r="143" spans="1:8" x14ac:dyDescent="0.25">
      <c r="A143" t="s">
        <v>2026</v>
      </c>
      <c r="B143">
        <v>2</v>
      </c>
      <c r="C143">
        <v>5</v>
      </c>
      <c r="D143" s="21">
        <v>46629.5</v>
      </c>
      <c r="E143" s="21">
        <v>9704.67</v>
      </c>
      <c r="F143" s="2">
        <v>4</v>
      </c>
      <c r="G143" s="21">
        <f>Table7[[#This Row],[Total Revenue]]/Table7[[#This Row],[Orders]]</f>
        <v>23314.75</v>
      </c>
      <c r="H143" s="21" t="str">
        <f>IF(Table7[[#This Row],[Orders]]=1,"New",IF(Table7[[#This Row],[Orders]]&lt;=3,"Returning","Loyal"))</f>
        <v>Returning</v>
      </c>
    </row>
    <row r="144" spans="1:8" x14ac:dyDescent="0.25">
      <c r="A144" t="s">
        <v>2036</v>
      </c>
      <c r="B144">
        <v>2</v>
      </c>
      <c r="C144">
        <v>4</v>
      </c>
      <c r="D144" s="21">
        <v>99811.1</v>
      </c>
      <c r="E144" s="21">
        <v>24354.48</v>
      </c>
      <c r="F144" s="2">
        <v>4.5</v>
      </c>
      <c r="G144" s="21">
        <f>Table7[[#This Row],[Total Revenue]]/Table7[[#This Row],[Orders]]</f>
        <v>49905.55</v>
      </c>
      <c r="H144" s="21" t="str">
        <f>IF(Table7[[#This Row],[Orders]]=1,"New",IF(Table7[[#This Row],[Orders]]&lt;=3,"Returning","Loyal"))</f>
        <v>Returning</v>
      </c>
    </row>
    <row r="145" spans="1:8" x14ac:dyDescent="0.25">
      <c r="A145" t="s">
        <v>500</v>
      </c>
      <c r="B145">
        <v>8</v>
      </c>
      <c r="C145">
        <v>14</v>
      </c>
      <c r="D145" s="21">
        <v>526750.10000000009</v>
      </c>
      <c r="E145" s="21">
        <v>191249.62999999998</v>
      </c>
      <c r="F145" s="2">
        <v>4</v>
      </c>
      <c r="G145" s="21">
        <f>Table7[[#This Row],[Total Revenue]]/Table7[[#This Row],[Orders]]</f>
        <v>65843.762500000012</v>
      </c>
      <c r="H145" s="21" t="str">
        <f>IF(Table7[[#This Row],[Orders]]=1,"New",IF(Table7[[#This Row],[Orders]]&lt;=3,"Returning","Loyal"))</f>
        <v>Loyal</v>
      </c>
    </row>
    <row r="146" spans="1:8" x14ac:dyDescent="0.25">
      <c r="A146" t="s">
        <v>372</v>
      </c>
      <c r="B146">
        <v>2</v>
      </c>
      <c r="C146">
        <v>4</v>
      </c>
      <c r="D146" s="21">
        <v>89535.75</v>
      </c>
      <c r="E146" s="21">
        <v>30349.260000000002</v>
      </c>
      <c r="F146" s="2">
        <v>4.5</v>
      </c>
      <c r="G146" s="21">
        <f>Table7[[#This Row],[Total Revenue]]/Table7[[#This Row],[Orders]]</f>
        <v>44767.875</v>
      </c>
      <c r="H146" s="21" t="str">
        <f>IF(Table7[[#This Row],[Orders]]=1,"New",IF(Table7[[#This Row],[Orders]]&lt;=3,"Returning","Loyal"))</f>
        <v>Returning</v>
      </c>
    </row>
    <row r="147" spans="1:8" x14ac:dyDescent="0.25">
      <c r="A147" t="s">
        <v>1017</v>
      </c>
      <c r="B147">
        <v>3</v>
      </c>
      <c r="C147">
        <v>5</v>
      </c>
      <c r="D147" s="21">
        <v>99113.2</v>
      </c>
      <c r="E147" s="21">
        <v>30480.02</v>
      </c>
      <c r="F147" s="2">
        <v>5</v>
      </c>
      <c r="G147" s="21">
        <f>Table7[[#This Row],[Total Revenue]]/Table7[[#This Row],[Orders]]</f>
        <v>33037.73333333333</v>
      </c>
      <c r="H147" s="21" t="str">
        <f>IF(Table7[[#This Row],[Orders]]=1,"New",IF(Table7[[#This Row],[Orders]]&lt;=3,"Returning","Loyal"))</f>
        <v>Returning</v>
      </c>
    </row>
    <row r="148" spans="1:8" x14ac:dyDescent="0.25">
      <c r="A148" t="s">
        <v>895</v>
      </c>
      <c r="B148">
        <v>3</v>
      </c>
      <c r="C148">
        <v>6</v>
      </c>
      <c r="D148" s="21">
        <v>249731.8</v>
      </c>
      <c r="E148" s="21">
        <v>63315.240000000005</v>
      </c>
      <c r="F148" s="2">
        <v>4</v>
      </c>
      <c r="G148" s="21">
        <f>Table7[[#This Row],[Total Revenue]]/Table7[[#This Row],[Orders]]</f>
        <v>83243.933333333334</v>
      </c>
      <c r="H148" s="21" t="str">
        <f>IF(Table7[[#This Row],[Orders]]=1,"New",IF(Table7[[#This Row],[Orders]]&lt;=3,"Returning","Loyal"))</f>
        <v>Returning</v>
      </c>
    </row>
    <row r="149" spans="1:8" x14ac:dyDescent="0.25">
      <c r="A149" t="s">
        <v>356</v>
      </c>
      <c r="B149">
        <v>3</v>
      </c>
      <c r="C149">
        <v>7</v>
      </c>
      <c r="D149" s="21">
        <v>296899.40000000002</v>
      </c>
      <c r="E149" s="21">
        <v>80062.449999999983</v>
      </c>
      <c r="F149" s="2">
        <v>4</v>
      </c>
      <c r="G149" s="21">
        <f>Table7[[#This Row],[Total Revenue]]/Table7[[#This Row],[Orders]]</f>
        <v>98966.466666666674</v>
      </c>
      <c r="H149" s="21" t="str">
        <f>IF(Table7[[#This Row],[Orders]]=1,"New",IF(Table7[[#This Row],[Orders]]&lt;=3,"Returning","Loyal"))</f>
        <v>Returning</v>
      </c>
    </row>
    <row r="150" spans="1:8" x14ac:dyDescent="0.25">
      <c r="A150" t="s">
        <v>687</v>
      </c>
      <c r="B150">
        <v>2</v>
      </c>
      <c r="C150">
        <v>2</v>
      </c>
      <c r="D150" s="21">
        <v>30090</v>
      </c>
      <c r="E150" s="21">
        <v>11625.939999999999</v>
      </c>
      <c r="F150" s="2">
        <v>4</v>
      </c>
      <c r="G150" s="21">
        <f>Table7[[#This Row],[Total Revenue]]/Table7[[#This Row],[Orders]]</f>
        <v>15045</v>
      </c>
      <c r="H150" s="21" t="str">
        <f>IF(Table7[[#This Row],[Orders]]=1,"New",IF(Table7[[#This Row],[Orders]]&lt;=3,"Returning","Loyal"))</f>
        <v>Returning</v>
      </c>
    </row>
    <row r="151" spans="1:8" x14ac:dyDescent="0.25">
      <c r="A151" t="s">
        <v>1033</v>
      </c>
      <c r="B151">
        <v>7</v>
      </c>
      <c r="C151">
        <v>15</v>
      </c>
      <c r="D151" s="21">
        <v>385835.9</v>
      </c>
      <c r="E151" s="21">
        <v>117564.04</v>
      </c>
      <c r="F151" s="2">
        <v>3.8571428571428572</v>
      </c>
      <c r="G151" s="21">
        <f>Table7[[#This Row],[Total Revenue]]/Table7[[#This Row],[Orders]]</f>
        <v>55119.414285714287</v>
      </c>
      <c r="H151" s="21" t="str">
        <f>IF(Table7[[#This Row],[Orders]]=1,"New",IF(Table7[[#This Row],[Orders]]&lt;=3,"Returning","Loyal"))</f>
        <v>Loyal</v>
      </c>
    </row>
    <row r="152" spans="1:8" x14ac:dyDescent="0.25">
      <c r="A152" t="s">
        <v>255</v>
      </c>
      <c r="B152">
        <v>4</v>
      </c>
      <c r="C152">
        <v>9</v>
      </c>
      <c r="D152" s="21">
        <v>369647.1</v>
      </c>
      <c r="E152" s="21">
        <v>131638.75</v>
      </c>
      <c r="F152" s="2">
        <v>3.25</v>
      </c>
      <c r="G152" s="21">
        <f>Table7[[#This Row],[Total Revenue]]/Table7[[#This Row],[Orders]]</f>
        <v>92411.774999999994</v>
      </c>
      <c r="H152" s="21" t="str">
        <f>IF(Table7[[#This Row],[Orders]]=1,"New",IF(Table7[[#This Row],[Orders]]&lt;=3,"Returning","Loyal"))</f>
        <v>Loyal</v>
      </c>
    </row>
    <row r="153" spans="1:8" x14ac:dyDescent="0.25">
      <c r="A153" t="s">
        <v>864</v>
      </c>
      <c r="B153">
        <v>3</v>
      </c>
      <c r="C153">
        <v>4</v>
      </c>
      <c r="D153" s="21">
        <v>149281.75</v>
      </c>
      <c r="E153" s="21">
        <v>40968.03</v>
      </c>
      <c r="F153" s="2">
        <v>2.3333333333333335</v>
      </c>
      <c r="G153" s="21">
        <f>Table7[[#This Row],[Total Revenue]]/Table7[[#This Row],[Orders]]</f>
        <v>49760.583333333336</v>
      </c>
      <c r="H153" s="21" t="str">
        <f>IF(Table7[[#This Row],[Orders]]=1,"New",IF(Table7[[#This Row],[Orders]]&lt;=3,"Returning","Loyal"))</f>
        <v>Returning</v>
      </c>
    </row>
    <row r="154" spans="1:8" x14ac:dyDescent="0.25">
      <c r="A154" t="s">
        <v>1405</v>
      </c>
      <c r="B154">
        <v>2</v>
      </c>
      <c r="C154">
        <v>5</v>
      </c>
      <c r="D154" s="21">
        <v>83985.95</v>
      </c>
      <c r="E154" s="21">
        <v>28554.01</v>
      </c>
      <c r="F154" s="2">
        <v>4</v>
      </c>
      <c r="G154" s="21">
        <f>Table7[[#This Row],[Total Revenue]]/Table7[[#This Row],[Orders]]</f>
        <v>41992.974999999999</v>
      </c>
      <c r="H154" s="21" t="str">
        <f>IF(Table7[[#This Row],[Orders]]=1,"New",IF(Table7[[#This Row],[Orders]]&lt;=3,"Returning","Loyal"))</f>
        <v>Returning</v>
      </c>
    </row>
    <row r="155" spans="1:8" x14ac:dyDescent="0.25">
      <c r="A155" t="s">
        <v>1223</v>
      </c>
      <c r="B155">
        <v>2</v>
      </c>
      <c r="C155">
        <v>2</v>
      </c>
      <c r="D155" s="21">
        <v>86886.6</v>
      </c>
      <c r="E155" s="21">
        <v>31056.47</v>
      </c>
      <c r="F155" s="2">
        <v>2</v>
      </c>
      <c r="G155" s="21">
        <f>Table7[[#This Row],[Total Revenue]]/Table7[[#This Row],[Orders]]</f>
        <v>43443.3</v>
      </c>
      <c r="H155" s="21" t="str">
        <f>IF(Table7[[#This Row],[Orders]]=1,"New",IF(Table7[[#This Row],[Orders]]&lt;=3,"Returning","Loyal"))</f>
        <v>Returning</v>
      </c>
    </row>
    <row r="156" spans="1:8" x14ac:dyDescent="0.25">
      <c r="A156" t="s">
        <v>789</v>
      </c>
      <c r="B156">
        <v>1</v>
      </c>
      <c r="C156">
        <v>1</v>
      </c>
      <c r="D156" s="21">
        <v>6981.3</v>
      </c>
      <c r="E156" s="21">
        <v>2326.91</v>
      </c>
      <c r="F156" s="2">
        <v>5</v>
      </c>
      <c r="G156" s="21">
        <f>Table7[[#This Row],[Total Revenue]]/Table7[[#This Row],[Orders]]</f>
        <v>6981.3</v>
      </c>
      <c r="H156" s="21" t="str">
        <f>IF(Table7[[#This Row],[Orders]]=1,"New",IF(Table7[[#This Row],[Orders]]&lt;=3,"Returning","Loyal"))</f>
        <v>New</v>
      </c>
    </row>
    <row r="157" spans="1:8" x14ac:dyDescent="0.25">
      <c r="A157" t="s">
        <v>2294</v>
      </c>
      <c r="B157">
        <v>2</v>
      </c>
      <c r="C157">
        <v>2</v>
      </c>
      <c r="D157" s="21">
        <v>44072.25</v>
      </c>
      <c r="E157" s="21">
        <v>15061.74</v>
      </c>
      <c r="F157" s="2">
        <v>4.5</v>
      </c>
      <c r="G157" s="21">
        <f>Table7[[#This Row],[Total Revenue]]/Table7[[#This Row],[Orders]]</f>
        <v>22036.125</v>
      </c>
      <c r="H157" s="21" t="str">
        <f>IF(Table7[[#This Row],[Orders]]=1,"New",IF(Table7[[#This Row],[Orders]]&lt;=3,"Returning","Loyal"))</f>
        <v>Returning</v>
      </c>
    </row>
    <row r="158" spans="1:8" x14ac:dyDescent="0.25">
      <c r="A158" t="s">
        <v>35</v>
      </c>
      <c r="B158">
        <v>4</v>
      </c>
      <c r="C158">
        <v>5</v>
      </c>
      <c r="D158" s="21">
        <v>198228.90000000002</v>
      </c>
      <c r="E158" s="21">
        <v>54906.3</v>
      </c>
      <c r="F158" s="2">
        <v>4.666666666666667</v>
      </c>
      <c r="G158" s="21">
        <f>Table7[[#This Row],[Total Revenue]]/Table7[[#This Row],[Orders]]</f>
        <v>49557.225000000006</v>
      </c>
      <c r="H158" s="21" t="str">
        <f>IF(Table7[[#This Row],[Orders]]=1,"New",IF(Table7[[#This Row],[Orders]]&lt;=3,"Returning","Loyal"))</f>
        <v>Loyal</v>
      </c>
    </row>
    <row r="159" spans="1:8" x14ac:dyDescent="0.25">
      <c r="A159" t="s">
        <v>1052</v>
      </c>
      <c r="B159">
        <v>3</v>
      </c>
      <c r="C159">
        <v>6</v>
      </c>
      <c r="D159" s="21">
        <v>320160.75</v>
      </c>
      <c r="E159" s="21">
        <v>71855.900000000009</v>
      </c>
      <c r="F159" s="2">
        <v>2.3333333333333335</v>
      </c>
      <c r="G159" s="21">
        <f>Table7[[#This Row],[Total Revenue]]/Table7[[#This Row],[Orders]]</f>
        <v>106720.25</v>
      </c>
      <c r="H159" s="21" t="str">
        <f>IF(Table7[[#This Row],[Orders]]=1,"New",IF(Table7[[#This Row],[Orders]]&lt;=3,"Returning","Loyal"))</f>
        <v>Returning</v>
      </c>
    </row>
    <row r="160" spans="1:8" x14ac:dyDescent="0.25">
      <c r="A160" t="s">
        <v>1254</v>
      </c>
      <c r="B160">
        <v>1</v>
      </c>
      <c r="C160">
        <v>1</v>
      </c>
      <c r="D160" s="21">
        <v>19133</v>
      </c>
      <c r="E160" s="21">
        <v>6981.2</v>
      </c>
      <c r="F160" s="2">
        <v>1</v>
      </c>
      <c r="G160" s="21">
        <f>Table7[[#This Row],[Total Revenue]]/Table7[[#This Row],[Orders]]</f>
        <v>19133</v>
      </c>
      <c r="H160" s="21" t="str">
        <f>IF(Table7[[#This Row],[Orders]]=1,"New",IF(Table7[[#This Row],[Orders]]&lt;=3,"Returning","Loyal"))</f>
        <v>New</v>
      </c>
    </row>
    <row r="161" spans="1:8" x14ac:dyDescent="0.25">
      <c r="A161" t="s">
        <v>2148</v>
      </c>
      <c r="B161">
        <v>1</v>
      </c>
      <c r="C161">
        <v>1</v>
      </c>
      <c r="D161" s="21">
        <v>4313.95</v>
      </c>
      <c r="E161" s="21">
        <v>1278.1500000000001</v>
      </c>
      <c r="G161" s="21">
        <f>Table7[[#This Row],[Total Revenue]]/Table7[[#This Row],[Orders]]</f>
        <v>4313.95</v>
      </c>
      <c r="H161" s="21" t="str">
        <f>IF(Table7[[#This Row],[Orders]]=1,"New",IF(Table7[[#This Row],[Orders]]&lt;=3,"Returning","Loyal"))</f>
        <v>New</v>
      </c>
    </row>
    <row r="162" spans="1:8" x14ac:dyDescent="0.25">
      <c r="A162" t="s">
        <v>274</v>
      </c>
      <c r="B162">
        <v>5</v>
      </c>
      <c r="C162">
        <v>9</v>
      </c>
      <c r="D162" s="21">
        <v>203263.40000000002</v>
      </c>
      <c r="E162" s="21">
        <v>58489.37</v>
      </c>
      <c r="F162" s="2">
        <v>4.2</v>
      </c>
      <c r="G162" s="21">
        <f>Table7[[#This Row],[Total Revenue]]/Table7[[#This Row],[Orders]]</f>
        <v>40652.680000000008</v>
      </c>
      <c r="H162" s="21" t="str">
        <f>IF(Table7[[#This Row],[Orders]]=1,"New",IF(Table7[[#This Row],[Orders]]&lt;=3,"Returning","Loyal"))</f>
        <v>Loyal</v>
      </c>
    </row>
    <row r="163" spans="1:8" x14ac:dyDescent="0.25">
      <c r="A163" t="s">
        <v>735</v>
      </c>
      <c r="B163">
        <v>1</v>
      </c>
      <c r="C163">
        <v>2</v>
      </c>
      <c r="D163" s="21">
        <v>42225.599999999999</v>
      </c>
      <c r="E163" s="21">
        <v>8111.73</v>
      </c>
      <c r="G163" s="21">
        <f>Table7[[#This Row],[Total Revenue]]/Table7[[#This Row],[Orders]]</f>
        <v>42225.599999999999</v>
      </c>
      <c r="H163" s="21" t="str">
        <f>IF(Table7[[#This Row],[Orders]]=1,"New",IF(Table7[[#This Row],[Orders]]&lt;=3,"Returning","Loyal"))</f>
        <v>New</v>
      </c>
    </row>
    <row r="164" spans="1:8" x14ac:dyDescent="0.25">
      <c r="A164" t="s">
        <v>1030</v>
      </c>
      <c r="B164">
        <v>2</v>
      </c>
      <c r="C164">
        <v>5</v>
      </c>
      <c r="D164" s="21">
        <v>162009</v>
      </c>
      <c r="E164" s="21">
        <v>53432.630000000005</v>
      </c>
      <c r="F164" s="2">
        <v>3</v>
      </c>
      <c r="G164" s="21">
        <f>Table7[[#This Row],[Total Revenue]]/Table7[[#This Row],[Orders]]</f>
        <v>81004.5</v>
      </c>
      <c r="H164" s="21" t="str">
        <f>IF(Table7[[#This Row],[Orders]]=1,"New",IF(Table7[[#This Row],[Orders]]&lt;=3,"Returning","Loyal"))</f>
        <v>Returning</v>
      </c>
    </row>
    <row r="165" spans="1:8" x14ac:dyDescent="0.25">
      <c r="A165" t="s">
        <v>1468</v>
      </c>
      <c r="B165">
        <v>2</v>
      </c>
      <c r="C165">
        <v>5</v>
      </c>
      <c r="D165" s="21">
        <v>145228</v>
      </c>
      <c r="E165" s="21">
        <v>40923.039999999994</v>
      </c>
      <c r="F165" s="2">
        <v>1.5</v>
      </c>
      <c r="G165" s="21">
        <f>Table7[[#This Row],[Total Revenue]]/Table7[[#This Row],[Orders]]</f>
        <v>72614</v>
      </c>
      <c r="H165" s="21" t="str">
        <f>IF(Table7[[#This Row],[Orders]]=1,"New",IF(Table7[[#This Row],[Orders]]&lt;=3,"Returning","Loyal"))</f>
        <v>Returning</v>
      </c>
    </row>
    <row r="166" spans="1:8" x14ac:dyDescent="0.25">
      <c r="A166" t="s">
        <v>335</v>
      </c>
      <c r="B166">
        <v>4</v>
      </c>
      <c r="C166">
        <v>7</v>
      </c>
      <c r="D166" s="21">
        <v>188364.19999999998</v>
      </c>
      <c r="E166" s="21">
        <v>57232.259999999995</v>
      </c>
      <c r="F166" s="2">
        <v>2</v>
      </c>
      <c r="G166" s="21">
        <f>Table7[[#This Row],[Total Revenue]]/Table7[[#This Row],[Orders]]</f>
        <v>47091.049999999996</v>
      </c>
      <c r="H166" s="21" t="str">
        <f>IF(Table7[[#This Row],[Orders]]=1,"New",IF(Table7[[#This Row],[Orders]]&lt;=3,"Returning","Loyal"))</f>
        <v>Loyal</v>
      </c>
    </row>
    <row r="167" spans="1:8" x14ac:dyDescent="0.25">
      <c r="A167" t="s">
        <v>892</v>
      </c>
      <c r="B167">
        <v>2</v>
      </c>
      <c r="C167">
        <v>6</v>
      </c>
      <c r="D167" s="21">
        <v>180171</v>
      </c>
      <c r="E167" s="21">
        <v>37790.239999999998</v>
      </c>
      <c r="G167" s="21">
        <f>Table7[[#This Row],[Total Revenue]]/Table7[[#This Row],[Orders]]</f>
        <v>90085.5</v>
      </c>
      <c r="H167" s="21" t="str">
        <f>IF(Table7[[#This Row],[Orders]]=1,"New",IF(Table7[[#This Row],[Orders]]&lt;=3,"Returning","Loyal"))</f>
        <v>Returning</v>
      </c>
    </row>
    <row r="168" spans="1:8" x14ac:dyDescent="0.25">
      <c r="A168" t="s">
        <v>301</v>
      </c>
      <c r="B168">
        <v>2</v>
      </c>
      <c r="C168">
        <v>2</v>
      </c>
      <c r="D168" s="21">
        <v>54647.9</v>
      </c>
      <c r="E168" s="21">
        <v>22045.48</v>
      </c>
      <c r="F168" s="2">
        <v>4</v>
      </c>
      <c r="G168" s="21">
        <f>Table7[[#This Row],[Total Revenue]]/Table7[[#This Row],[Orders]]</f>
        <v>27323.95</v>
      </c>
      <c r="H168" s="21" t="str">
        <f>IF(Table7[[#This Row],[Orders]]=1,"New",IF(Table7[[#This Row],[Orders]]&lt;=3,"Returning","Loyal"))</f>
        <v>Returning</v>
      </c>
    </row>
    <row r="169" spans="1:8" x14ac:dyDescent="0.25">
      <c r="A169" t="s">
        <v>597</v>
      </c>
      <c r="B169">
        <v>4</v>
      </c>
      <c r="C169">
        <v>7</v>
      </c>
      <c r="D169" s="21">
        <v>128051.20000000001</v>
      </c>
      <c r="E169" s="21">
        <v>32683.069999999996</v>
      </c>
      <c r="F169" s="2">
        <v>5</v>
      </c>
      <c r="G169" s="21">
        <f>Table7[[#This Row],[Total Revenue]]/Table7[[#This Row],[Orders]]</f>
        <v>32012.800000000003</v>
      </c>
      <c r="H169" s="21" t="str">
        <f>IF(Table7[[#This Row],[Orders]]=1,"New",IF(Table7[[#This Row],[Orders]]&lt;=3,"Returning","Loyal"))</f>
        <v>Loyal</v>
      </c>
    </row>
    <row r="170" spans="1:8" x14ac:dyDescent="0.25">
      <c r="A170" t="s">
        <v>253</v>
      </c>
      <c r="B170">
        <v>3</v>
      </c>
      <c r="C170">
        <v>4</v>
      </c>
      <c r="D170" s="21">
        <v>47910.600000000006</v>
      </c>
      <c r="E170" s="21">
        <v>20264.190000000002</v>
      </c>
      <c r="F170" s="2">
        <v>3.3333333333333335</v>
      </c>
      <c r="G170" s="21">
        <f>Table7[[#This Row],[Total Revenue]]/Table7[[#This Row],[Orders]]</f>
        <v>15970.200000000003</v>
      </c>
      <c r="H170" s="21" t="str">
        <f>IF(Table7[[#This Row],[Orders]]=1,"New",IF(Table7[[#This Row],[Orders]]&lt;=3,"Returning","Loyal"))</f>
        <v>Returning</v>
      </c>
    </row>
    <row r="171" spans="1:8" x14ac:dyDescent="0.25">
      <c r="A171" t="s">
        <v>802</v>
      </c>
      <c r="B171">
        <v>2</v>
      </c>
      <c r="C171">
        <v>2</v>
      </c>
      <c r="D171" s="21">
        <v>70998.2</v>
      </c>
      <c r="E171" s="21">
        <v>24888.78</v>
      </c>
      <c r="F171" s="2">
        <v>2</v>
      </c>
      <c r="G171" s="21">
        <f>Table7[[#This Row],[Total Revenue]]/Table7[[#This Row],[Orders]]</f>
        <v>35499.1</v>
      </c>
      <c r="H171" s="21" t="str">
        <f>IF(Table7[[#This Row],[Orders]]=1,"New",IF(Table7[[#This Row],[Orders]]&lt;=3,"Returning","Loyal"))</f>
        <v>Returning</v>
      </c>
    </row>
    <row r="172" spans="1:8" x14ac:dyDescent="0.25">
      <c r="A172" t="s">
        <v>714</v>
      </c>
      <c r="B172">
        <v>7</v>
      </c>
      <c r="C172">
        <v>9</v>
      </c>
      <c r="D172" s="21">
        <v>186674.55</v>
      </c>
      <c r="E172" s="21">
        <v>60053.389999999992</v>
      </c>
      <c r="F172" s="2">
        <v>3</v>
      </c>
      <c r="G172" s="21">
        <f>Table7[[#This Row],[Total Revenue]]/Table7[[#This Row],[Orders]]</f>
        <v>26667.792857142857</v>
      </c>
      <c r="H172" s="21" t="str">
        <f>IF(Table7[[#This Row],[Orders]]=1,"New",IF(Table7[[#This Row],[Orders]]&lt;=3,"Returning","Loyal"))</f>
        <v>Loyal</v>
      </c>
    </row>
    <row r="173" spans="1:8" x14ac:dyDescent="0.25">
      <c r="A173" t="s">
        <v>176</v>
      </c>
      <c r="B173">
        <v>3</v>
      </c>
      <c r="C173">
        <v>7</v>
      </c>
      <c r="D173" s="21">
        <v>353331.1</v>
      </c>
      <c r="E173" s="21">
        <v>97875.6</v>
      </c>
      <c r="F173" s="2">
        <v>4</v>
      </c>
      <c r="G173" s="21">
        <f>Table7[[#This Row],[Total Revenue]]/Table7[[#This Row],[Orders]]</f>
        <v>117777.03333333333</v>
      </c>
      <c r="H173" s="21" t="str">
        <f>IF(Table7[[#This Row],[Orders]]=1,"New",IF(Table7[[#This Row],[Orders]]&lt;=3,"Returning","Loyal"))</f>
        <v>Returning</v>
      </c>
    </row>
    <row r="174" spans="1:8" x14ac:dyDescent="0.25">
      <c r="A174" t="s">
        <v>822</v>
      </c>
      <c r="B174">
        <v>2</v>
      </c>
      <c r="C174">
        <v>2</v>
      </c>
      <c r="D174" s="21">
        <v>116793</v>
      </c>
      <c r="E174" s="21">
        <v>48864.679999999993</v>
      </c>
      <c r="F174" s="2">
        <v>5</v>
      </c>
      <c r="G174" s="21">
        <f>Table7[[#This Row],[Total Revenue]]/Table7[[#This Row],[Orders]]</f>
        <v>58396.5</v>
      </c>
      <c r="H174" s="21" t="str">
        <f>IF(Table7[[#This Row],[Orders]]=1,"New",IF(Table7[[#This Row],[Orders]]&lt;=3,"Returning","Loyal"))</f>
        <v>Returning</v>
      </c>
    </row>
    <row r="175" spans="1:8" x14ac:dyDescent="0.25">
      <c r="A175" t="s">
        <v>504</v>
      </c>
      <c r="B175">
        <v>2</v>
      </c>
      <c r="C175">
        <v>2</v>
      </c>
      <c r="D175" s="21">
        <v>63146.5</v>
      </c>
      <c r="E175" s="21">
        <v>14026.03</v>
      </c>
      <c r="F175" s="2">
        <v>5</v>
      </c>
      <c r="G175" s="21">
        <f>Table7[[#This Row],[Total Revenue]]/Table7[[#This Row],[Orders]]</f>
        <v>31573.25</v>
      </c>
      <c r="H175" s="21" t="str">
        <f>IF(Table7[[#This Row],[Orders]]=1,"New",IF(Table7[[#This Row],[Orders]]&lt;=3,"Returning","Loyal"))</f>
        <v>Returning</v>
      </c>
    </row>
    <row r="176" spans="1:8" x14ac:dyDescent="0.25">
      <c r="A176" t="s">
        <v>1097</v>
      </c>
      <c r="B176">
        <v>3</v>
      </c>
      <c r="C176">
        <v>3</v>
      </c>
      <c r="D176" s="21">
        <v>50628</v>
      </c>
      <c r="E176" s="21">
        <v>19230.309999999998</v>
      </c>
      <c r="F176" s="2">
        <v>3</v>
      </c>
      <c r="G176" s="21">
        <f>Table7[[#This Row],[Total Revenue]]/Table7[[#This Row],[Orders]]</f>
        <v>16876</v>
      </c>
      <c r="H176" s="21" t="str">
        <f>IF(Table7[[#This Row],[Orders]]=1,"New",IF(Table7[[#This Row],[Orders]]&lt;=3,"Returning","Loyal"))</f>
        <v>Returning</v>
      </c>
    </row>
    <row r="177" spans="1:8" x14ac:dyDescent="0.25">
      <c r="A177" t="s">
        <v>650</v>
      </c>
      <c r="B177">
        <v>1</v>
      </c>
      <c r="C177">
        <v>1</v>
      </c>
      <c r="D177" s="21">
        <v>21306.75</v>
      </c>
      <c r="E177" s="21">
        <v>5172.33</v>
      </c>
      <c r="F177" s="2">
        <v>3</v>
      </c>
      <c r="G177" s="21">
        <f>Table7[[#This Row],[Total Revenue]]/Table7[[#This Row],[Orders]]</f>
        <v>21306.75</v>
      </c>
      <c r="H177" s="21" t="str">
        <f>IF(Table7[[#This Row],[Orders]]=1,"New",IF(Table7[[#This Row],[Orders]]&lt;=3,"Returning","Loyal"))</f>
        <v>New</v>
      </c>
    </row>
    <row r="178" spans="1:8" x14ac:dyDescent="0.25">
      <c r="A178" t="s">
        <v>96</v>
      </c>
      <c r="B178">
        <v>5</v>
      </c>
      <c r="C178">
        <v>6</v>
      </c>
      <c r="D178" s="21">
        <v>172283.85</v>
      </c>
      <c r="E178" s="21">
        <v>50173.700000000004</v>
      </c>
      <c r="F178" s="2">
        <v>4</v>
      </c>
      <c r="G178" s="21">
        <f>Table7[[#This Row],[Total Revenue]]/Table7[[#This Row],[Orders]]</f>
        <v>34456.770000000004</v>
      </c>
      <c r="H178" s="21" t="str">
        <f>IF(Table7[[#This Row],[Orders]]=1,"New",IF(Table7[[#This Row],[Orders]]&lt;=3,"Returning","Loyal"))</f>
        <v>Loyal</v>
      </c>
    </row>
    <row r="179" spans="1:8" x14ac:dyDescent="0.25">
      <c r="A179" t="s">
        <v>1488</v>
      </c>
      <c r="B179">
        <v>4</v>
      </c>
      <c r="C179">
        <v>6</v>
      </c>
      <c r="D179" s="21">
        <v>214206.4</v>
      </c>
      <c r="E179" s="21">
        <v>65366.29</v>
      </c>
      <c r="F179" s="2">
        <v>1.5</v>
      </c>
      <c r="G179" s="21">
        <f>Table7[[#This Row],[Total Revenue]]/Table7[[#This Row],[Orders]]</f>
        <v>53551.6</v>
      </c>
      <c r="H179" s="21" t="str">
        <f>IF(Table7[[#This Row],[Orders]]=1,"New",IF(Table7[[#This Row],[Orders]]&lt;=3,"Returning","Loyal"))</f>
        <v>Loyal</v>
      </c>
    </row>
    <row r="180" spans="1:8" x14ac:dyDescent="0.25">
      <c r="A180" t="s">
        <v>1082</v>
      </c>
      <c r="B180">
        <v>3</v>
      </c>
      <c r="C180">
        <v>7</v>
      </c>
      <c r="D180" s="21">
        <v>203757</v>
      </c>
      <c r="E180" s="21">
        <v>84743.02</v>
      </c>
      <c r="F180" s="2">
        <v>2.6666666666666665</v>
      </c>
      <c r="G180" s="21">
        <f>Table7[[#This Row],[Total Revenue]]/Table7[[#This Row],[Orders]]</f>
        <v>67919</v>
      </c>
      <c r="H180" s="21" t="str">
        <f>IF(Table7[[#This Row],[Orders]]=1,"New",IF(Table7[[#This Row],[Orders]]&lt;=3,"Returning","Loyal"))</f>
        <v>Returning</v>
      </c>
    </row>
    <row r="181" spans="1:8" x14ac:dyDescent="0.25">
      <c r="A181" t="s">
        <v>1508</v>
      </c>
      <c r="B181">
        <v>1</v>
      </c>
      <c r="C181">
        <v>1</v>
      </c>
      <c r="D181" s="21">
        <v>35114.400000000001</v>
      </c>
      <c r="E181" s="21">
        <v>8150.28</v>
      </c>
      <c r="F181" s="2">
        <v>2</v>
      </c>
      <c r="G181" s="21">
        <f>Table7[[#This Row],[Total Revenue]]/Table7[[#This Row],[Orders]]</f>
        <v>35114.400000000001</v>
      </c>
      <c r="H181" s="21" t="str">
        <f>IF(Table7[[#This Row],[Orders]]=1,"New",IF(Table7[[#This Row],[Orders]]&lt;=3,"Returning","Loyal"))</f>
        <v>New</v>
      </c>
    </row>
    <row r="182" spans="1:8" x14ac:dyDescent="0.25">
      <c r="A182" t="s">
        <v>221</v>
      </c>
      <c r="B182">
        <v>6</v>
      </c>
      <c r="C182">
        <v>10</v>
      </c>
      <c r="D182" s="21">
        <v>325119</v>
      </c>
      <c r="E182" s="21">
        <v>127622.32</v>
      </c>
      <c r="F182" s="2">
        <v>3</v>
      </c>
      <c r="G182" s="21">
        <f>Table7[[#This Row],[Total Revenue]]/Table7[[#This Row],[Orders]]</f>
        <v>54186.5</v>
      </c>
      <c r="H182" s="21" t="str">
        <f>IF(Table7[[#This Row],[Orders]]=1,"New",IF(Table7[[#This Row],[Orders]]&lt;=3,"Returning","Loyal"))</f>
        <v>Loyal</v>
      </c>
    </row>
    <row r="183" spans="1:8" x14ac:dyDescent="0.25">
      <c r="A183" t="s">
        <v>1481</v>
      </c>
      <c r="B183">
        <v>2</v>
      </c>
      <c r="C183">
        <v>4</v>
      </c>
      <c r="D183" s="21">
        <v>100302.9</v>
      </c>
      <c r="E183" s="21">
        <v>33731.120000000003</v>
      </c>
      <c r="F183" s="2">
        <v>5</v>
      </c>
      <c r="G183" s="21">
        <f>Table7[[#This Row],[Total Revenue]]/Table7[[#This Row],[Orders]]</f>
        <v>50151.45</v>
      </c>
      <c r="H183" s="21" t="str">
        <f>IF(Table7[[#This Row],[Orders]]=1,"New",IF(Table7[[#This Row],[Orders]]&lt;=3,"Returning","Loyal"))</f>
        <v>Returning</v>
      </c>
    </row>
    <row r="184" spans="1:8" x14ac:dyDescent="0.25">
      <c r="A184" t="s">
        <v>228</v>
      </c>
      <c r="B184">
        <v>5</v>
      </c>
      <c r="C184">
        <v>9</v>
      </c>
      <c r="D184" s="21">
        <v>210361.75</v>
      </c>
      <c r="E184" s="21">
        <v>68190.41</v>
      </c>
      <c r="F184" s="2">
        <v>4.2</v>
      </c>
      <c r="G184" s="21">
        <f>Table7[[#This Row],[Total Revenue]]/Table7[[#This Row],[Orders]]</f>
        <v>42072.35</v>
      </c>
      <c r="H184" s="21" t="str">
        <f>IF(Table7[[#This Row],[Orders]]=1,"New",IF(Table7[[#This Row],[Orders]]&lt;=3,"Returning","Loyal"))</f>
        <v>Loyal</v>
      </c>
    </row>
    <row r="185" spans="1:8" x14ac:dyDescent="0.25">
      <c r="A185" t="s">
        <v>937</v>
      </c>
      <c r="B185">
        <v>3</v>
      </c>
      <c r="C185">
        <v>7</v>
      </c>
      <c r="D185" s="21">
        <v>136437.55000000002</v>
      </c>
      <c r="E185" s="21">
        <v>33540.269999999997</v>
      </c>
      <c r="F185" s="2">
        <v>4.333333333333333</v>
      </c>
      <c r="G185" s="21">
        <f>Table7[[#This Row],[Total Revenue]]/Table7[[#This Row],[Orders]]</f>
        <v>45479.183333333342</v>
      </c>
      <c r="H185" s="21" t="str">
        <f>IF(Table7[[#This Row],[Orders]]=1,"New",IF(Table7[[#This Row],[Orders]]&lt;=3,"Returning","Loyal"))</f>
        <v>Returning</v>
      </c>
    </row>
    <row r="186" spans="1:8" x14ac:dyDescent="0.25">
      <c r="A186" t="s">
        <v>24</v>
      </c>
      <c r="B186">
        <v>5</v>
      </c>
      <c r="C186">
        <v>6</v>
      </c>
      <c r="D186" s="21">
        <v>225094.45</v>
      </c>
      <c r="E186" s="21">
        <v>58715.15</v>
      </c>
      <c r="F186" s="2">
        <v>4.2</v>
      </c>
      <c r="G186" s="21">
        <f>Table7[[#This Row],[Total Revenue]]/Table7[[#This Row],[Orders]]</f>
        <v>45018.89</v>
      </c>
      <c r="H186" s="21" t="str">
        <f>IF(Table7[[#This Row],[Orders]]=1,"New",IF(Table7[[#This Row],[Orders]]&lt;=3,"Returning","Loyal"))</f>
        <v>Loyal</v>
      </c>
    </row>
    <row r="187" spans="1:8" x14ac:dyDescent="0.25">
      <c r="A187" t="s">
        <v>1303</v>
      </c>
      <c r="B187">
        <v>3</v>
      </c>
      <c r="C187">
        <v>6</v>
      </c>
      <c r="D187" s="21">
        <v>383988.1</v>
      </c>
      <c r="E187" s="21">
        <v>146601.73000000001</v>
      </c>
      <c r="F187" s="2">
        <v>4</v>
      </c>
      <c r="G187" s="21">
        <f>Table7[[#This Row],[Total Revenue]]/Table7[[#This Row],[Orders]]</f>
        <v>127996.03333333333</v>
      </c>
      <c r="H187" s="21" t="str">
        <f>IF(Table7[[#This Row],[Orders]]=1,"New",IF(Table7[[#This Row],[Orders]]&lt;=3,"Returning","Loyal"))</f>
        <v>Returning</v>
      </c>
    </row>
    <row r="188" spans="1:8" x14ac:dyDescent="0.25">
      <c r="A188" t="s">
        <v>303</v>
      </c>
      <c r="B188">
        <v>4</v>
      </c>
      <c r="C188">
        <v>9</v>
      </c>
      <c r="D188" s="21">
        <v>279487.95</v>
      </c>
      <c r="E188" s="21">
        <v>111339.15000000001</v>
      </c>
      <c r="F188" s="2">
        <v>3.3333333333333335</v>
      </c>
      <c r="G188" s="21">
        <f>Table7[[#This Row],[Total Revenue]]/Table7[[#This Row],[Orders]]</f>
        <v>69871.987500000003</v>
      </c>
      <c r="H188" s="21" t="str">
        <f>IF(Table7[[#This Row],[Orders]]=1,"New",IF(Table7[[#This Row],[Orders]]&lt;=3,"Returning","Loyal"))</f>
        <v>Loyal</v>
      </c>
    </row>
    <row r="189" spans="1:8" x14ac:dyDescent="0.25">
      <c r="A189" t="s">
        <v>2145</v>
      </c>
      <c r="B189">
        <v>1</v>
      </c>
      <c r="C189">
        <v>1</v>
      </c>
      <c r="D189" s="21">
        <v>35757.9</v>
      </c>
      <c r="E189" s="21">
        <v>15101.19</v>
      </c>
      <c r="F189" s="2">
        <v>5</v>
      </c>
      <c r="G189" s="21">
        <f>Table7[[#This Row],[Total Revenue]]/Table7[[#This Row],[Orders]]</f>
        <v>35757.9</v>
      </c>
      <c r="H189" s="21" t="str">
        <f>IF(Table7[[#This Row],[Orders]]=1,"New",IF(Table7[[#This Row],[Orders]]&lt;=3,"Returning","Loyal"))</f>
        <v>New</v>
      </c>
    </row>
    <row r="190" spans="1:8" x14ac:dyDescent="0.25">
      <c r="A190" t="s">
        <v>533</v>
      </c>
      <c r="B190">
        <v>6</v>
      </c>
      <c r="C190">
        <v>8</v>
      </c>
      <c r="D190" s="21">
        <v>223013</v>
      </c>
      <c r="E190" s="21">
        <v>70012.780000000013</v>
      </c>
      <c r="F190" s="2">
        <v>3.4</v>
      </c>
      <c r="G190" s="21">
        <f>Table7[[#This Row],[Total Revenue]]/Table7[[#This Row],[Orders]]</f>
        <v>37168.833333333336</v>
      </c>
      <c r="H190" s="21" t="str">
        <f>IF(Table7[[#This Row],[Orders]]=1,"New",IF(Table7[[#This Row],[Orders]]&lt;=3,"Returning","Loyal"))</f>
        <v>Loyal</v>
      </c>
    </row>
    <row r="191" spans="1:8" x14ac:dyDescent="0.25">
      <c r="A191" t="s">
        <v>521</v>
      </c>
      <c r="B191">
        <v>1</v>
      </c>
      <c r="C191">
        <v>2</v>
      </c>
      <c r="D191" s="21">
        <v>37056.6</v>
      </c>
      <c r="E191" s="21">
        <v>13177.12</v>
      </c>
      <c r="F191" s="2">
        <v>5</v>
      </c>
      <c r="G191" s="21">
        <f>Table7[[#This Row],[Total Revenue]]/Table7[[#This Row],[Orders]]</f>
        <v>37056.6</v>
      </c>
      <c r="H191" s="21" t="str">
        <f>IF(Table7[[#This Row],[Orders]]=1,"New",IF(Table7[[#This Row],[Orders]]&lt;=3,"Returning","Loyal"))</f>
        <v>New</v>
      </c>
    </row>
    <row r="192" spans="1:8" x14ac:dyDescent="0.25">
      <c r="A192" t="s">
        <v>230</v>
      </c>
      <c r="B192">
        <v>4</v>
      </c>
      <c r="C192">
        <v>9</v>
      </c>
      <c r="D192" s="21">
        <v>164016</v>
      </c>
      <c r="E192" s="21">
        <v>56495.72</v>
      </c>
      <c r="F192" s="2">
        <v>3.3333333333333335</v>
      </c>
      <c r="G192" s="21">
        <f>Table7[[#This Row],[Total Revenue]]/Table7[[#This Row],[Orders]]</f>
        <v>41004</v>
      </c>
      <c r="H192" s="21" t="str">
        <f>IF(Table7[[#This Row],[Orders]]=1,"New",IF(Table7[[#This Row],[Orders]]&lt;=3,"Returning","Loyal"))</f>
        <v>Loyal</v>
      </c>
    </row>
    <row r="193" spans="1:8" x14ac:dyDescent="0.25">
      <c r="A193" t="s">
        <v>1263</v>
      </c>
      <c r="B193">
        <v>1</v>
      </c>
      <c r="C193">
        <v>2</v>
      </c>
      <c r="D193" s="21">
        <v>109476.6</v>
      </c>
      <c r="E193" s="21">
        <v>43217.06</v>
      </c>
      <c r="F193" s="2">
        <v>4</v>
      </c>
      <c r="G193" s="21">
        <f>Table7[[#This Row],[Total Revenue]]/Table7[[#This Row],[Orders]]</f>
        <v>109476.6</v>
      </c>
      <c r="H193" s="21" t="str">
        <f>IF(Table7[[#This Row],[Orders]]=1,"New",IF(Table7[[#This Row],[Orders]]&lt;=3,"Returning","Loyal"))</f>
        <v>New</v>
      </c>
    </row>
    <row r="194" spans="1:8" x14ac:dyDescent="0.25">
      <c r="A194" t="s">
        <v>1350</v>
      </c>
      <c r="B194">
        <v>4</v>
      </c>
      <c r="C194">
        <v>4</v>
      </c>
      <c r="D194" s="21">
        <v>264282.59999999998</v>
      </c>
      <c r="E194" s="21">
        <v>100039.58</v>
      </c>
      <c r="F194" s="2">
        <v>2.6666666666666665</v>
      </c>
      <c r="G194" s="21">
        <f>Table7[[#This Row],[Total Revenue]]/Table7[[#This Row],[Orders]]</f>
        <v>66070.649999999994</v>
      </c>
      <c r="H194" s="21" t="str">
        <f>IF(Table7[[#This Row],[Orders]]=1,"New",IF(Table7[[#This Row],[Orders]]&lt;=3,"Returning","Loyal"))</f>
        <v>Loyal</v>
      </c>
    </row>
    <row r="195" spans="1:8" x14ac:dyDescent="0.25">
      <c r="A195" t="s">
        <v>280</v>
      </c>
      <c r="B195">
        <v>1</v>
      </c>
      <c r="C195">
        <v>2</v>
      </c>
      <c r="D195" s="21">
        <v>230044</v>
      </c>
      <c r="E195" s="21">
        <v>93085.67</v>
      </c>
      <c r="G195" s="21">
        <f>Table7[[#This Row],[Total Revenue]]/Table7[[#This Row],[Orders]]</f>
        <v>230044</v>
      </c>
      <c r="H195" s="21" t="str">
        <f>IF(Table7[[#This Row],[Orders]]=1,"New",IF(Table7[[#This Row],[Orders]]&lt;=3,"Returning","Loyal"))</f>
        <v>New</v>
      </c>
    </row>
    <row r="196" spans="1:8" x14ac:dyDescent="0.25">
      <c r="A196" t="s">
        <v>593</v>
      </c>
      <c r="B196">
        <v>3</v>
      </c>
      <c r="C196">
        <v>6</v>
      </c>
      <c r="D196" s="21">
        <v>175367.44999999998</v>
      </c>
      <c r="E196" s="21">
        <v>55826.25</v>
      </c>
      <c r="F196" s="2">
        <v>1</v>
      </c>
      <c r="G196" s="21">
        <f>Table7[[#This Row],[Total Revenue]]/Table7[[#This Row],[Orders]]</f>
        <v>58455.816666666658</v>
      </c>
      <c r="H196" s="21" t="str">
        <f>IF(Table7[[#This Row],[Orders]]=1,"New",IF(Table7[[#This Row],[Orders]]&lt;=3,"Returning","Loyal"))</f>
        <v>Returning</v>
      </c>
    </row>
    <row r="197" spans="1:8" x14ac:dyDescent="0.25">
      <c r="A197" t="s">
        <v>284</v>
      </c>
      <c r="B197">
        <v>3</v>
      </c>
      <c r="C197">
        <v>5</v>
      </c>
      <c r="D197" s="21">
        <v>124099.4</v>
      </c>
      <c r="E197" s="21">
        <v>32429.279999999999</v>
      </c>
      <c r="F197" s="2">
        <v>5</v>
      </c>
      <c r="G197" s="21">
        <f>Table7[[#This Row],[Total Revenue]]/Table7[[#This Row],[Orders]]</f>
        <v>41366.466666666667</v>
      </c>
      <c r="H197" s="21" t="str">
        <f>IF(Table7[[#This Row],[Orders]]=1,"New",IF(Table7[[#This Row],[Orders]]&lt;=3,"Returning","Loyal"))</f>
        <v>Returning</v>
      </c>
    </row>
    <row r="198" spans="1:8" x14ac:dyDescent="0.25">
      <c r="A198" t="s">
        <v>1378</v>
      </c>
      <c r="B198">
        <v>3</v>
      </c>
      <c r="C198">
        <v>4</v>
      </c>
      <c r="D198" s="21">
        <v>167807.3</v>
      </c>
      <c r="E198" s="21">
        <v>66165.03</v>
      </c>
      <c r="F198" s="2">
        <v>5</v>
      </c>
      <c r="G198" s="21">
        <f>Table7[[#This Row],[Total Revenue]]/Table7[[#This Row],[Orders]]</f>
        <v>55935.766666666663</v>
      </c>
      <c r="H198" s="21" t="str">
        <f>IF(Table7[[#This Row],[Orders]]=1,"New",IF(Table7[[#This Row],[Orders]]&lt;=3,"Returning","Loyal"))</f>
        <v>Returning</v>
      </c>
    </row>
    <row r="199" spans="1:8" x14ac:dyDescent="0.25">
      <c r="A199" t="s">
        <v>89</v>
      </c>
      <c r="B199">
        <v>4</v>
      </c>
      <c r="C199">
        <v>10</v>
      </c>
      <c r="D199" s="21">
        <v>254019.4</v>
      </c>
      <c r="E199" s="21">
        <v>96329.1</v>
      </c>
      <c r="F199" s="2">
        <v>2.25</v>
      </c>
      <c r="G199" s="21">
        <f>Table7[[#This Row],[Total Revenue]]/Table7[[#This Row],[Orders]]</f>
        <v>63504.85</v>
      </c>
      <c r="H199" s="21" t="str">
        <f>IF(Table7[[#This Row],[Orders]]=1,"New",IF(Table7[[#This Row],[Orders]]&lt;=3,"Returning","Loyal"))</f>
        <v>Loyal</v>
      </c>
    </row>
    <row r="200" spans="1:8" x14ac:dyDescent="0.25">
      <c r="A200" t="s">
        <v>1538</v>
      </c>
      <c r="B200">
        <v>3</v>
      </c>
      <c r="C200">
        <v>7</v>
      </c>
      <c r="D200" s="21">
        <v>221197.5</v>
      </c>
      <c r="E200" s="21">
        <v>62222.82</v>
      </c>
      <c r="F200" s="2">
        <v>3</v>
      </c>
      <c r="G200" s="21">
        <f>Table7[[#This Row],[Total Revenue]]/Table7[[#This Row],[Orders]]</f>
        <v>73732.5</v>
      </c>
      <c r="H200" s="21" t="str">
        <f>IF(Table7[[#This Row],[Orders]]=1,"New",IF(Table7[[#This Row],[Orders]]&lt;=3,"Returning","Loyal"))</f>
        <v>Returning</v>
      </c>
    </row>
    <row r="201" spans="1:8" x14ac:dyDescent="0.25">
      <c r="A201" t="s">
        <v>983</v>
      </c>
      <c r="B201">
        <v>2</v>
      </c>
      <c r="C201">
        <v>7</v>
      </c>
      <c r="D201" s="21">
        <v>165042</v>
      </c>
      <c r="E201" s="21">
        <v>51786.41</v>
      </c>
      <c r="F201" s="2">
        <v>4</v>
      </c>
      <c r="G201" s="21">
        <f>Table7[[#This Row],[Total Revenue]]/Table7[[#This Row],[Orders]]</f>
        <v>82521</v>
      </c>
      <c r="H201" s="21" t="str">
        <f>IF(Table7[[#This Row],[Orders]]=1,"New",IF(Table7[[#This Row],[Orders]]&lt;=3,"Returning","Loyal"))</f>
        <v>Returning</v>
      </c>
    </row>
    <row r="202" spans="1:8" x14ac:dyDescent="0.25">
      <c r="A202" t="s">
        <v>163</v>
      </c>
      <c r="B202">
        <v>6</v>
      </c>
      <c r="C202">
        <v>10</v>
      </c>
      <c r="D202" s="21">
        <v>228493.65</v>
      </c>
      <c r="E202" s="21">
        <v>71976.820000000007</v>
      </c>
      <c r="F202" s="2">
        <v>4</v>
      </c>
      <c r="G202" s="21">
        <f>Table7[[#This Row],[Total Revenue]]/Table7[[#This Row],[Orders]]</f>
        <v>38082.275000000001</v>
      </c>
      <c r="H202" s="21" t="str">
        <f>IF(Table7[[#This Row],[Orders]]=1,"New",IF(Table7[[#This Row],[Orders]]&lt;=3,"Returning","Loyal"))</f>
        <v>Loyal</v>
      </c>
    </row>
    <row r="203" spans="1:8" x14ac:dyDescent="0.25">
      <c r="A203" t="s">
        <v>2406</v>
      </c>
      <c r="B203">
        <v>1</v>
      </c>
      <c r="C203">
        <v>2</v>
      </c>
      <c r="D203" s="21">
        <v>11792</v>
      </c>
      <c r="E203" s="21">
        <v>4538.0600000000004</v>
      </c>
      <c r="G203" s="21">
        <f>Table7[[#This Row],[Total Revenue]]/Table7[[#This Row],[Orders]]</f>
        <v>11792</v>
      </c>
      <c r="H203" s="21" t="str">
        <f>IF(Table7[[#This Row],[Orders]]=1,"New",IF(Table7[[#This Row],[Orders]]&lt;=3,"Returning","Loyal"))</f>
        <v>New</v>
      </c>
    </row>
    <row r="204" spans="1:8" x14ac:dyDescent="0.25">
      <c r="A204" t="s">
        <v>2068</v>
      </c>
      <c r="B204">
        <v>2</v>
      </c>
      <c r="C204">
        <v>6</v>
      </c>
      <c r="D204" s="21">
        <v>216684</v>
      </c>
      <c r="E204" s="21">
        <v>61500.08</v>
      </c>
      <c r="F204" s="2">
        <v>5</v>
      </c>
      <c r="G204" s="21">
        <f>Table7[[#This Row],[Total Revenue]]/Table7[[#This Row],[Orders]]</f>
        <v>108342</v>
      </c>
      <c r="H204" s="21" t="str">
        <f>IF(Table7[[#This Row],[Orders]]=1,"New",IF(Table7[[#This Row],[Orders]]&lt;=3,"Returning","Loyal"))</f>
        <v>Returning</v>
      </c>
    </row>
    <row r="205" spans="1:8" x14ac:dyDescent="0.25">
      <c r="A205" t="s">
        <v>608</v>
      </c>
      <c r="B205">
        <v>3</v>
      </c>
      <c r="C205">
        <v>4</v>
      </c>
      <c r="D205" s="21">
        <v>204453.65000000002</v>
      </c>
      <c r="E205" s="21">
        <v>67517.72</v>
      </c>
      <c r="F205" s="2">
        <v>4.666666666666667</v>
      </c>
      <c r="G205" s="21">
        <f>Table7[[#This Row],[Total Revenue]]/Table7[[#This Row],[Orders]]</f>
        <v>68151.216666666674</v>
      </c>
      <c r="H205" s="21" t="str">
        <f>IF(Table7[[#This Row],[Orders]]=1,"New",IF(Table7[[#This Row],[Orders]]&lt;=3,"Returning","Loyal"))</f>
        <v>Returning</v>
      </c>
    </row>
    <row r="206" spans="1:8" x14ac:dyDescent="0.25">
      <c r="A206" t="s">
        <v>1374</v>
      </c>
      <c r="B206">
        <v>1</v>
      </c>
      <c r="C206">
        <v>1</v>
      </c>
      <c r="D206" s="21">
        <v>10868.4</v>
      </c>
      <c r="E206" s="21">
        <v>3936.75</v>
      </c>
      <c r="F206" s="2">
        <v>5</v>
      </c>
      <c r="G206" s="21">
        <f>Table7[[#This Row],[Total Revenue]]/Table7[[#This Row],[Orders]]</f>
        <v>10868.4</v>
      </c>
      <c r="H206" s="21" t="str">
        <f>IF(Table7[[#This Row],[Orders]]=1,"New",IF(Table7[[#This Row],[Orders]]&lt;=3,"Returning","Loyal"))</f>
        <v>New</v>
      </c>
    </row>
    <row r="207" spans="1:8" x14ac:dyDescent="0.25">
      <c r="A207" t="s">
        <v>490</v>
      </c>
      <c r="B207">
        <v>3</v>
      </c>
      <c r="C207">
        <v>5</v>
      </c>
      <c r="D207" s="21">
        <v>308868.34999999998</v>
      </c>
      <c r="E207" s="21">
        <v>84814.080000000002</v>
      </c>
      <c r="F207" s="2">
        <v>2.6666666666666665</v>
      </c>
      <c r="G207" s="21">
        <f>Table7[[#This Row],[Total Revenue]]/Table7[[#This Row],[Orders]]</f>
        <v>102956.11666666665</v>
      </c>
      <c r="H207" s="21" t="str">
        <f>IF(Table7[[#This Row],[Orders]]=1,"New",IF(Table7[[#This Row],[Orders]]&lt;=3,"Returning","Loyal"))</f>
        <v>Returning</v>
      </c>
    </row>
    <row r="208" spans="1:8" x14ac:dyDescent="0.25">
      <c r="A208" t="s">
        <v>691</v>
      </c>
      <c r="B208">
        <v>5</v>
      </c>
      <c r="C208">
        <v>8</v>
      </c>
      <c r="D208" s="21">
        <v>284964.10000000003</v>
      </c>
      <c r="E208" s="21">
        <v>87941.9</v>
      </c>
      <c r="F208" s="2">
        <v>3.5</v>
      </c>
      <c r="G208" s="21">
        <f>Table7[[#This Row],[Total Revenue]]/Table7[[#This Row],[Orders]]</f>
        <v>56992.820000000007</v>
      </c>
      <c r="H208" s="21" t="str">
        <f>IF(Table7[[#This Row],[Orders]]=1,"New",IF(Table7[[#This Row],[Orders]]&lt;=3,"Returning","Loyal"))</f>
        <v>Loyal</v>
      </c>
    </row>
    <row r="209" spans="1:8" x14ac:dyDescent="0.25">
      <c r="A209" t="s">
        <v>921</v>
      </c>
      <c r="B209">
        <v>2</v>
      </c>
      <c r="C209">
        <v>4</v>
      </c>
      <c r="D209" s="21">
        <v>55862.6</v>
      </c>
      <c r="E209" s="21">
        <v>21190.07</v>
      </c>
      <c r="F209" s="2">
        <v>1</v>
      </c>
      <c r="G209" s="21">
        <f>Table7[[#This Row],[Total Revenue]]/Table7[[#This Row],[Orders]]</f>
        <v>27931.3</v>
      </c>
      <c r="H209" s="21" t="str">
        <f>IF(Table7[[#This Row],[Orders]]=1,"New",IF(Table7[[#This Row],[Orders]]&lt;=3,"Returning","Loyal"))</f>
        <v>Returning</v>
      </c>
    </row>
    <row r="210" spans="1:8" x14ac:dyDescent="0.25">
      <c r="A210" t="s">
        <v>324</v>
      </c>
      <c r="B210">
        <v>5</v>
      </c>
      <c r="C210">
        <v>9</v>
      </c>
      <c r="D210" s="21">
        <v>272281.90000000002</v>
      </c>
      <c r="E210" s="21">
        <v>111785.44</v>
      </c>
      <c r="F210" s="2">
        <v>5</v>
      </c>
      <c r="G210" s="21">
        <f>Table7[[#This Row],[Total Revenue]]/Table7[[#This Row],[Orders]]</f>
        <v>54456.380000000005</v>
      </c>
      <c r="H210" s="21" t="str">
        <f>IF(Table7[[#This Row],[Orders]]=1,"New",IF(Table7[[#This Row],[Orders]]&lt;=3,"Returning","Loyal"))</f>
        <v>Loyal</v>
      </c>
    </row>
    <row r="211" spans="1:8" x14ac:dyDescent="0.25">
      <c r="A211" t="s">
        <v>682</v>
      </c>
      <c r="B211">
        <v>2</v>
      </c>
      <c r="C211">
        <v>2</v>
      </c>
      <c r="D211" s="21">
        <v>23028.949999999997</v>
      </c>
      <c r="E211" s="21">
        <v>6671.98</v>
      </c>
      <c r="F211" s="2">
        <v>4.5</v>
      </c>
      <c r="G211" s="21">
        <f>Table7[[#This Row],[Total Revenue]]/Table7[[#This Row],[Orders]]</f>
        <v>11514.474999999999</v>
      </c>
      <c r="H211" s="21" t="str">
        <f>IF(Table7[[#This Row],[Orders]]=1,"New",IF(Table7[[#This Row],[Orders]]&lt;=3,"Returning","Loyal"))</f>
        <v>Returning</v>
      </c>
    </row>
    <row r="212" spans="1:8" x14ac:dyDescent="0.25">
      <c r="A212" t="s">
        <v>927</v>
      </c>
      <c r="B212">
        <v>3</v>
      </c>
      <c r="C212">
        <v>7</v>
      </c>
      <c r="D212" s="21">
        <v>55784.7</v>
      </c>
      <c r="E212" s="21">
        <v>13551.8</v>
      </c>
      <c r="G212" s="21">
        <f>Table7[[#This Row],[Total Revenue]]/Table7[[#This Row],[Orders]]</f>
        <v>18594.899999999998</v>
      </c>
      <c r="H212" s="21" t="str">
        <f>IF(Table7[[#This Row],[Orders]]=1,"New",IF(Table7[[#This Row],[Orders]]&lt;=3,"Returning","Loyal"))</f>
        <v>Returning</v>
      </c>
    </row>
    <row r="213" spans="1:8" x14ac:dyDescent="0.25">
      <c r="A213" t="s">
        <v>1868</v>
      </c>
      <c r="B213">
        <v>1</v>
      </c>
      <c r="C213">
        <v>1</v>
      </c>
      <c r="D213" s="21">
        <v>31698.400000000001</v>
      </c>
      <c r="E213" s="21">
        <v>13131.17</v>
      </c>
      <c r="G213" s="21">
        <f>Table7[[#This Row],[Total Revenue]]/Table7[[#This Row],[Orders]]</f>
        <v>31698.400000000001</v>
      </c>
      <c r="H213" s="21" t="str">
        <f>IF(Table7[[#This Row],[Orders]]=1,"New",IF(Table7[[#This Row],[Orders]]&lt;=3,"Returning","Loyal"))</f>
        <v>New</v>
      </c>
    </row>
    <row r="214" spans="1:8" x14ac:dyDescent="0.25">
      <c r="A214" t="s">
        <v>233</v>
      </c>
      <c r="B214">
        <v>5</v>
      </c>
      <c r="C214">
        <v>10</v>
      </c>
      <c r="D214" s="21">
        <v>136130.65</v>
      </c>
      <c r="E214" s="21">
        <v>48765.069999999992</v>
      </c>
      <c r="F214" s="2">
        <v>3</v>
      </c>
      <c r="G214" s="21">
        <f>Table7[[#This Row],[Total Revenue]]/Table7[[#This Row],[Orders]]</f>
        <v>27226.129999999997</v>
      </c>
      <c r="H214" s="21" t="str">
        <f>IF(Table7[[#This Row],[Orders]]=1,"New",IF(Table7[[#This Row],[Orders]]&lt;=3,"Returning","Loyal"))</f>
        <v>Loyal</v>
      </c>
    </row>
    <row r="215" spans="1:8" x14ac:dyDescent="0.25">
      <c r="A215" t="s">
        <v>884</v>
      </c>
      <c r="B215">
        <v>2</v>
      </c>
      <c r="C215">
        <v>2</v>
      </c>
      <c r="D215" s="21">
        <v>104193.95</v>
      </c>
      <c r="E215" s="21">
        <v>26562.42</v>
      </c>
      <c r="F215" s="2">
        <v>4</v>
      </c>
      <c r="G215" s="21">
        <f>Table7[[#This Row],[Total Revenue]]/Table7[[#This Row],[Orders]]</f>
        <v>52096.974999999999</v>
      </c>
      <c r="H215" s="21" t="str">
        <f>IF(Table7[[#This Row],[Orders]]=1,"New",IF(Table7[[#This Row],[Orders]]&lt;=3,"Returning","Loyal"))</f>
        <v>Returning</v>
      </c>
    </row>
    <row r="216" spans="1:8" x14ac:dyDescent="0.25">
      <c r="A216" t="s">
        <v>584</v>
      </c>
      <c r="B216">
        <v>4</v>
      </c>
      <c r="C216">
        <v>6</v>
      </c>
      <c r="D216" s="21">
        <v>189316.3</v>
      </c>
      <c r="E216" s="21">
        <v>68212.240000000005</v>
      </c>
      <c r="F216" s="2">
        <v>4.333333333333333</v>
      </c>
      <c r="G216" s="21">
        <f>Table7[[#This Row],[Total Revenue]]/Table7[[#This Row],[Orders]]</f>
        <v>47329.074999999997</v>
      </c>
      <c r="H216" s="21" t="str">
        <f>IF(Table7[[#This Row],[Orders]]=1,"New",IF(Table7[[#This Row],[Orders]]&lt;=3,"Returning","Loyal"))</f>
        <v>Loyal</v>
      </c>
    </row>
    <row r="217" spans="1:8" x14ac:dyDescent="0.25">
      <c r="A217" t="s">
        <v>1148</v>
      </c>
      <c r="B217">
        <v>3</v>
      </c>
      <c r="C217">
        <v>5</v>
      </c>
      <c r="D217" s="21">
        <v>178803.8</v>
      </c>
      <c r="E217" s="21">
        <v>47486.740000000005</v>
      </c>
      <c r="F217" s="2">
        <v>2.5</v>
      </c>
      <c r="G217" s="21">
        <f>Table7[[#This Row],[Total Revenue]]/Table7[[#This Row],[Orders]]</f>
        <v>59601.266666666663</v>
      </c>
      <c r="H217" s="21" t="str">
        <f>IF(Table7[[#This Row],[Orders]]=1,"New",IF(Table7[[#This Row],[Orders]]&lt;=3,"Returning","Loyal"))</f>
        <v>Returning</v>
      </c>
    </row>
    <row r="218" spans="1:8" x14ac:dyDescent="0.25">
      <c r="A218" t="s">
        <v>538</v>
      </c>
      <c r="B218">
        <v>4</v>
      </c>
      <c r="C218">
        <v>6</v>
      </c>
      <c r="D218" s="21">
        <v>272518.59999999998</v>
      </c>
      <c r="E218" s="21">
        <v>69142.009999999995</v>
      </c>
      <c r="F218" s="2">
        <v>1.5</v>
      </c>
      <c r="G218" s="21">
        <f>Table7[[#This Row],[Total Revenue]]/Table7[[#This Row],[Orders]]</f>
        <v>68129.649999999994</v>
      </c>
      <c r="H218" s="21" t="str">
        <f>IF(Table7[[#This Row],[Orders]]=1,"New",IF(Table7[[#This Row],[Orders]]&lt;=3,"Returning","Loyal"))</f>
        <v>Loyal</v>
      </c>
    </row>
    <row r="219" spans="1:8" x14ac:dyDescent="0.25">
      <c r="A219" t="s">
        <v>115</v>
      </c>
      <c r="B219">
        <v>5</v>
      </c>
      <c r="C219">
        <v>7</v>
      </c>
      <c r="D219" s="21">
        <v>182614.2</v>
      </c>
      <c r="E219" s="21">
        <v>63013.36</v>
      </c>
      <c r="F219" s="2">
        <v>4.333333333333333</v>
      </c>
      <c r="G219" s="21">
        <f>Table7[[#This Row],[Total Revenue]]/Table7[[#This Row],[Orders]]</f>
        <v>36522.840000000004</v>
      </c>
      <c r="H219" s="21" t="str">
        <f>IF(Table7[[#This Row],[Orders]]=1,"New",IF(Table7[[#This Row],[Orders]]&lt;=3,"Returning","Loyal"))</f>
        <v>Loyal</v>
      </c>
    </row>
    <row r="220" spans="1:8" x14ac:dyDescent="0.25">
      <c r="A220" t="s">
        <v>661</v>
      </c>
      <c r="B220">
        <v>4</v>
      </c>
      <c r="C220">
        <v>7</v>
      </c>
      <c r="D220" s="21">
        <v>172119.69999999998</v>
      </c>
      <c r="E220" s="21">
        <v>47842.399999999994</v>
      </c>
      <c r="F220" s="2">
        <v>3.6666666666666665</v>
      </c>
      <c r="G220" s="21">
        <f>Table7[[#This Row],[Total Revenue]]/Table7[[#This Row],[Orders]]</f>
        <v>43029.924999999996</v>
      </c>
      <c r="H220" s="21" t="str">
        <f>IF(Table7[[#This Row],[Orders]]=1,"New",IF(Table7[[#This Row],[Orders]]&lt;=3,"Returning","Loyal"))</f>
        <v>Loyal</v>
      </c>
    </row>
    <row r="221" spans="1:8" x14ac:dyDescent="0.25">
      <c r="A221" t="s">
        <v>1324</v>
      </c>
      <c r="B221">
        <v>4</v>
      </c>
      <c r="C221">
        <v>5</v>
      </c>
      <c r="D221" s="21">
        <v>129304.34999999999</v>
      </c>
      <c r="E221" s="21">
        <v>35656.480000000003</v>
      </c>
      <c r="F221" s="2">
        <v>3</v>
      </c>
      <c r="G221" s="21">
        <f>Table7[[#This Row],[Total Revenue]]/Table7[[#This Row],[Orders]]</f>
        <v>32326.087499999998</v>
      </c>
      <c r="H221" s="21" t="str">
        <f>IF(Table7[[#This Row],[Orders]]=1,"New",IF(Table7[[#This Row],[Orders]]&lt;=3,"Returning","Loyal"))</f>
        <v>Loyal</v>
      </c>
    </row>
    <row r="222" spans="1:8" x14ac:dyDescent="0.25">
      <c r="A222" t="s">
        <v>261</v>
      </c>
      <c r="B222">
        <v>1</v>
      </c>
      <c r="C222">
        <v>3</v>
      </c>
      <c r="D222" s="21">
        <v>87294</v>
      </c>
      <c r="E222" s="21">
        <v>35064.300000000003</v>
      </c>
      <c r="F222" s="2">
        <v>2</v>
      </c>
      <c r="G222" s="21">
        <f>Table7[[#This Row],[Total Revenue]]/Table7[[#This Row],[Orders]]</f>
        <v>87294</v>
      </c>
      <c r="H222" s="21" t="str">
        <f>IF(Table7[[#This Row],[Orders]]=1,"New",IF(Table7[[#This Row],[Orders]]&lt;=3,"Returning","Loyal"))</f>
        <v>New</v>
      </c>
    </row>
    <row r="223" spans="1:8" x14ac:dyDescent="0.25">
      <c r="A223" t="s">
        <v>1316</v>
      </c>
      <c r="B223">
        <v>2</v>
      </c>
      <c r="C223">
        <v>2</v>
      </c>
      <c r="D223" s="21">
        <v>20972.1</v>
      </c>
      <c r="E223" s="21">
        <v>5357.75</v>
      </c>
      <c r="F223" s="2">
        <v>2.5</v>
      </c>
      <c r="G223" s="21">
        <f>Table7[[#This Row],[Total Revenue]]/Table7[[#This Row],[Orders]]</f>
        <v>10486.05</v>
      </c>
      <c r="H223" s="21" t="str">
        <f>IF(Table7[[#This Row],[Orders]]=1,"New",IF(Table7[[#This Row],[Orders]]&lt;=3,"Returning","Loyal"))</f>
        <v>Returning</v>
      </c>
    </row>
    <row r="224" spans="1:8" x14ac:dyDescent="0.25">
      <c r="A224" t="s">
        <v>1749</v>
      </c>
      <c r="B224">
        <v>2</v>
      </c>
      <c r="C224">
        <v>2</v>
      </c>
      <c r="D224" s="21">
        <v>20061</v>
      </c>
      <c r="E224" s="21">
        <v>5318.46</v>
      </c>
      <c r="F224" s="2">
        <v>5</v>
      </c>
      <c r="G224" s="21">
        <f>Table7[[#This Row],[Total Revenue]]/Table7[[#This Row],[Orders]]</f>
        <v>10030.5</v>
      </c>
      <c r="H224" s="21" t="str">
        <f>IF(Table7[[#This Row],[Orders]]=1,"New",IF(Table7[[#This Row],[Orders]]&lt;=3,"Returning","Loyal"))</f>
        <v>Returning</v>
      </c>
    </row>
    <row r="225" spans="1:8" x14ac:dyDescent="0.25">
      <c r="A225" t="s">
        <v>449</v>
      </c>
      <c r="B225">
        <v>3</v>
      </c>
      <c r="C225">
        <v>4</v>
      </c>
      <c r="D225" s="21">
        <v>70887.350000000006</v>
      </c>
      <c r="E225" s="21">
        <v>17224.150000000001</v>
      </c>
      <c r="F225" s="2">
        <v>1</v>
      </c>
      <c r="G225" s="21">
        <f>Table7[[#This Row],[Total Revenue]]/Table7[[#This Row],[Orders]]</f>
        <v>23629.116666666669</v>
      </c>
      <c r="H225" s="21" t="str">
        <f>IF(Table7[[#This Row],[Orders]]=1,"New",IF(Table7[[#This Row],[Orders]]&lt;=3,"Returning","Loyal"))</f>
        <v>Returning</v>
      </c>
    </row>
    <row r="226" spans="1:8" x14ac:dyDescent="0.25">
      <c r="A226" t="s">
        <v>711</v>
      </c>
      <c r="B226">
        <v>2</v>
      </c>
      <c r="C226">
        <v>3</v>
      </c>
      <c r="D226" s="21">
        <v>148523.9</v>
      </c>
      <c r="E226" s="21">
        <v>32949.279999999999</v>
      </c>
      <c r="F226" s="2">
        <v>2.5</v>
      </c>
      <c r="G226" s="21">
        <f>Table7[[#This Row],[Total Revenue]]/Table7[[#This Row],[Orders]]</f>
        <v>74261.95</v>
      </c>
      <c r="H226" s="21" t="str">
        <f>IF(Table7[[#This Row],[Orders]]=1,"New",IF(Table7[[#This Row],[Orders]]&lt;=3,"Returning","Loyal"))</f>
        <v>Returning</v>
      </c>
    </row>
    <row r="227" spans="1:8" x14ac:dyDescent="0.25">
      <c r="A227" t="s">
        <v>2160</v>
      </c>
      <c r="B227">
        <v>1</v>
      </c>
      <c r="C227">
        <v>3</v>
      </c>
      <c r="D227" s="21">
        <v>53727</v>
      </c>
      <c r="E227" s="21">
        <v>17260.87</v>
      </c>
      <c r="F227" s="2">
        <v>2</v>
      </c>
      <c r="G227" s="21">
        <f>Table7[[#This Row],[Total Revenue]]/Table7[[#This Row],[Orders]]</f>
        <v>53727</v>
      </c>
      <c r="H227" s="21" t="str">
        <f>IF(Table7[[#This Row],[Orders]]=1,"New",IF(Table7[[#This Row],[Orders]]&lt;=3,"Returning","Loyal"))</f>
        <v>New</v>
      </c>
    </row>
    <row r="228" spans="1:8" x14ac:dyDescent="0.25">
      <c r="A228" t="s">
        <v>1091</v>
      </c>
      <c r="B228">
        <v>3</v>
      </c>
      <c r="C228">
        <v>7</v>
      </c>
      <c r="D228" s="21">
        <v>409003.4</v>
      </c>
      <c r="E228" s="21">
        <v>130348.33</v>
      </c>
      <c r="F228" s="2">
        <v>5</v>
      </c>
      <c r="G228" s="21">
        <f>Table7[[#This Row],[Total Revenue]]/Table7[[#This Row],[Orders]]</f>
        <v>136334.46666666667</v>
      </c>
      <c r="H228" s="21" t="str">
        <f>IF(Table7[[#This Row],[Orders]]=1,"New",IF(Table7[[#This Row],[Orders]]&lt;=3,"Returning","Loyal"))</f>
        <v>Returning</v>
      </c>
    </row>
    <row r="229" spans="1:8" x14ac:dyDescent="0.25">
      <c r="A229" t="s">
        <v>347</v>
      </c>
      <c r="B229">
        <v>1</v>
      </c>
      <c r="C229">
        <v>3</v>
      </c>
      <c r="D229" s="21">
        <v>18870.75</v>
      </c>
      <c r="E229" s="21">
        <v>8109.46</v>
      </c>
      <c r="F229" s="2">
        <v>5</v>
      </c>
      <c r="G229" s="21">
        <f>Table7[[#This Row],[Total Revenue]]/Table7[[#This Row],[Orders]]</f>
        <v>18870.75</v>
      </c>
      <c r="H229" s="21" t="str">
        <f>IF(Table7[[#This Row],[Orders]]=1,"New",IF(Table7[[#This Row],[Orders]]&lt;=3,"Returning","Loyal"))</f>
        <v>New</v>
      </c>
    </row>
    <row r="230" spans="1:8" x14ac:dyDescent="0.25">
      <c r="A230" t="s">
        <v>671</v>
      </c>
      <c r="B230">
        <v>4</v>
      </c>
      <c r="C230">
        <v>8</v>
      </c>
      <c r="D230" s="21">
        <v>260099.1</v>
      </c>
      <c r="E230" s="21">
        <v>95363.42</v>
      </c>
      <c r="F230" s="2">
        <v>3.75</v>
      </c>
      <c r="G230" s="21">
        <f>Table7[[#This Row],[Total Revenue]]/Table7[[#This Row],[Orders]]</f>
        <v>65024.775000000001</v>
      </c>
      <c r="H230" s="21" t="str">
        <f>IF(Table7[[#This Row],[Orders]]=1,"New",IF(Table7[[#This Row],[Orders]]&lt;=3,"Returning","Loyal"))</f>
        <v>Loyal</v>
      </c>
    </row>
    <row r="231" spans="1:8" x14ac:dyDescent="0.25">
      <c r="A231" t="s">
        <v>528</v>
      </c>
      <c r="B231">
        <v>3</v>
      </c>
      <c r="C231">
        <v>5</v>
      </c>
      <c r="D231" s="21">
        <v>136470</v>
      </c>
      <c r="E231" s="21">
        <v>32958.589999999997</v>
      </c>
      <c r="F231" s="2">
        <v>4.666666666666667</v>
      </c>
      <c r="G231" s="21">
        <f>Table7[[#This Row],[Total Revenue]]/Table7[[#This Row],[Orders]]</f>
        <v>45490</v>
      </c>
      <c r="H231" s="21" t="str">
        <f>IF(Table7[[#This Row],[Orders]]=1,"New",IF(Table7[[#This Row],[Orders]]&lt;=3,"Returning","Loyal"))</f>
        <v>Returning</v>
      </c>
    </row>
    <row r="232" spans="1:8" x14ac:dyDescent="0.25">
      <c r="A232" t="s">
        <v>62</v>
      </c>
      <c r="B232">
        <v>5</v>
      </c>
      <c r="C232">
        <v>12</v>
      </c>
      <c r="D232" s="21">
        <v>566513.65</v>
      </c>
      <c r="E232" s="21">
        <v>181463.16999999998</v>
      </c>
      <c r="F232" s="2">
        <v>4.2</v>
      </c>
      <c r="G232" s="21">
        <f>Table7[[#This Row],[Total Revenue]]/Table7[[#This Row],[Orders]]</f>
        <v>113302.73000000001</v>
      </c>
      <c r="H232" s="21" t="str">
        <f>IF(Table7[[#This Row],[Orders]]=1,"New",IF(Table7[[#This Row],[Orders]]&lt;=3,"Returning","Loyal"))</f>
        <v>Loyal</v>
      </c>
    </row>
    <row r="233" spans="1:8" x14ac:dyDescent="0.25">
      <c r="A233" t="s">
        <v>933</v>
      </c>
      <c r="B233">
        <v>3</v>
      </c>
      <c r="C233">
        <v>5</v>
      </c>
      <c r="D233" s="21">
        <v>97288.199999999983</v>
      </c>
      <c r="E233" s="21">
        <v>39623.78</v>
      </c>
      <c r="F233" s="2">
        <v>5</v>
      </c>
      <c r="G233" s="21">
        <f>Table7[[#This Row],[Total Revenue]]/Table7[[#This Row],[Orders]]</f>
        <v>32429.399999999994</v>
      </c>
      <c r="H233" s="21" t="str">
        <f>IF(Table7[[#This Row],[Orders]]=1,"New",IF(Table7[[#This Row],[Orders]]&lt;=3,"Returning","Loyal"))</f>
        <v>Returning</v>
      </c>
    </row>
    <row r="234" spans="1:8" x14ac:dyDescent="0.25">
      <c r="A234" t="s">
        <v>182</v>
      </c>
      <c r="B234">
        <v>2</v>
      </c>
      <c r="C234">
        <v>4</v>
      </c>
      <c r="D234" s="21">
        <v>196761.5</v>
      </c>
      <c r="E234" s="21">
        <v>55932.91</v>
      </c>
      <c r="F234" s="2">
        <v>3</v>
      </c>
      <c r="G234" s="21">
        <f>Table7[[#This Row],[Total Revenue]]/Table7[[#This Row],[Orders]]</f>
        <v>98380.75</v>
      </c>
      <c r="H234" s="21" t="str">
        <f>IF(Table7[[#This Row],[Orders]]=1,"New",IF(Table7[[#This Row],[Orders]]&lt;=3,"Returning","Loyal"))</f>
        <v>Returning</v>
      </c>
    </row>
    <row r="235" spans="1:8" x14ac:dyDescent="0.25">
      <c r="A235" t="s">
        <v>191</v>
      </c>
      <c r="B235">
        <v>5</v>
      </c>
      <c r="C235">
        <v>9</v>
      </c>
      <c r="D235" s="21">
        <v>224813.5</v>
      </c>
      <c r="E235" s="21">
        <v>76341.78</v>
      </c>
      <c r="F235" s="2">
        <v>4.333333333333333</v>
      </c>
      <c r="G235" s="21">
        <f>Table7[[#This Row],[Total Revenue]]/Table7[[#This Row],[Orders]]</f>
        <v>44962.7</v>
      </c>
      <c r="H235" s="21" t="str">
        <f>IF(Table7[[#This Row],[Orders]]=1,"New",IF(Table7[[#This Row],[Orders]]&lt;=3,"Returning","Loyal"))</f>
        <v>Loyal</v>
      </c>
    </row>
    <row r="236" spans="1:8" x14ac:dyDescent="0.25">
      <c r="A236" t="s">
        <v>1094</v>
      </c>
      <c r="B236">
        <v>5</v>
      </c>
      <c r="C236">
        <v>11</v>
      </c>
      <c r="D236" s="21">
        <v>324233.5</v>
      </c>
      <c r="E236" s="21">
        <v>95817.299999999988</v>
      </c>
      <c r="F236" s="2">
        <v>3.2</v>
      </c>
      <c r="G236" s="21">
        <f>Table7[[#This Row],[Total Revenue]]/Table7[[#This Row],[Orders]]</f>
        <v>64846.7</v>
      </c>
      <c r="H236" s="21" t="str">
        <f>IF(Table7[[#This Row],[Orders]]=1,"New",IF(Table7[[#This Row],[Orders]]&lt;=3,"Returning","Loyal"))</f>
        <v>Loyal</v>
      </c>
    </row>
    <row r="237" spans="1:8" x14ac:dyDescent="0.25">
      <c r="A237" t="s">
        <v>948</v>
      </c>
      <c r="B237">
        <v>5</v>
      </c>
      <c r="C237">
        <v>7</v>
      </c>
      <c r="D237" s="21">
        <v>242438.1</v>
      </c>
      <c r="E237" s="21">
        <v>72450.599999999991</v>
      </c>
      <c r="F237" s="2">
        <v>4</v>
      </c>
      <c r="G237" s="21">
        <f>Table7[[#This Row],[Total Revenue]]/Table7[[#This Row],[Orders]]</f>
        <v>48487.62</v>
      </c>
      <c r="H237" s="21" t="str">
        <f>IF(Table7[[#This Row],[Orders]]=1,"New",IF(Table7[[#This Row],[Orders]]&lt;=3,"Returning","Loyal"))</f>
        <v>Loyal</v>
      </c>
    </row>
    <row r="238" spans="1:8" x14ac:dyDescent="0.25">
      <c r="A238" t="s">
        <v>2054</v>
      </c>
      <c r="B238">
        <v>1</v>
      </c>
      <c r="C238">
        <v>2</v>
      </c>
      <c r="D238" s="21">
        <v>24537.8</v>
      </c>
      <c r="E238" s="21">
        <v>8390.74</v>
      </c>
      <c r="F238" s="2">
        <v>4</v>
      </c>
      <c r="G238" s="21">
        <f>Table7[[#This Row],[Total Revenue]]/Table7[[#This Row],[Orders]]</f>
        <v>24537.8</v>
      </c>
      <c r="H238" s="21" t="str">
        <f>IF(Table7[[#This Row],[Orders]]=1,"New",IF(Table7[[#This Row],[Orders]]&lt;=3,"Returning","Loyal"))</f>
        <v>New</v>
      </c>
    </row>
    <row r="239" spans="1:8" x14ac:dyDescent="0.25">
      <c r="A239" t="s">
        <v>160</v>
      </c>
      <c r="B239">
        <v>2</v>
      </c>
      <c r="C239">
        <v>2</v>
      </c>
      <c r="D239" s="21">
        <v>27077.65</v>
      </c>
      <c r="E239" s="21">
        <v>7548.3600000000006</v>
      </c>
      <c r="F239" s="2">
        <v>3.5</v>
      </c>
      <c r="G239" s="21">
        <f>Table7[[#This Row],[Total Revenue]]/Table7[[#This Row],[Orders]]</f>
        <v>13538.825000000001</v>
      </c>
      <c r="H239" s="21" t="str">
        <f>IF(Table7[[#This Row],[Orders]]=1,"New",IF(Table7[[#This Row],[Orders]]&lt;=3,"Returning","Loyal"))</f>
        <v>Returning</v>
      </c>
    </row>
    <row r="240" spans="1:8" x14ac:dyDescent="0.25">
      <c r="A240" t="s">
        <v>156</v>
      </c>
      <c r="B240">
        <v>9</v>
      </c>
      <c r="C240">
        <v>17</v>
      </c>
      <c r="D240" s="21">
        <v>322798.55000000005</v>
      </c>
      <c r="E240" s="21">
        <v>108631.07</v>
      </c>
      <c r="F240" s="2">
        <v>3</v>
      </c>
      <c r="G240" s="21">
        <f>Table7[[#This Row],[Total Revenue]]/Table7[[#This Row],[Orders]]</f>
        <v>35866.505555555559</v>
      </c>
      <c r="H240" s="21" t="str">
        <f>IF(Table7[[#This Row],[Orders]]=1,"New",IF(Table7[[#This Row],[Orders]]&lt;=3,"Returning","Loyal"))</f>
        <v>Loyal</v>
      </c>
    </row>
    <row r="241" spans="1:8" x14ac:dyDescent="0.25">
      <c r="A241" t="s">
        <v>756</v>
      </c>
      <c r="B241">
        <v>2</v>
      </c>
      <c r="C241">
        <v>5</v>
      </c>
      <c r="D241" s="21">
        <v>103119</v>
      </c>
      <c r="E241" s="21">
        <v>30144.06</v>
      </c>
      <c r="F241" s="2">
        <v>4</v>
      </c>
      <c r="G241" s="21">
        <f>Table7[[#This Row],[Total Revenue]]/Table7[[#This Row],[Orders]]</f>
        <v>51559.5</v>
      </c>
      <c r="H241" s="21" t="str">
        <f>IF(Table7[[#This Row],[Orders]]=1,"New",IF(Table7[[#This Row],[Orders]]&lt;=3,"Returning","Loyal"))</f>
        <v>Returning</v>
      </c>
    </row>
    <row r="242" spans="1:8" x14ac:dyDescent="0.25">
      <c r="A242" t="s">
        <v>1065</v>
      </c>
      <c r="B242">
        <v>4</v>
      </c>
      <c r="C242">
        <v>4</v>
      </c>
      <c r="D242" s="21">
        <v>189288.6</v>
      </c>
      <c r="E242" s="21">
        <v>75159.16</v>
      </c>
      <c r="F242" s="2">
        <v>2.5</v>
      </c>
      <c r="G242" s="21">
        <f>Table7[[#This Row],[Total Revenue]]/Table7[[#This Row],[Orders]]</f>
        <v>47322.15</v>
      </c>
      <c r="H242" s="21" t="str">
        <f>IF(Table7[[#This Row],[Orders]]=1,"New",IF(Table7[[#This Row],[Orders]]&lt;=3,"Returning","Loyal"))</f>
        <v>Loyal</v>
      </c>
    </row>
    <row r="243" spans="1:8" x14ac:dyDescent="0.25">
      <c r="A243" t="s">
        <v>1850</v>
      </c>
      <c r="B243">
        <v>2</v>
      </c>
      <c r="C243">
        <v>4</v>
      </c>
      <c r="D243" s="21">
        <v>289870.65000000002</v>
      </c>
      <c r="E243" s="21">
        <v>58306.97</v>
      </c>
      <c r="F243" s="2">
        <v>4.5</v>
      </c>
      <c r="G243" s="21">
        <f>Table7[[#This Row],[Total Revenue]]/Table7[[#This Row],[Orders]]</f>
        <v>144935.32500000001</v>
      </c>
      <c r="H243" s="21" t="str">
        <f>IF(Table7[[#This Row],[Orders]]=1,"New",IF(Table7[[#This Row],[Orders]]&lt;=3,"Returning","Loyal"))</f>
        <v>Returning</v>
      </c>
    </row>
    <row r="244" spans="1:8" x14ac:dyDescent="0.25">
      <c r="A244" t="s">
        <v>1476</v>
      </c>
      <c r="B244">
        <v>3</v>
      </c>
      <c r="C244">
        <v>4</v>
      </c>
      <c r="D244" s="21">
        <v>241943</v>
      </c>
      <c r="E244" s="21">
        <v>74181.17</v>
      </c>
      <c r="F244" s="2">
        <v>3</v>
      </c>
      <c r="G244" s="21">
        <f>Table7[[#This Row],[Total Revenue]]/Table7[[#This Row],[Orders]]</f>
        <v>80647.666666666672</v>
      </c>
      <c r="H244" s="21" t="str">
        <f>IF(Table7[[#This Row],[Orders]]=1,"New",IF(Table7[[#This Row],[Orders]]&lt;=3,"Returning","Loyal"))</f>
        <v>Returning</v>
      </c>
    </row>
    <row r="245" spans="1:8" x14ac:dyDescent="0.25">
      <c r="A245" t="s">
        <v>941</v>
      </c>
      <c r="B245">
        <v>2</v>
      </c>
      <c r="C245">
        <v>2</v>
      </c>
      <c r="D245" s="21">
        <v>104590</v>
      </c>
      <c r="E245" s="21">
        <v>28649.58</v>
      </c>
      <c r="F245" s="2">
        <v>3</v>
      </c>
      <c r="G245" s="21">
        <f>Table7[[#This Row],[Total Revenue]]/Table7[[#This Row],[Orders]]</f>
        <v>52295</v>
      </c>
      <c r="H245" s="21" t="str">
        <f>IF(Table7[[#This Row],[Orders]]=1,"New",IF(Table7[[#This Row],[Orders]]&lt;=3,"Returning","Loyal"))</f>
        <v>Returning</v>
      </c>
    </row>
    <row r="246" spans="1:8" x14ac:dyDescent="0.25">
      <c r="A246" t="s">
        <v>1862</v>
      </c>
      <c r="B246">
        <v>2</v>
      </c>
      <c r="C246">
        <v>4</v>
      </c>
      <c r="D246" s="21">
        <v>76882.350000000006</v>
      </c>
      <c r="E246" s="21">
        <v>20475.12</v>
      </c>
      <c r="F246" s="2">
        <v>3.5</v>
      </c>
      <c r="G246" s="21">
        <f>Table7[[#This Row],[Total Revenue]]/Table7[[#This Row],[Orders]]</f>
        <v>38441.175000000003</v>
      </c>
      <c r="H246" s="21" t="str">
        <f>IF(Table7[[#This Row],[Orders]]=1,"New",IF(Table7[[#This Row],[Orders]]&lt;=3,"Returning","Loyal"))</f>
        <v>Returning</v>
      </c>
    </row>
    <row r="247" spans="1:8" x14ac:dyDescent="0.25">
      <c r="A247" t="s">
        <v>153</v>
      </c>
      <c r="B247">
        <v>2</v>
      </c>
      <c r="C247">
        <v>4</v>
      </c>
      <c r="D247" s="21">
        <v>94635.599999999991</v>
      </c>
      <c r="E247" s="21">
        <v>29133.97</v>
      </c>
      <c r="F247" s="2">
        <v>4</v>
      </c>
      <c r="G247" s="21">
        <f>Table7[[#This Row],[Total Revenue]]/Table7[[#This Row],[Orders]]</f>
        <v>47317.799999999996</v>
      </c>
      <c r="H247" s="21" t="str">
        <f>IF(Table7[[#This Row],[Orders]]=1,"New",IF(Table7[[#This Row],[Orders]]&lt;=3,"Returning","Loyal"))</f>
        <v>Returning</v>
      </c>
    </row>
    <row r="248" spans="1:8" x14ac:dyDescent="0.25">
      <c r="A248" t="s">
        <v>570</v>
      </c>
      <c r="B248">
        <v>3</v>
      </c>
      <c r="C248">
        <v>4</v>
      </c>
      <c r="D248" s="21">
        <v>249009.85</v>
      </c>
      <c r="E248" s="21">
        <v>64605.15</v>
      </c>
      <c r="F248" s="2">
        <v>5</v>
      </c>
      <c r="G248" s="21">
        <f>Table7[[#This Row],[Total Revenue]]/Table7[[#This Row],[Orders]]</f>
        <v>83003.28333333334</v>
      </c>
      <c r="H248" s="21" t="str">
        <f>IF(Table7[[#This Row],[Orders]]=1,"New",IF(Table7[[#This Row],[Orders]]&lt;=3,"Returning","Loyal"))</f>
        <v>Returning</v>
      </c>
    </row>
    <row r="249" spans="1:8" x14ac:dyDescent="0.25">
      <c r="A249" t="s">
        <v>835</v>
      </c>
      <c r="B249">
        <v>2</v>
      </c>
      <c r="C249">
        <v>2</v>
      </c>
      <c r="D249" s="21">
        <v>50624.2</v>
      </c>
      <c r="E249" s="21">
        <v>19576.189999999999</v>
      </c>
      <c r="F249" s="2">
        <v>5</v>
      </c>
      <c r="G249" s="21">
        <f>Table7[[#This Row],[Total Revenue]]/Table7[[#This Row],[Orders]]</f>
        <v>25312.1</v>
      </c>
      <c r="H249" s="21" t="str">
        <f>IF(Table7[[#This Row],[Orders]]=1,"New",IF(Table7[[#This Row],[Orders]]&lt;=3,"Returning","Loyal"))</f>
        <v>Returning</v>
      </c>
    </row>
    <row r="250" spans="1:8" x14ac:dyDescent="0.25">
      <c r="A250" t="s">
        <v>438</v>
      </c>
      <c r="B250">
        <v>4</v>
      </c>
      <c r="C250">
        <v>9</v>
      </c>
      <c r="D250" s="21">
        <v>245822.25</v>
      </c>
      <c r="E250" s="21">
        <v>70038.13</v>
      </c>
      <c r="F250" s="2">
        <v>3</v>
      </c>
      <c r="G250" s="21">
        <f>Table7[[#This Row],[Total Revenue]]/Table7[[#This Row],[Orders]]</f>
        <v>61455.5625</v>
      </c>
      <c r="H250" s="21" t="str">
        <f>IF(Table7[[#This Row],[Orders]]=1,"New",IF(Table7[[#This Row],[Orders]]&lt;=3,"Returning","Loyal"))</f>
        <v>Loyal</v>
      </c>
    </row>
    <row r="251" spans="1:8" x14ac:dyDescent="0.25">
      <c r="A251" t="s">
        <v>415</v>
      </c>
      <c r="B251">
        <v>2</v>
      </c>
      <c r="C251">
        <v>3</v>
      </c>
      <c r="D251" s="21">
        <v>126165.2</v>
      </c>
      <c r="E251" s="21">
        <v>37235.630000000005</v>
      </c>
      <c r="G251" s="21">
        <f>Table7[[#This Row],[Total Revenue]]/Table7[[#This Row],[Orders]]</f>
        <v>63082.6</v>
      </c>
      <c r="H251" s="21" t="str">
        <f>IF(Table7[[#This Row],[Orders]]=1,"New",IF(Table7[[#This Row],[Orders]]&lt;=3,"Returning","Loyal"))</f>
        <v>Returning</v>
      </c>
    </row>
    <row r="252" spans="1:8" x14ac:dyDescent="0.25">
      <c r="A252" t="s">
        <v>1012</v>
      </c>
      <c r="B252">
        <v>4</v>
      </c>
      <c r="C252">
        <v>7</v>
      </c>
      <c r="D252" s="21">
        <v>101323.5</v>
      </c>
      <c r="E252" s="21">
        <v>30922.52</v>
      </c>
      <c r="F252" s="2">
        <v>5</v>
      </c>
      <c r="G252" s="21">
        <f>Table7[[#This Row],[Total Revenue]]/Table7[[#This Row],[Orders]]</f>
        <v>25330.875</v>
      </c>
      <c r="H252" s="21" t="str">
        <f>IF(Table7[[#This Row],[Orders]]=1,"New",IF(Table7[[#This Row],[Orders]]&lt;=3,"Returning","Loyal"))</f>
        <v>Loyal</v>
      </c>
    </row>
    <row r="253" spans="1:8" x14ac:dyDescent="0.25">
      <c r="A253" t="s">
        <v>1188</v>
      </c>
      <c r="B253">
        <v>3</v>
      </c>
      <c r="C253">
        <v>6</v>
      </c>
      <c r="D253" s="21">
        <v>439444.3</v>
      </c>
      <c r="E253" s="21">
        <v>142943.47</v>
      </c>
      <c r="F253" s="2">
        <v>4.666666666666667</v>
      </c>
      <c r="G253" s="21">
        <f>Table7[[#This Row],[Total Revenue]]/Table7[[#This Row],[Orders]]</f>
        <v>146481.43333333332</v>
      </c>
      <c r="H253" s="21" t="str">
        <f>IF(Table7[[#This Row],[Orders]]=1,"New",IF(Table7[[#This Row],[Orders]]&lt;=3,"Returning","Loyal"))</f>
        <v>Returning</v>
      </c>
    </row>
    <row r="254" spans="1:8" x14ac:dyDescent="0.25">
      <c r="A254" t="s">
        <v>135</v>
      </c>
      <c r="B254">
        <v>3</v>
      </c>
      <c r="C254">
        <v>4</v>
      </c>
      <c r="D254" s="21">
        <v>115544.6</v>
      </c>
      <c r="E254" s="21">
        <v>37853.94</v>
      </c>
      <c r="F254" s="2">
        <v>4.666666666666667</v>
      </c>
      <c r="G254" s="21">
        <f>Table7[[#This Row],[Total Revenue]]/Table7[[#This Row],[Orders]]</f>
        <v>38514.866666666669</v>
      </c>
      <c r="H254" s="21" t="str">
        <f>IF(Table7[[#This Row],[Orders]]=1,"New",IF(Table7[[#This Row],[Orders]]&lt;=3,"Returning","Loyal"))</f>
        <v>Returning</v>
      </c>
    </row>
    <row r="255" spans="1:8" x14ac:dyDescent="0.25">
      <c r="A255" t="s">
        <v>1291</v>
      </c>
      <c r="B255">
        <v>4</v>
      </c>
      <c r="C255">
        <v>8</v>
      </c>
      <c r="D255" s="21">
        <v>227235.20000000001</v>
      </c>
      <c r="E255" s="21">
        <v>65427.53</v>
      </c>
      <c r="F255" s="2">
        <v>3</v>
      </c>
      <c r="G255" s="21">
        <f>Table7[[#This Row],[Total Revenue]]/Table7[[#This Row],[Orders]]</f>
        <v>56808.800000000003</v>
      </c>
      <c r="H255" s="21" t="str">
        <f>IF(Table7[[#This Row],[Orders]]=1,"New",IF(Table7[[#This Row],[Orders]]&lt;=3,"Returning","Loyal"))</f>
        <v>Loyal</v>
      </c>
    </row>
    <row r="256" spans="1:8" x14ac:dyDescent="0.25">
      <c r="A256" t="s">
        <v>237</v>
      </c>
      <c r="B256">
        <v>6</v>
      </c>
      <c r="C256">
        <v>7</v>
      </c>
      <c r="D256" s="21">
        <v>217674.65000000002</v>
      </c>
      <c r="E256" s="21">
        <v>78275.839999999997</v>
      </c>
      <c r="F256" s="2">
        <v>3.4</v>
      </c>
      <c r="G256" s="21">
        <f>Table7[[#This Row],[Total Revenue]]/Table7[[#This Row],[Orders]]</f>
        <v>36279.108333333337</v>
      </c>
      <c r="H256" s="21" t="str">
        <f>IF(Table7[[#This Row],[Orders]]=1,"New",IF(Table7[[#This Row],[Orders]]&lt;=3,"Returning","Loyal"))</f>
        <v>Loyal</v>
      </c>
    </row>
    <row r="257" spans="1:8" x14ac:dyDescent="0.25">
      <c r="A257" t="s">
        <v>1048</v>
      </c>
      <c r="B257">
        <v>2</v>
      </c>
      <c r="C257">
        <v>3</v>
      </c>
      <c r="D257" s="21">
        <v>140740.79999999999</v>
      </c>
      <c r="E257" s="21">
        <v>43240.800000000003</v>
      </c>
      <c r="F257" s="2">
        <v>4.5</v>
      </c>
      <c r="G257" s="21">
        <f>Table7[[#This Row],[Total Revenue]]/Table7[[#This Row],[Orders]]</f>
        <v>70370.399999999994</v>
      </c>
      <c r="H257" s="21" t="str">
        <f>IF(Table7[[#This Row],[Orders]]=1,"New",IF(Table7[[#This Row],[Orders]]&lt;=3,"Returning","Loyal"))</f>
        <v>Returning</v>
      </c>
    </row>
    <row r="258" spans="1:8" x14ac:dyDescent="0.25">
      <c r="A258" t="s">
        <v>318</v>
      </c>
      <c r="B258">
        <v>2</v>
      </c>
      <c r="C258">
        <v>2</v>
      </c>
      <c r="D258" s="21">
        <v>59280.3</v>
      </c>
      <c r="E258" s="21">
        <v>18036.64</v>
      </c>
      <c r="F258" s="2">
        <v>1</v>
      </c>
      <c r="G258" s="21">
        <f>Table7[[#This Row],[Total Revenue]]/Table7[[#This Row],[Orders]]</f>
        <v>29640.15</v>
      </c>
      <c r="H258" s="21" t="str">
        <f>IF(Table7[[#This Row],[Orders]]=1,"New",IF(Table7[[#This Row],[Orders]]&lt;=3,"Returning","Loyal"))</f>
        <v>Returning</v>
      </c>
    </row>
    <row r="259" spans="1:8" x14ac:dyDescent="0.25">
      <c r="A259" t="s">
        <v>908</v>
      </c>
      <c r="B259">
        <v>3</v>
      </c>
      <c r="C259">
        <v>4</v>
      </c>
      <c r="D259" s="21">
        <v>82754.25</v>
      </c>
      <c r="E259" s="21">
        <v>25095.79</v>
      </c>
      <c r="F259" s="2">
        <v>4.666666666666667</v>
      </c>
      <c r="G259" s="21">
        <f>Table7[[#This Row],[Total Revenue]]/Table7[[#This Row],[Orders]]</f>
        <v>27584.75</v>
      </c>
      <c r="H259" s="21" t="str">
        <f>IF(Table7[[#This Row],[Orders]]=1,"New",IF(Table7[[#This Row],[Orders]]&lt;=3,"Returning","Loyal"))</f>
        <v>Returning</v>
      </c>
    </row>
    <row r="260" spans="1:8" x14ac:dyDescent="0.25">
      <c r="A260" t="s">
        <v>1298</v>
      </c>
      <c r="B260">
        <v>2</v>
      </c>
      <c r="C260">
        <v>2</v>
      </c>
      <c r="D260" s="21">
        <v>90572.549999999988</v>
      </c>
      <c r="E260" s="21">
        <v>36061.39</v>
      </c>
      <c r="F260" s="2">
        <v>4</v>
      </c>
      <c r="G260" s="21">
        <f>Table7[[#This Row],[Total Revenue]]/Table7[[#This Row],[Orders]]</f>
        <v>45286.274999999994</v>
      </c>
      <c r="H260" s="21" t="str">
        <f>IF(Table7[[#This Row],[Orders]]=1,"New",IF(Table7[[#This Row],[Orders]]&lt;=3,"Returning","Loyal"))</f>
        <v>Returning</v>
      </c>
    </row>
    <row r="261" spans="1:8" x14ac:dyDescent="0.25">
      <c r="A261" t="s">
        <v>451</v>
      </c>
      <c r="B261">
        <v>4</v>
      </c>
      <c r="C261">
        <v>5</v>
      </c>
      <c r="D261" s="21">
        <v>94353.299999999988</v>
      </c>
      <c r="E261" s="21">
        <v>32287.309999999998</v>
      </c>
      <c r="F261" s="2">
        <v>3.75</v>
      </c>
      <c r="G261" s="21">
        <f>Table7[[#This Row],[Total Revenue]]/Table7[[#This Row],[Orders]]</f>
        <v>23588.324999999997</v>
      </c>
      <c r="H261" s="21" t="str">
        <f>IF(Table7[[#This Row],[Orders]]=1,"New",IF(Table7[[#This Row],[Orders]]&lt;=3,"Returning","Loyal"))</f>
        <v>Loyal</v>
      </c>
    </row>
    <row r="262" spans="1:8" x14ac:dyDescent="0.25">
      <c r="A262" t="s">
        <v>1894</v>
      </c>
      <c r="B262">
        <v>2</v>
      </c>
      <c r="C262">
        <v>2</v>
      </c>
      <c r="D262" s="21">
        <v>57288.6</v>
      </c>
      <c r="E262" s="21">
        <v>21830.32</v>
      </c>
      <c r="F262" s="2">
        <v>3.5</v>
      </c>
      <c r="G262" s="21">
        <f>Table7[[#This Row],[Total Revenue]]/Table7[[#This Row],[Orders]]</f>
        <v>28644.3</v>
      </c>
      <c r="H262" s="21" t="str">
        <f>IF(Table7[[#This Row],[Orders]]=1,"New",IF(Table7[[#This Row],[Orders]]&lt;=3,"Returning","Loyal"))</f>
        <v>Returning</v>
      </c>
    </row>
    <row r="263" spans="1:8" x14ac:dyDescent="0.25">
      <c r="A263" t="s">
        <v>402</v>
      </c>
      <c r="B263">
        <v>3</v>
      </c>
      <c r="C263">
        <v>6</v>
      </c>
      <c r="D263" s="21">
        <v>183189.5</v>
      </c>
      <c r="E263" s="21">
        <v>55806.430000000008</v>
      </c>
      <c r="F263" s="2">
        <v>2</v>
      </c>
      <c r="G263" s="21">
        <f>Table7[[#This Row],[Total Revenue]]/Table7[[#This Row],[Orders]]</f>
        <v>61063.166666666664</v>
      </c>
      <c r="H263" s="21" t="str">
        <f>IF(Table7[[#This Row],[Orders]]=1,"New",IF(Table7[[#This Row],[Orders]]&lt;=3,"Returning","Loyal"))</f>
        <v>Returning</v>
      </c>
    </row>
    <row r="264" spans="1:8" x14ac:dyDescent="0.25">
      <c r="A264" t="s">
        <v>99</v>
      </c>
      <c r="B264">
        <v>5</v>
      </c>
      <c r="C264">
        <v>6</v>
      </c>
      <c r="D264" s="21">
        <v>85077.1</v>
      </c>
      <c r="E264" s="21">
        <v>28401.21</v>
      </c>
      <c r="F264" s="2">
        <v>5</v>
      </c>
      <c r="G264" s="21">
        <f>Table7[[#This Row],[Total Revenue]]/Table7[[#This Row],[Orders]]</f>
        <v>17015.420000000002</v>
      </c>
      <c r="H264" s="21" t="str">
        <f>IF(Table7[[#This Row],[Orders]]=1,"New",IF(Table7[[#This Row],[Orders]]&lt;=3,"Returning","Loyal"))</f>
        <v>Loyal</v>
      </c>
    </row>
    <row r="265" spans="1:8" x14ac:dyDescent="0.25">
      <c r="A265" t="s">
        <v>205</v>
      </c>
      <c r="B265">
        <v>2</v>
      </c>
      <c r="C265">
        <v>3</v>
      </c>
      <c r="D265" s="21">
        <v>188951.3</v>
      </c>
      <c r="E265" s="21">
        <v>78437.090000000011</v>
      </c>
      <c r="F265" s="2">
        <v>4.5</v>
      </c>
      <c r="G265" s="21">
        <f>Table7[[#This Row],[Total Revenue]]/Table7[[#This Row],[Orders]]</f>
        <v>94475.65</v>
      </c>
      <c r="H265" s="21" t="str">
        <f>IF(Table7[[#This Row],[Orders]]=1,"New",IF(Table7[[#This Row],[Orders]]&lt;=3,"Returning","Loyal"))</f>
        <v>Returning</v>
      </c>
    </row>
    <row r="266" spans="1:8" x14ac:dyDescent="0.25">
      <c r="A266" t="s">
        <v>1485</v>
      </c>
      <c r="B266">
        <v>4</v>
      </c>
      <c r="C266">
        <v>8</v>
      </c>
      <c r="D266" s="21">
        <v>250363.2</v>
      </c>
      <c r="E266" s="21">
        <v>79141.89</v>
      </c>
      <c r="F266" s="2">
        <v>5</v>
      </c>
      <c r="G266" s="21">
        <f>Table7[[#This Row],[Total Revenue]]/Table7[[#This Row],[Orders]]</f>
        <v>62590.8</v>
      </c>
      <c r="H266" s="21" t="str">
        <f>IF(Table7[[#This Row],[Orders]]=1,"New",IF(Table7[[#This Row],[Orders]]&lt;=3,"Returning","Loyal"))</f>
        <v>Loyal</v>
      </c>
    </row>
    <row r="267" spans="1:8" x14ac:dyDescent="0.25">
      <c r="A267" t="s">
        <v>1680</v>
      </c>
      <c r="B267">
        <v>3</v>
      </c>
      <c r="C267">
        <v>5</v>
      </c>
      <c r="D267" s="21">
        <v>103082.4</v>
      </c>
      <c r="E267" s="21">
        <v>26697.83</v>
      </c>
      <c r="F267" s="2">
        <v>3.6666666666666665</v>
      </c>
      <c r="G267" s="21">
        <f>Table7[[#This Row],[Total Revenue]]/Table7[[#This Row],[Orders]]</f>
        <v>34360.799999999996</v>
      </c>
      <c r="H267" s="21" t="str">
        <f>IF(Table7[[#This Row],[Orders]]=1,"New",IF(Table7[[#This Row],[Orders]]&lt;=3,"Returning","Loyal"))</f>
        <v>Returning</v>
      </c>
    </row>
    <row r="268" spans="1:8" x14ac:dyDescent="0.25">
      <c r="A268" t="s">
        <v>599</v>
      </c>
      <c r="B268">
        <v>1</v>
      </c>
      <c r="C268">
        <v>3</v>
      </c>
      <c r="D268" s="21">
        <v>67461</v>
      </c>
      <c r="E268" s="21">
        <v>13713.89</v>
      </c>
      <c r="F268" s="2">
        <v>1</v>
      </c>
      <c r="G268" s="21">
        <f>Table7[[#This Row],[Total Revenue]]/Table7[[#This Row],[Orders]]</f>
        <v>67461</v>
      </c>
      <c r="H268" s="21" t="str">
        <f>IF(Table7[[#This Row],[Orders]]=1,"New",IF(Table7[[#This Row],[Orders]]&lt;=3,"Returning","Loyal"))</f>
        <v>New</v>
      </c>
    </row>
    <row r="269" spans="1:8" x14ac:dyDescent="0.25">
      <c r="A269" t="s">
        <v>1567</v>
      </c>
      <c r="B269">
        <v>2</v>
      </c>
      <c r="C269">
        <v>2</v>
      </c>
      <c r="D269" s="21">
        <v>40949.4</v>
      </c>
      <c r="E269" s="21">
        <v>16599.47</v>
      </c>
      <c r="F269" s="2">
        <v>3</v>
      </c>
      <c r="G269" s="21">
        <f>Table7[[#This Row],[Total Revenue]]/Table7[[#This Row],[Orders]]</f>
        <v>20474.7</v>
      </c>
      <c r="H269" s="21" t="str">
        <f>IF(Table7[[#This Row],[Orders]]=1,"New",IF(Table7[[#This Row],[Orders]]&lt;=3,"Returning","Loyal"))</f>
        <v>Returning</v>
      </c>
    </row>
    <row r="270" spans="1:8" x14ac:dyDescent="0.25">
      <c r="A270" t="s">
        <v>558</v>
      </c>
      <c r="B270">
        <v>1</v>
      </c>
      <c r="C270">
        <v>1</v>
      </c>
      <c r="D270" s="21">
        <v>41203.800000000003</v>
      </c>
      <c r="E270" s="21">
        <v>9554.4599999999991</v>
      </c>
      <c r="F270" s="2">
        <v>4</v>
      </c>
      <c r="G270" s="21">
        <f>Table7[[#This Row],[Total Revenue]]/Table7[[#This Row],[Orders]]</f>
        <v>41203.800000000003</v>
      </c>
      <c r="H270" s="21" t="str">
        <f>IF(Table7[[#This Row],[Orders]]=1,"New",IF(Table7[[#This Row],[Orders]]&lt;=3,"Returning","Loyal"))</f>
        <v>New</v>
      </c>
    </row>
    <row r="271" spans="1:8" x14ac:dyDescent="0.25">
      <c r="A271" t="s">
        <v>1234</v>
      </c>
      <c r="B271">
        <v>3</v>
      </c>
      <c r="C271">
        <v>5</v>
      </c>
      <c r="D271" s="21">
        <v>251432</v>
      </c>
      <c r="E271" s="21">
        <v>57610.759999999995</v>
      </c>
      <c r="F271" s="2">
        <v>1</v>
      </c>
      <c r="G271" s="21">
        <f>Table7[[#This Row],[Total Revenue]]/Table7[[#This Row],[Orders]]</f>
        <v>83810.666666666672</v>
      </c>
      <c r="H271" s="21" t="str">
        <f>IF(Table7[[#This Row],[Orders]]=1,"New",IF(Table7[[#This Row],[Orders]]&lt;=3,"Returning","Loyal"))</f>
        <v>Returning</v>
      </c>
    </row>
    <row r="272" spans="1:8" x14ac:dyDescent="0.25">
      <c r="A272" t="s">
        <v>466</v>
      </c>
      <c r="B272">
        <v>4</v>
      </c>
      <c r="C272">
        <v>5</v>
      </c>
      <c r="D272" s="21">
        <v>160454</v>
      </c>
      <c r="E272" s="21">
        <v>60258.57</v>
      </c>
      <c r="F272" s="2">
        <v>2.75</v>
      </c>
      <c r="G272" s="21">
        <f>Table7[[#This Row],[Total Revenue]]/Table7[[#This Row],[Orders]]</f>
        <v>40113.5</v>
      </c>
      <c r="H272" s="21" t="str">
        <f>IF(Table7[[#This Row],[Orders]]=1,"New",IF(Table7[[#This Row],[Orders]]&lt;=3,"Returning","Loyal"))</f>
        <v>Loyal</v>
      </c>
    </row>
    <row r="273" spans="1:8" x14ac:dyDescent="0.25">
      <c r="A273" t="s">
        <v>1952</v>
      </c>
      <c r="B273">
        <v>1</v>
      </c>
      <c r="C273">
        <v>2</v>
      </c>
      <c r="D273" s="21">
        <v>123330</v>
      </c>
      <c r="E273" s="21">
        <v>44287.69</v>
      </c>
      <c r="F273" s="2">
        <v>1</v>
      </c>
      <c r="G273" s="21">
        <f>Table7[[#This Row],[Total Revenue]]/Table7[[#This Row],[Orders]]</f>
        <v>123330</v>
      </c>
      <c r="H273" s="21" t="str">
        <f>IF(Table7[[#This Row],[Orders]]=1,"New",IF(Table7[[#This Row],[Orders]]&lt;=3,"Returning","Loyal"))</f>
        <v>New</v>
      </c>
    </row>
    <row r="274" spans="1:8" x14ac:dyDescent="0.25">
      <c r="A274" t="s">
        <v>695</v>
      </c>
      <c r="B274">
        <v>4</v>
      </c>
      <c r="C274">
        <v>8</v>
      </c>
      <c r="D274" s="21">
        <v>249140.5</v>
      </c>
      <c r="E274" s="21">
        <v>65412.899999999994</v>
      </c>
      <c r="F274" s="2">
        <v>4.666666666666667</v>
      </c>
      <c r="G274" s="21">
        <f>Table7[[#This Row],[Total Revenue]]/Table7[[#This Row],[Orders]]</f>
        <v>62285.125</v>
      </c>
      <c r="H274" s="21" t="str">
        <f>IF(Table7[[#This Row],[Orders]]=1,"New",IF(Table7[[#This Row],[Orders]]&lt;=3,"Returning","Loyal"))</f>
        <v>Loyal</v>
      </c>
    </row>
    <row r="275" spans="1:8" x14ac:dyDescent="0.25">
      <c r="A275" t="s">
        <v>1654</v>
      </c>
      <c r="B275">
        <v>2</v>
      </c>
      <c r="C275">
        <v>7</v>
      </c>
      <c r="D275" s="21">
        <v>112115.1</v>
      </c>
      <c r="E275" s="21">
        <v>39665.57</v>
      </c>
      <c r="F275" s="2">
        <v>3</v>
      </c>
      <c r="G275" s="21">
        <f>Table7[[#This Row],[Total Revenue]]/Table7[[#This Row],[Orders]]</f>
        <v>56057.55</v>
      </c>
      <c r="H275" s="21" t="str">
        <f>IF(Table7[[#This Row],[Orders]]=1,"New",IF(Table7[[#This Row],[Orders]]&lt;=3,"Returning","Loyal"))</f>
        <v>Returning</v>
      </c>
    </row>
    <row r="276" spans="1:8" x14ac:dyDescent="0.25">
      <c r="A276" t="s">
        <v>719</v>
      </c>
      <c r="B276">
        <v>4</v>
      </c>
      <c r="C276">
        <v>4</v>
      </c>
      <c r="D276" s="21">
        <v>124294.2</v>
      </c>
      <c r="E276" s="21">
        <v>33669.19</v>
      </c>
      <c r="F276" s="2">
        <v>2.3333333333333335</v>
      </c>
      <c r="G276" s="21">
        <f>Table7[[#This Row],[Total Revenue]]/Table7[[#This Row],[Orders]]</f>
        <v>31073.55</v>
      </c>
      <c r="H276" s="21" t="str">
        <f>IF(Table7[[#This Row],[Orders]]=1,"New",IF(Table7[[#This Row],[Orders]]&lt;=3,"Returning","Loyal"))</f>
        <v>Loyal</v>
      </c>
    </row>
    <row r="277" spans="1:8" x14ac:dyDescent="0.25">
      <c r="A277" t="s">
        <v>519</v>
      </c>
      <c r="B277">
        <v>1</v>
      </c>
      <c r="C277">
        <v>1</v>
      </c>
      <c r="D277" s="21">
        <v>63288.75</v>
      </c>
      <c r="E277" s="21">
        <v>16019.66</v>
      </c>
      <c r="F277" s="2">
        <v>5</v>
      </c>
      <c r="G277" s="21">
        <f>Table7[[#This Row],[Total Revenue]]/Table7[[#This Row],[Orders]]</f>
        <v>63288.75</v>
      </c>
      <c r="H277" s="21" t="str">
        <f>IF(Table7[[#This Row],[Orders]]=1,"New",IF(Table7[[#This Row],[Orders]]&lt;=3,"Returning","Loyal"))</f>
        <v>New</v>
      </c>
    </row>
    <row r="278" spans="1:8" x14ac:dyDescent="0.25">
      <c r="A278" t="s">
        <v>973</v>
      </c>
      <c r="B278">
        <v>3</v>
      </c>
      <c r="C278">
        <v>4</v>
      </c>
      <c r="D278" s="21">
        <v>75232.149999999994</v>
      </c>
      <c r="E278" s="21">
        <v>21885.279999999999</v>
      </c>
      <c r="F278" s="2">
        <v>2.3333333333333335</v>
      </c>
      <c r="G278" s="21">
        <f>Table7[[#This Row],[Total Revenue]]/Table7[[#This Row],[Orders]]</f>
        <v>25077.383333333331</v>
      </c>
      <c r="H278" s="21" t="str">
        <f>IF(Table7[[#This Row],[Orders]]=1,"New",IF(Table7[[#This Row],[Orders]]&lt;=3,"Returning","Loyal"))</f>
        <v>Returning</v>
      </c>
    </row>
    <row r="279" spans="1:8" x14ac:dyDescent="0.25">
      <c r="A279" t="s">
        <v>174</v>
      </c>
      <c r="B279">
        <v>4</v>
      </c>
      <c r="C279">
        <v>7</v>
      </c>
      <c r="D279" s="21">
        <v>255593.45</v>
      </c>
      <c r="E279" s="21">
        <v>74178.94</v>
      </c>
      <c r="F279" s="2">
        <v>3</v>
      </c>
      <c r="G279" s="21">
        <f>Table7[[#This Row],[Total Revenue]]/Table7[[#This Row],[Orders]]</f>
        <v>63898.362500000003</v>
      </c>
      <c r="H279" s="21" t="str">
        <f>IF(Table7[[#This Row],[Orders]]=1,"New",IF(Table7[[#This Row],[Orders]]&lt;=3,"Returning","Loyal"))</f>
        <v>Loyal</v>
      </c>
    </row>
    <row r="280" spans="1:8" x14ac:dyDescent="0.25">
      <c r="A280" t="s">
        <v>912</v>
      </c>
      <c r="B280">
        <v>4</v>
      </c>
      <c r="C280">
        <v>6</v>
      </c>
      <c r="D280" s="21">
        <v>301782.65000000002</v>
      </c>
      <c r="E280" s="21">
        <v>73430.45</v>
      </c>
      <c r="F280" s="2">
        <v>5</v>
      </c>
      <c r="G280" s="21">
        <f>Table7[[#This Row],[Total Revenue]]/Table7[[#This Row],[Orders]]</f>
        <v>75445.662500000006</v>
      </c>
      <c r="H280" s="21" t="str">
        <f>IF(Table7[[#This Row],[Orders]]=1,"New",IF(Table7[[#This Row],[Orders]]&lt;=3,"Returning","Loyal"))</f>
        <v>Loyal</v>
      </c>
    </row>
    <row r="281" spans="1:8" x14ac:dyDescent="0.25">
      <c r="A281" t="s">
        <v>272</v>
      </c>
      <c r="B281">
        <v>4</v>
      </c>
      <c r="C281">
        <v>7</v>
      </c>
      <c r="D281" s="21">
        <v>258113.8</v>
      </c>
      <c r="E281" s="21">
        <v>82933.69</v>
      </c>
      <c r="F281" s="2">
        <v>5</v>
      </c>
      <c r="G281" s="21">
        <f>Table7[[#This Row],[Total Revenue]]/Table7[[#This Row],[Orders]]</f>
        <v>64528.45</v>
      </c>
      <c r="H281" s="21" t="str">
        <f>IF(Table7[[#This Row],[Orders]]=1,"New",IF(Table7[[#This Row],[Orders]]&lt;=3,"Returning","Loyal"))</f>
        <v>Loyal</v>
      </c>
    </row>
    <row r="282" spans="1:8" x14ac:dyDescent="0.25">
      <c r="A282" t="s">
        <v>717</v>
      </c>
      <c r="B282">
        <v>3</v>
      </c>
      <c r="C282">
        <v>6</v>
      </c>
      <c r="D282" s="21">
        <v>277929.15000000002</v>
      </c>
      <c r="E282" s="21">
        <v>69571.41</v>
      </c>
      <c r="F282" s="2">
        <v>3.6666666666666665</v>
      </c>
      <c r="G282" s="21">
        <f>Table7[[#This Row],[Total Revenue]]/Table7[[#This Row],[Orders]]</f>
        <v>92643.05</v>
      </c>
      <c r="H282" s="21" t="str">
        <f>IF(Table7[[#This Row],[Orders]]=1,"New",IF(Table7[[#This Row],[Orders]]&lt;=3,"Returning","Loyal"))</f>
        <v>Returning</v>
      </c>
    </row>
    <row r="283" spans="1:8" x14ac:dyDescent="0.25">
      <c r="A283" t="s">
        <v>612</v>
      </c>
      <c r="B283">
        <v>3</v>
      </c>
      <c r="C283">
        <v>3</v>
      </c>
      <c r="D283" s="21">
        <v>78385.3</v>
      </c>
      <c r="E283" s="21">
        <v>24040.33</v>
      </c>
      <c r="F283" s="2">
        <v>4.666666666666667</v>
      </c>
      <c r="G283" s="21">
        <f>Table7[[#This Row],[Total Revenue]]/Table7[[#This Row],[Orders]]</f>
        <v>26128.433333333334</v>
      </c>
      <c r="H283" s="21" t="str">
        <f>IF(Table7[[#This Row],[Orders]]=1,"New",IF(Table7[[#This Row],[Orders]]&lt;=3,"Returning","Loyal"))</f>
        <v>Returning</v>
      </c>
    </row>
    <row r="284" spans="1:8" x14ac:dyDescent="0.25">
      <c r="A284" t="s">
        <v>305</v>
      </c>
      <c r="B284">
        <v>5</v>
      </c>
      <c r="C284">
        <v>8</v>
      </c>
      <c r="D284" s="21">
        <v>279558.69999999995</v>
      </c>
      <c r="E284" s="21">
        <v>64385.17</v>
      </c>
      <c r="F284" s="2">
        <v>3.5</v>
      </c>
      <c r="G284" s="21">
        <f>Table7[[#This Row],[Total Revenue]]/Table7[[#This Row],[Orders]]</f>
        <v>55911.739999999991</v>
      </c>
      <c r="H284" s="21" t="str">
        <f>IF(Table7[[#This Row],[Orders]]=1,"New",IF(Table7[[#This Row],[Orders]]&lt;=3,"Returning","Loyal"))</f>
        <v>Loyal</v>
      </c>
    </row>
    <row r="285" spans="1:8" x14ac:dyDescent="0.25">
      <c r="A285" t="s">
        <v>388</v>
      </c>
      <c r="B285">
        <v>3</v>
      </c>
      <c r="C285">
        <v>7</v>
      </c>
      <c r="D285" s="21">
        <v>213660.79999999999</v>
      </c>
      <c r="E285" s="21">
        <v>69460.03</v>
      </c>
      <c r="F285" s="2">
        <v>4</v>
      </c>
      <c r="G285" s="21">
        <f>Table7[[#This Row],[Total Revenue]]/Table7[[#This Row],[Orders]]</f>
        <v>71220.266666666663</v>
      </c>
      <c r="H285" s="21" t="str">
        <f>IF(Table7[[#This Row],[Orders]]=1,"New",IF(Table7[[#This Row],[Orders]]&lt;=3,"Returning","Loyal"))</f>
        <v>Returning</v>
      </c>
    </row>
    <row r="286" spans="1:8" x14ac:dyDescent="0.25">
      <c r="A286" t="s">
        <v>1186</v>
      </c>
      <c r="B286">
        <v>5</v>
      </c>
      <c r="C286">
        <v>8</v>
      </c>
      <c r="D286" s="21">
        <v>184213.1</v>
      </c>
      <c r="E286" s="21">
        <v>60248.119999999995</v>
      </c>
      <c r="F286" s="2">
        <v>4.75</v>
      </c>
      <c r="G286" s="21">
        <f>Table7[[#This Row],[Total Revenue]]/Table7[[#This Row],[Orders]]</f>
        <v>36842.620000000003</v>
      </c>
      <c r="H286" s="21" t="str">
        <f>IF(Table7[[#This Row],[Orders]]=1,"New",IF(Table7[[#This Row],[Orders]]&lt;=3,"Returning","Loyal"))</f>
        <v>Loyal</v>
      </c>
    </row>
    <row r="287" spans="1:8" x14ac:dyDescent="0.25">
      <c r="A287" t="s">
        <v>226</v>
      </c>
      <c r="B287">
        <v>2</v>
      </c>
      <c r="C287">
        <v>3</v>
      </c>
      <c r="D287" s="21">
        <v>42356.3</v>
      </c>
      <c r="E287" s="21">
        <v>10005.14</v>
      </c>
      <c r="F287" s="2">
        <v>5</v>
      </c>
      <c r="G287" s="21">
        <f>Table7[[#This Row],[Total Revenue]]/Table7[[#This Row],[Orders]]</f>
        <v>21178.15</v>
      </c>
      <c r="H287" s="21" t="str">
        <f>IF(Table7[[#This Row],[Orders]]=1,"New",IF(Table7[[#This Row],[Orders]]&lt;=3,"Returning","Loyal"))</f>
        <v>Returning</v>
      </c>
    </row>
    <row r="288" spans="1:8" x14ac:dyDescent="0.25">
      <c r="A288" t="s">
        <v>150</v>
      </c>
      <c r="B288">
        <v>6</v>
      </c>
      <c r="C288">
        <v>12</v>
      </c>
      <c r="D288" s="21">
        <v>441294.2</v>
      </c>
      <c r="E288" s="21">
        <v>125727.54</v>
      </c>
      <c r="F288" s="2">
        <v>3</v>
      </c>
      <c r="G288" s="21">
        <f>Table7[[#This Row],[Total Revenue]]/Table7[[#This Row],[Orders]]</f>
        <v>73549.03333333334</v>
      </c>
      <c r="H288" s="21" t="str">
        <f>IF(Table7[[#This Row],[Orders]]=1,"New",IF(Table7[[#This Row],[Orders]]&lt;=3,"Returning","Loyal"))</f>
        <v>Loyal</v>
      </c>
    </row>
    <row r="289" spans="1:8" x14ac:dyDescent="0.25">
      <c r="A289" t="s">
        <v>903</v>
      </c>
      <c r="B289">
        <v>3</v>
      </c>
      <c r="C289">
        <v>4</v>
      </c>
      <c r="D289" s="21">
        <v>144163.40000000002</v>
      </c>
      <c r="E289" s="21">
        <v>57972.09</v>
      </c>
      <c r="F289" s="2">
        <v>3.6666666666666665</v>
      </c>
      <c r="G289" s="21">
        <f>Table7[[#This Row],[Total Revenue]]/Table7[[#This Row],[Orders]]</f>
        <v>48054.466666666674</v>
      </c>
      <c r="H289" s="21" t="str">
        <f>IF(Table7[[#This Row],[Orders]]=1,"New",IF(Table7[[#This Row],[Orders]]&lt;=3,"Returning","Loyal"))</f>
        <v>Returning</v>
      </c>
    </row>
    <row r="290" spans="1:8" x14ac:dyDescent="0.25">
      <c r="A290" t="s">
        <v>219</v>
      </c>
      <c r="B290">
        <v>5</v>
      </c>
      <c r="C290">
        <v>6</v>
      </c>
      <c r="D290" s="21">
        <v>217072</v>
      </c>
      <c r="E290" s="21">
        <v>58991.96</v>
      </c>
      <c r="F290" s="2">
        <v>4.4000000000000004</v>
      </c>
      <c r="G290" s="21">
        <f>Table7[[#This Row],[Total Revenue]]/Table7[[#This Row],[Orders]]</f>
        <v>43414.400000000001</v>
      </c>
      <c r="H290" s="21" t="str">
        <f>IF(Table7[[#This Row],[Orders]]=1,"New",IF(Table7[[#This Row],[Orders]]&lt;=3,"Returning","Loyal"))</f>
        <v>Loyal</v>
      </c>
    </row>
    <row r="291" spans="1:8" x14ac:dyDescent="0.25">
      <c r="A291" t="s">
        <v>1865</v>
      </c>
      <c r="B291">
        <v>1</v>
      </c>
      <c r="C291">
        <v>1</v>
      </c>
      <c r="D291" s="21">
        <v>6302.3</v>
      </c>
      <c r="E291" s="21">
        <v>1809.75</v>
      </c>
      <c r="F291" s="2">
        <v>5</v>
      </c>
      <c r="G291" s="21">
        <f>Table7[[#This Row],[Total Revenue]]/Table7[[#This Row],[Orders]]</f>
        <v>6302.3</v>
      </c>
      <c r="H291" s="21" t="str">
        <f>IF(Table7[[#This Row],[Orders]]=1,"New",IF(Table7[[#This Row],[Orders]]&lt;=3,"Returning","Loyal"))</f>
        <v>New</v>
      </c>
    </row>
    <row r="292" spans="1:8" x14ac:dyDescent="0.25">
      <c r="A292" t="s">
        <v>496</v>
      </c>
      <c r="B292">
        <v>4</v>
      </c>
      <c r="C292">
        <v>5</v>
      </c>
      <c r="D292" s="21">
        <v>93511</v>
      </c>
      <c r="E292" s="21">
        <v>28231.100000000002</v>
      </c>
      <c r="F292" s="2">
        <v>3</v>
      </c>
      <c r="G292" s="21">
        <f>Table7[[#This Row],[Total Revenue]]/Table7[[#This Row],[Orders]]</f>
        <v>23377.75</v>
      </c>
      <c r="H292" s="21" t="str">
        <f>IF(Table7[[#This Row],[Orders]]=1,"New",IF(Table7[[#This Row],[Orders]]&lt;=3,"Returning","Loyal"))</f>
        <v>Loyal</v>
      </c>
    </row>
    <row r="293" spans="1:8" x14ac:dyDescent="0.25">
      <c r="A293" t="s">
        <v>1129</v>
      </c>
      <c r="B293">
        <v>1</v>
      </c>
      <c r="C293">
        <v>2</v>
      </c>
      <c r="D293" s="21">
        <v>76558</v>
      </c>
      <c r="E293" s="21">
        <v>27860.09</v>
      </c>
      <c r="F293" s="2">
        <v>4</v>
      </c>
      <c r="G293" s="21">
        <f>Table7[[#This Row],[Total Revenue]]/Table7[[#This Row],[Orders]]</f>
        <v>76558</v>
      </c>
      <c r="H293" s="21" t="str">
        <f>IF(Table7[[#This Row],[Orders]]=1,"New",IF(Table7[[#This Row],[Orders]]&lt;=3,"Returning","Loyal"))</f>
        <v>New</v>
      </c>
    </row>
    <row r="294" spans="1:8" x14ac:dyDescent="0.25">
      <c r="A294" t="s">
        <v>857</v>
      </c>
      <c r="B294">
        <v>3</v>
      </c>
      <c r="C294">
        <v>3</v>
      </c>
      <c r="D294" s="21">
        <v>68036.2</v>
      </c>
      <c r="E294" s="21">
        <v>24349.040000000001</v>
      </c>
      <c r="F294" s="2">
        <v>4.333333333333333</v>
      </c>
      <c r="G294" s="21">
        <f>Table7[[#This Row],[Total Revenue]]/Table7[[#This Row],[Orders]]</f>
        <v>22678.733333333334</v>
      </c>
      <c r="H294" s="21" t="str">
        <f>IF(Table7[[#This Row],[Orders]]=1,"New",IF(Table7[[#This Row],[Orders]]&lt;=3,"Returning","Loyal"))</f>
        <v>Returning</v>
      </c>
    </row>
    <row r="295" spans="1:8" x14ac:dyDescent="0.25">
      <c r="A295" t="s">
        <v>1769</v>
      </c>
      <c r="B295">
        <v>2</v>
      </c>
      <c r="C295">
        <v>3</v>
      </c>
      <c r="D295" s="21">
        <v>29104.3</v>
      </c>
      <c r="E295" s="21">
        <v>9991.32</v>
      </c>
      <c r="F295" s="2">
        <v>3</v>
      </c>
      <c r="G295" s="21">
        <f>Table7[[#This Row],[Total Revenue]]/Table7[[#This Row],[Orders]]</f>
        <v>14552.15</v>
      </c>
      <c r="H295" s="21" t="str">
        <f>IF(Table7[[#This Row],[Orders]]=1,"New",IF(Table7[[#This Row],[Orders]]&lt;=3,"Returning","Loyal"))</f>
        <v>Returning</v>
      </c>
    </row>
    <row r="296" spans="1:8" x14ac:dyDescent="0.25">
      <c r="A296" t="s">
        <v>201</v>
      </c>
      <c r="B296">
        <v>4</v>
      </c>
      <c r="C296">
        <v>7</v>
      </c>
      <c r="D296" s="21">
        <v>228739.75</v>
      </c>
      <c r="E296" s="21">
        <v>72405.649999999994</v>
      </c>
      <c r="F296" s="2">
        <v>4</v>
      </c>
      <c r="G296" s="21">
        <f>Table7[[#This Row],[Total Revenue]]/Table7[[#This Row],[Orders]]</f>
        <v>57184.9375</v>
      </c>
      <c r="H296" s="21" t="str">
        <f>IF(Table7[[#This Row],[Orders]]=1,"New",IF(Table7[[#This Row],[Orders]]&lt;=3,"Returning","Loyal"))</f>
        <v>Loyal</v>
      </c>
    </row>
    <row r="297" spans="1:8" x14ac:dyDescent="0.25">
      <c r="A297" t="s">
        <v>1343</v>
      </c>
      <c r="B297">
        <v>1</v>
      </c>
      <c r="C297">
        <v>1</v>
      </c>
      <c r="D297" s="21">
        <v>5425</v>
      </c>
      <c r="E297" s="21">
        <v>2283.5300000000002</v>
      </c>
      <c r="F297" s="2">
        <v>2</v>
      </c>
      <c r="G297" s="21">
        <f>Table7[[#This Row],[Total Revenue]]/Table7[[#This Row],[Orders]]</f>
        <v>5425</v>
      </c>
      <c r="H297" s="21" t="str">
        <f>IF(Table7[[#This Row],[Orders]]=1,"New",IF(Table7[[#This Row],[Orders]]&lt;=3,"Returning","Loyal"))</f>
        <v>New</v>
      </c>
    </row>
    <row r="298" spans="1:8" x14ac:dyDescent="0.25">
      <c r="A298" t="s">
        <v>887</v>
      </c>
      <c r="B298">
        <v>3</v>
      </c>
      <c r="C298">
        <v>5</v>
      </c>
      <c r="D298" s="21">
        <v>123945.9</v>
      </c>
      <c r="E298" s="21">
        <v>37235.270000000004</v>
      </c>
      <c r="F298" s="2">
        <v>3</v>
      </c>
      <c r="G298" s="21">
        <f>Table7[[#This Row],[Total Revenue]]/Table7[[#This Row],[Orders]]</f>
        <v>41315.299999999996</v>
      </c>
      <c r="H298" s="21" t="str">
        <f>IF(Table7[[#This Row],[Orders]]=1,"New",IF(Table7[[#This Row],[Orders]]&lt;=3,"Returning","Loyal"))</f>
        <v>Returning</v>
      </c>
    </row>
    <row r="299" spans="1:8" x14ac:dyDescent="0.25">
      <c r="A299" t="s">
        <v>977</v>
      </c>
      <c r="B299">
        <v>2</v>
      </c>
      <c r="C299">
        <v>5</v>
      </c>
      <c r="D299" s="21">
        <v>116401.4</v>
      </c>
      <c r="E299" s="21">
        <v>44898.89</v>
      </c>
      <c r="F299" s="2">
        <v>1</v>
      </c>
      <c r="G299" s="21">
        <f>Table7[[#This Row],[Total Revenue]]/Table7[[#This Row],[Orders]]</f>
        <v>58200.7</v>
      </c>
      <c r="H299" s="21" t="str">
        <f>IF(Table7[[#This Row],[Orders]]=1,"New",IF(Table7[[#This Row],[Orders]]&lt;=3,"Returning","Loyal"))</f>
        <v>Returning</v>
      </c>
    </row>
    <row r="300" spans="1:8" x14ac:dyDescent="0.25">
      <c r="A300" t="s">
        <v>555</v>
      </c>
      <c r="B300">
        <v>5</v>
      </c>
      <c r="C300">
        <v>7</v>
      </c>
      <c r="D300" s="21">
        <v>86453.4</v>
      </c>
      <c r="E300" s="21">
        <v>27610.21</v>
      </c>
      <c r="F300" s="2">
        <v>3.3333333333333335</v>
      </c>
      <c r="G300" s="21">
        <f>Table7[[#This Row],[Total Revenue]]/Table7[[#This Row],[Orders]]</f>
        <v>17290.68</v>
      </c>
      <c r="H300" s="21" t="str">
        <f>IF(Table7[[#This Row],[Orders]]=1,"New",IF(Table7[[#This Row],[Orders]]&lt;=3,"Returning","Loyal"))</f>
        <v>Loyal</v>
      </c>
    </row>
    <row r="301" spans="1:8" x14ac:dyDescent="0.25">
      <c r="A301" t="s">
        <v>123</v>
      </c>
      <c r="B301">
        <v>3</v>
      </c>
      <c r="C301">
        <v>4</v>
      </c>
      <c r="D301" s="21">
        <v>185288.75</v>
      </c>
      <c r="E301" s="21">
        <v>45339.149999999994</v>
      </c>
      <c r="F301" s="2">
        <v>5</v>
      </c>
      <c r="G301" s="21">
        <f>Table7[[#This Row],[Total Revenue]]/Table7[[#This Row],[Orders]]</f>
        <v>61762.916666666664</v>
      </c>
      <c r="H301" s="21" t="str">
        <f>IF(Table7[[#This Row],[Orders]]=1,"New",IF(Table7[[#This Row],[Orders]]&lt;=3,"Returning","Loyal"))</f>
        <v>Returning</v>
      </c>
    </row>
    <row r="302" spans="1:8" x14ac:dyDescent="0.25">
      <c r="A302" t="s">
        <v>368</v>
      </c>
      <c r="B302">
        <v>2</v>
      </c>
      <c r="C302">
        <v>3</v>
      </c>
      <c r="D302" s="21">
        <v>90428</v>
      </c>
      <c r="E302" s="21">
        <v>31174.32</v>
      </c>
      <c r="F302" s="2">
        <v>3</v>
      </c>
      <c r="G302" s="21">
        <f>Table7[[#This Row],[Total Revenue]]/Table7[[#This Row],[Orders]]</f>
        <v>45214</v>
      </c>
      <c r="H302" s="21" t="str">
        <f>IF(Table7[[#This Row],[Orders]]=1,"New",IF(Table7[[#This Row],[Orders]]&lt;=3,"Returning","Loyal"))</f>
        <v>Returning</v>
      </c>
    </row>
    <row r="303" spans="1:8" x14ac:dyDescent="0.25">
      <c r="A303" t="s">
        <v>1041</v>
      </c>
      <c r="B303">
        <v>4</v>
      </c>
      <c r="C303">
        <v>7</v>
      </c>
      <c r="D303" s="21">
        <v>149318.79999999999</v>
      </c>
      <c r="E303" s="21">
        <v>45005.850000000006</v>
      </c>
      <c r="F303" s="2">
        <v>3</v>
      </c>
      <c r="G303" s="21">
        <f>Table7[[#This Row],[Total Revenue]]/Table7[[#This Row],[Orders]]</f>
        <v>37329.699999999997</v>
      </c>
      <c r="H303" s="21" t="str">
        <f>IF(Table7[[#This Row],[Orders]]=1,"New",IF(Table7[[#This Row],[Orders]]&lt;=3,"Returning","Loyal"))</f>
        <v>Loyal</v>
      </c>
    </row>
    <row r="304" spans="1:8" x14ac:dyDescent="0.25">
      <c r="A304" t="s">
        <v>1392</v>
      </c>
      <c r="B304">
        <v>2</v>
      </c>
      <c r="C304">
        <v>4</v>
      </c>
      <c r="D304" s="21">
        <v>53210.9</v>
      </c>
      <c r="E304" s="21">
        <v>17559.96</v>
      </c>
      <c r="F304" s="2">
        <v>4.5</v>
      </c>
      <c r="G304" s="21">
        <f>Table7[[#This Row],[Total Revenue]]/Table7[[#This Row],[Orders]]</f>
        <v>26605.45</v>
      </c>
      <c r="H304" s="21" t="str">
        <f>IF(Table7[[#This Row],[Orders]]=1,"New",IF(Table7[[#This Row],[Orders]]&lt;=3,"Returning","Loyal"))</f>
        <v>Returning</v>
      </c>
    </row>
    <row r="305" spans="1:8" x14ac:dyDescent="0.25">
      <c r="A305" t="s">
        <v>294</v>
      </c>
      <c r="B305">
        <v>2</v>
      </c>
      <c r="C305">
        <v>3</v>
      </c>
      <c r="D305" s="21">
        <v>53094.6</v>
      </c>
      <c r="E305" s="21">
        <v>18321.23</v>
      </c>
      <c r="F305" s="2">
        <v>2.5</v>
      </c>
      <c r="G305" s="21">
        <f>Table7[[#This Row],[Total Revenue]]/Table7[[#This Row],[Orders]]</f>
        <v>26547.3</v>
      </c>
      <c r="H305" s="21" t="str">
        <f>IF(Table7[[#This Row],[Orders]]=1,"New",IF(Table7[[#This Row],[Orders]]&lt;=3,"Returning","Loyal"))</f>
        <v>Returning</v>
      </c>
    </row>
    <row r="306" spans="1:8" x14ac:dyDescent="0.25">
      <c r="A306" t="s">
        <v>854</v>
      </c>
      <c r="B306">
        <v>4</v>
      </c>
      <c r="C306">
        <v>6</v>
      </c>
      <c r="D306" s="21">
        <v>290626.2</v>
      </c>
      <c r="E306" s="21">
        <v>84574.31</v>
      </c>
      <c r="F306" s="2">
        <v>5</v>
      </c>
      <c r="G306" s="21">
        <f>Table7[[#This Row],[Total Revenue]]/Table7[[#This Row],[Orders]]</f>
        <v>72656.55</v>
      </c>
      <c r="H306" s="21" t="str">
        <f>IF(Table7[[#This Row],[Orders]]=1,"New",IF(Table7[[#This Row],[Orders]]&lt;=3,"Returning","Loyal"))</f>
        <v>Loyal</v>
      </c>
    </row>
    <row r="307" spans="1:8" x14ac:dyDescent="0.25">
      <c r="A307" t="s">
        <v>1007</v>
      </c>
      <c r="B307">
        <v>4</v>
      </c>
      <c r="C307">
        <v>4</v>
      </c>
      <c r="D307" s="21">
        <v>73447.75</v>
      </c>
      <c r="E307" s="21">
        <v>27635.279999999999</v>
      </c>
      <c r="F307" s="2">
        <v>5</v>
      </c>
      <c r="G307" s="21">
        <f>Table7[[#This Row],[Total Revenue]]/Table7[[#This Row],[Orders]]</f>
        <v>18361.9375</v>
      </c>
      <c r="H307" s="21" t="str">
        <f>IF(Table7[[#This Row],[Orders]]=1,"New",IF(Table7[[#This Row],[Orders]]&lt;=3,"Returning","Loyal"))</f>
        <v>Loyal</v>
      </c>
    </row>
    <row r="308" spans="1:8" x14ac:dyDescent="0.25">
      <c r="A308" t="s">
        <v>312</v>
      </c>
      <c r="B308">
        <v>4</v>
      </c>
      <c r="C308">
        <v>4</v>
      </c>
      <c r="D308" s="21">
        <v>72782.149999999994</v>
      </c>
      <c r="E308" s="21">
        <v>24483.39</v>
      </c>
      <c r="F308" s="2">
        <v>2.5</v>
      </c>
      <c r="G308" s="21">
        <f>Table7[[#This Row],[Total Revenue]]/Table7[[#This Row],[Orders]]</f>
        <v>18195.537499999999</v>
      </c>
      <c r="H308" s="21" t="str">
        <f>IF(Table7[[#This Row],[Orders]]=1,"New",IF(Table7[[#This Row],[Orders]]&lt;=3,"Returning","Loyal"))</f>
        <v>Loyal</v>
      </c>
    </row>
    <row r="309" spans="1:8" x14ac:dyDescent="0.25">
      <c r="A309" t="s">
        <v>1523</v>
      </c>
      <c r="B309">
        <v>2</v>
      </c>
      <c r="C309">
        <v>2</v>
      </c>
      <c r="D309" s="21">
        <v>124826.35</v>
      </c>
      <c r="E309" s="21">
        <v>33662.06</v>
      </c>
      <c r="F309" s="2">
        <v>3</v>
      </c>
      <c r="G309" s="21">
        <f>Table7[[#This Row],[Total Revenue]]/Table7[[#This Row],[Orders]]</f>
        <v>62413.175000000003</v>
      </c>
      <c r="H309" s="21" t="str">
        <f>IF(Table7[[#This Row],[Orders]]=1,"New",IF(Table7[[#This Row],[Orders]]&lt;=3,"Returning","Loyal"))</f>
        <v>Returning</v>
      </c>
    </row>
    <row r="310" spans="1:8" x14ac:dyDescent="0.25">
      <c r="A310" t="s">
        <v>337</v>
      </c>
      <c r="B310">
        <v>5</v>
      </c>
      <c r="C310">
        <v>7</v>
      </c>
      <c r="D310" s="21">
        <v>245692.25</v>
      </c>
      <c r="E310" s="21">
        <v>101445.40000000001</v>
      </c>
      <c r="F310" s="2">
        <v>4</v>
      </c>
      <c r="G310" s="21">
        <f>Table7[[#This Row],[Total Revenue]]/Table7[[#This Row],[Orders]]</f>
        <v>49138.45</v>
      </c>
      <c r="H310" s="21" t="str">
        <f>IF(Table7[[#This Row],[Orders]]=1,"New",IF(Table7[[#This Row],[Orders]]&lt;=3,"Returning","Loyal"))</f>
        <v>Loyal</v>
      </c>
    </row>
    <row r="311" spans="1:8" x14ac:dyDescent="0.25">
      <c r="A311" t="s">
        <v>1260</v>
      </c>
      <c r="B311">
        <v>2</v>
      </c>
      <c r="C311">
        <v>3</v>
      </c>
      <c r="D311" s="21">
        <v>40860.75</v>
      </c>
      <c r="E311" s="21">
        <v>15242.150000000001</v>
      </c>
      <c r="F311" s="2">
        <v>3</v>
      </c>
      <c r="G311" s="21">
        <f>Table7[[#This Row],[Total Revenue]]/Table7[[#This Row],[Orders]]</f>
        <v>20430.375</v>
      </c>
      <c r="H311" s="21" t="str">
        <f>IF(Table7[[#This Row],[Orders]]=1,"New",IF(Table7[[#This Row],[Orders]]&lt;=3,"Returning","Loyal"))</f>
        <v>Returning</v>
      </c>
    </row>
    <row r="312" spans="1:8" x14ac:dyDescent="0.25">
      <c r="A312" t="s">
        <v>1154</v>
      </c>
      <c r="B312">
        <v>3</v>
      </c>
      <c r="C312">
        <v>5</v>
      </c>
      <c r="D312" s="21">
        <v>411955</v>
      </c>
      <c r="E312" s="21">
        <v>120745.18</v>
      </c>
      <c r="F312" s="2">
        <v>4</v>
      </c>
      <c r="G312" s="21">
        <f>Table7[[#This Row],[Total Revenue]]/Table7[[#This Row],[Orders]]</f>
        <v>137318.33333333334</v>
      </c>
      <c r="H312" s="21" t="str">
        <f>IF(Table7[[#This Row],[Orders]]=1,"New",IF(Table7[[#This Row],[Orders]]&lt;=3,"Returning","Loyal"))</f>
        <v>Returning</v>
      </c>
    </row>
    <row r="313" spans="1:8" x14ac:dyDescent="0.25">
      <c r="A313" t="s">
        <v>1805</v>
      </c>
      <c r="B313">
        <v>2</v>
      </c>
      <c r="C313">
        <v>3</v>
      </c>
      <c r="D313" s="21">
        <v>141598.45000000001</v>
      </c>
      <c r="E313" s="21">
        <v>43425.69</v>
      </c>
      <c r="F313" s="2">
        <v>3.5</v>
      </c>
      <c r="G313" s="21">
        <f>Table7[[#This Row],[Total Revenue]]/Table7[[#This Row],[Orders]]</f>
        <v>70799.225000000006</v>
      </c>
      <c r="H313" s="21" t="str">
        <f>IF(Table7[[#This Row],[Orders]]=1,"New",IF(Table7[[#This Row],[Orders]]&lt;=3,"Returning","Loyal"))</f>
        <v>Returning</v>
      </c>
    </row>
    <row r="314" spans="1:8" x14ac:dyDescent="0.25">
      <c r="A314" t="s">
        <v>209</v>
      </c>
      <c r="B314">
        <v>4</v>
      </c>
      <c r="C314">
        <v>4</v>
      </c>
      <c r="D314" s="21">
        <v>175351.3</v>
      </c>
      <c r="E314" s="21">
        <v>38412.67</v>
      </c>
      <c r="F314" s="2">
        <v>5</v>
      </c>
      <c r="G314" s="21">
        <f>Table7[[#This Row],[Total Revenue]]/Table7[[#This Row],[Orders]]</f>
        <v>43837.824999999997</v>
      </c>
      <c r="H314" s="21" t="str">
        <f>IF(Table7[[#This Row],[Orders]]=1,"New",IF(Table7[[#This Row],[Orders]]&lt;=3,"Returning","Loyal"))</f>
        <v>Loyal</v>
      </c>
    </row>
    <row r="315" spans="1:8" x14ac:dyDescent="0.25">
      <c r="A315" t="s">
        <v>797</v>
      </c>
      <c r="B315">
        <v>4</v>
      </c>
      <c r="C315">
        <v>7</v>
      </c>
      <c r="D315" s="21">
        <v>197304.7</v>
      </c>
      <c r="E315" s="21">
        <v>48869.75</v>
      </c>
      <c r="F315" s="2">
        <v>4</v>
      </c>
      <c r="G315" s="21">
        <f>Table7[[#This Row],[Total Revenue]]/Table7[[#This Row],[Orders]]</f>
        <v>49326.175000000003</v>
      </c>
      <c r="H315" s="21" t="str">
        <f>IF(Table7[[#This Row],[Orders]]=1,"New",IF(Table7[[#This Row],[Orders]]&lt;=3,"Returning","Loyal"))</f>
        <v>Loyal</v>
      </c>
    </row>
    <row r="316" spans="1:8" x14ac:dyDescent="0.25">
      <c r="A316" t="s">
        <v>276</v>
      </c>
      <c r="B316">
        <v>1</v>
      </c>
      <c r="C316">
        <v>3</v>
      </c>
      <c r="D316" s="21">
        <v>164527.20000000001</v>
      </c>
      <c r="E316" s="21">
        <v>37606.94</v>
      </c>
      <c r="F316" s="2">
        <v>4</v>
      </c>
      <c r="G316" s="21">
        <f>Table7[[#This Row],[Total Revenue]]/Table7[[#This Row],[Orders]]</f>
        <v>164527.20000000001</v>
      </c>
      <c r="H316" s="21" t="str">
        <f>IF(Table7[[#This Row],[Orders]]=1,"New",IF(Table7[[#This Row],[Orders]]&lt;=3,"Returning","Loyal"))</f>
        <v>New</v>
      </c>
    </row>
    <row r="317" spans="1:8" x14ac:dyDescent="0.25">
      <c r="A317" t="s">
        <v>762</v>
      </c>
      <c r="B317">
        <v>4</v>
      </c>
      <c r="C317">
        <v>9</v>
      </c>
      <c r="D317" s="21">
        <v>274353.34999999998</v>
      </c>
      <c r="E317" s="21">
        <v>85572.82</v>
      </c>
      <c r="F317" s="2">
        <v>3.3333333333333335</v>
      </c>
      <c r="G317" s="21">
        <f>Table7[[#This Row],[Total Revenue]]/Table7[[#This Row],[Orders]]</f>
        <v>68588.337499999994</v>
      </c>
      <c r="H317" s="21" t="str">
        <f>IF(Table7[[#This Row],[Orders]]=1,"New",IF(Table7[[#This Row],[Orders]]&lt;=3,"Returning","Loyal"))</f>
        <v>Loyal</v>
      </c>
    </row>
    <row r="318" spans="1:8" x14ac:dyDescent="0.25">
      <c r="A318" t="s">
        <v>1787</v>
      </c>
      <c r="B318">
        <v>2</v>
      </c>
      <c r="C318">
        <v>2</v>
      </c>
      <c r="D318" s="21">
        <v>31211</v>
      </c>
      <c r="E318" s="21">
        <v>9466.619999999999</v>
      </c>
      <c r="F318" s="2">
        <v>4</v>
      </c>
      <c r="G318" s="21">
        <f>Table7[[#This Row],[Total Revenue]]/Table7[[#This Row],[Orders]]</f>
        <v>15605.5</v>
      </c>
      <c r="H318" s="21" t="str">
        <f>IF(Table7[[#This Row],[Orders]]=1,"New",IF(Table7[[#This Row],[Orders]]&lt;=3,"Returning","Loyal"))</f>
        <v>Returning</v>
      </c>
    </row>
    <row r="319" spans="1:8" x14ac:dyDescent="0.25">
      <c r="A319" t="s">
        <v>2095</v>
      </c>
      <c r="B319">
        <v>2</v>
      </c>
      <c r="C319">
        <v>3</v>
      </c>
      <c r="D319" s="21">
        <v>42470.6</v>
      </c>
      <c r="E319" s="21">
        <v>14337.23</v>
      </c>
      <c r="F319" s="2">
        <v>3.5</v>
      </c>
      <c r="G319" s="21">
        <f>Table7[[#This Row],[Total Revenue]]/Table7[[#This Row],[Orders]]</f>
        <v>21235.3</v>
      </c>
      <c r="H319" s="21" t="str">
        <f>IF(Table7[[#This Row],[Orders]]=1,"New",IF(Table7[[#This Row],[Orders]]&lt;=3,"Returning","Loyal"))</f>
        <v>Returning</v>
      </c>
    </row>
    <row r="320" spans="1:8" x14ac:dyDescent="0.25">
      <c r="A320" t="s">
        <v>316</v>
      </c>
      <c r="B320">
        <v>5</v>
      </c>
      <c r="C320">
        <v>10</v>
      </c>
      <c r="D320" s="21">
        <v>423345.75</v>
      </c>
      <c r="E320" s="21">
        <v>130778.49</v>
      </c>
      <c r="F320" s="2">
        <v>2.2000000000000002</v>
      </c>
      <c r="G320" s="21">
        <f>Table7[[#This Row],[Total Revenue]]/Table7[[#This Row],[Orders]]</f>
        <v>84669.15</v>
      </c>
      <c r="H320" s="21" t="str">
        <f>IF(Table7[[#This Row],[Orders]]=1,"New",IF(Table7[[#This Row],[Orders]]&lt;=3,"Returning","Loyal"))</f>
        <v>Loyal</v>
      </c>
    </row>
    <row r="321" spans="1:8" x14ac:dyDescent="0.25">
      <c r="A321" t="s">
        <v>814</v>
      </c>
      <c r="B321">
        <v>3</v>
      </c>
      <c r="C321">
        <v>5</v>
      </c>
      <c r="D321" s="21">
        <v>75918.7</v>
      </c>
      <c r="E321" s="21">
        <v>20709.07</v>
      </c>
      <c r="F321" s="2">
        <v>4</v>
      </c>
      <c r="G321" s="21">
        <f>Table7[[#This Row],[Total Revenue]]/Table7[[#This Row],[Orders]]</f>
        <v>25306.233333333334</v>
      </c>
      <c r="H321" s="21" t="str">
        <f>IF(Table7[[#This Row],[Orders]]=1,"New",IF(Table7[[#This Row],[Orders]]&lt;=3,"Returning","Loyal"))</f>
        <v>Returning</v>
      </c>
    </row>
    <row r="322" spans="1:8" x14ac:dyDescent="0.25">
      <c r="A322" t="s">
        <v>591</v>
      </c>
      <c r="B322">
        <v>3</v>
      </c>
      <c r="C322">
        <v>5</v>
      </c>
      <c r="D322" s="21">
        <v>86829.700000000012</v>
      </c>
      <c r="E322" s="21">
        <v>28015.56</v>
      </c>
      <c r="F322" s="2">
        <v>3.6666666666666665</v>
      </c>
      <c r="G322" s="21">
        <f>Table7[[#This Row],[Total Revenue]]/Table7[[#This Row],[Orders]]</f>
        <v>28943.233333333337</v>
      </c>
      <c r="H322" s="21" t="str">
        <f>IF(Table7[[#This Row],[Orders]]=1,"New",IF(Table7[[#This Row],[Orders]]&lt;=3,"Returning","Loyal"))</f>
        <v>Returning</v>
      </c>
    </row>
    <row r="323" spans="1:8" x14ac:dyDescent="0.25">
      <c r="A323" t="s">
        <v>259</v>
      </c>
      <c r="B323">
        <v>2</v>
      </c>
      <c r="C323">
        <v>3</v>
      </c>
      <c r="D323" s="21">
        <v>76716.5</v>
      </c>
      <c r="E323" s="21">
        <v>28256.36</v>
      </c>
      <c r="F323" s="2">
        <v>2</v>
      </c>
      <c r="G323" s="21">
        <f>Table7[[#This Row],[Total Revenue]]/Table7[[#This Row],[Orders]]</f>
        <v>38358.25</v>
      </c>
      <c r="H323" s="21" t="str">
        <f>IF(Table7[[#This Row],[Orders]]=1,"New",IF(Table7[[#This Row],[Orders]]&lt;=3,"Returning","Loyal"))</f>
        <v>Returning</v>
      </c>
    </row>
    <row r="324" spans="1:8" x14ac:dyDescent="0.25">
      <c r="A324" t="s">
        <v>133</v>
      </c>
      <c r="B324">
        <v>4</v>
      </c>
      <c r="C324">
        <v>8</v>
      </c>
      <c r="D324" s="21">
        <v>315030</v>
      </c>
      <c r="E324" s="21">
        <v>125643.52</v>
      </c>
      <c r="F324" s="2">
        <v>4</v>
      </c>
      <c r="G324" s="21">
        <f>Table7[[#This Row],[Total Revenue]]/Table7[[#This Row],[Orders]]</f>
        <v>78757.5</v>
      </c>
      <c r="H324" s="21" t="str">
        <f>IF(Table7[[#This Row],[Orders]]=1,"New",IF(Table7[[#This Row],[Orders]]&lt;=3,"Returning","Loyal"))</f>
        <v>Loyal</v>
      </c>
    </row>
    <row r="325" spans="1:8" x14ac:dyDescent="0.25">
      <c r="A325" t="s">
        <v>117</v>
      </c>
      <c r="B325">
        <v>4</v>
      </c>
      <c r="C325">
        <v>5</v>
      </c>
      <c r="D325" s="21">
        <v>259704.75</v>
      </c>
      <c r="E325" s="21">
        <v>106101.21</v>
      </c>
      <c r="F325" s="2">
        <v>3.5</v>
      </c>
      <c r="G325" s="21">
        <f>Table7[[#This Row],[Total Revenue]]/Table7[[#This Row],[Orders]]</f>
        <v>64926.1875</v>
      </c>
      <c r="H325" s="21" t="str">
        <f>IF(Table7[[#This Row],[Orders]]=1,"New",IF(Table7[[#This Row],[Orders]]&lt;=3,"Returning","Loyal"))</f>
        <v>Loyal</v>
      </c>
    </row>
    <row r="326" spans="1:8" x14ac:dyDescent="0.25">
      <c r="A326" t="s">
        <v>772</v>
      </c>
      <c r="B326">
        <v>2</v>
      </c>
      <c r="C326">
        <v>2</v>
      </c>
      <c r="D326" s="21">
        <v>78557.350000000006</v>
      </c>
      <c r="E326" s="21">
        <v>29631.14</v>
      </c>
      <c r="F326" s="2">
        <v>3</v>
      </c>
      <c r="G326" s="21">
        <f>Table7[[#This Row],[Total Revenue]]/Table7[[#This Row],[Orders]]</f>
        <v>39278.675000000003</v>
      </c>
      <c r="H326" s="21" t="str">
        <f>IF(Table7[[#This Row],[Orders]]=1,"New",IF(Table7[[#This Row],[Orders]]&lt;=3,"Returning","Loyal"))</f>
        <v>Returning</v>
      </c>
    </row>
    <row r="327" spans="1:8" x14ac:dyDescent="0.25">
      <c r="A327" t="s">
        <v>580</v>
      </c>
      <c r="B327">
        <v>5</v>
      </c>
      <c r="C327">
        <v>7</v>
      </c>
      <c r="D327" s="21">
        <v>120764.5</v>
      </c>
      <c r="E327" s="21">
        <v>33258.83</v>
      </c>
      <c r="F327" s="2">
        <v>3.6</v>
      </c>
      <c r="G327" s="21">
        <f>Table7[[#This Row],[Total Revenue]]/Table7[[#This Row],[Orders]]</f>
        <v>24152.9</v>
      </c>
      <c r="H327" s="21" t="str">
        <f>IF(Table7[[#This Row],[Orders]]=1,"New",IF(Table7[[#This Row],[Orders]]&lt;=3,"Returning","Loyal"))</f>
        <v>Loyal</v>
      </c>
    </row>
    <row r="328" spans="1:8" x14ac:dyDescent="0.25">
      <c r="A328" t="s">
        <v>1821</v>
      </c>
      <c r="B328">
        <v>1</v>
      </c>
      <c r="C328">
        <v>1</v>
      </c>
      <c r="D328" s="21">
        <v>49344</v>
      </c>
      <c r="E328" s="21">
        <v>11738.21</v>
      </c>
      <c r="F328" s="2">
        <v>5</v>
      </c>
      <c r="G328" s="21">
        <f>Table7[[#This Row],[Total Revenue]]/Table7[[#This Row],[Orders]]</f>
        <v>49344</v>
      </c>
      <c r="H328" s="21" t="str">
        <f>IF(Table7[[#This Row],[Orders]]=1,"New",IF(Table7[[#This Row],[Orders]]&lt;=3,"Returning","Loyal"))</f>
        <v>New</v>
      </c>
    </row>
    <row r="329" spans="1:8" x14ac:dyDescent="0.25">
      <c r="A329" t="s">
        <v>1618</v>
      </c>
      <c r="B329">
        <v>3</v>
      </c>
      <c r="C329">
        <v>4</v>
      </c>
      <c r="D329" s="21">
        <v>70915.399999999994</v>
      </c>
      <c r="E329" s="21">
        <v>28191.93</v>
      </c>
      <c r="F329" s="2">
        <v>2.3333333333333335</v>
      </c>
      <c r="G329" s="21">
        <f>Table7[[#This Row],[Total Revenue]]/Table7[[#This Row],[Orders]]</f>
        <v>23638.466666666664</v>
      </c>
      <c r="H329" s="21" t="str">
        <f>IF(Table7[[#This Row],[Orders]]=1,"New",IF(Table7[[#This Row],[Orders]]&lt;=3,"Returning","Loyal"))</f>
        <v>Returning</v>
      </c>
    </row>
    <row r="330" spans="1:8" x14ac:dyDescent="0.25">
      <c r="A330" t="s">
        <v>2098</v>
      </c>
      <c r="B330">
        <v>2</v>
      </c>
      <c r="C330">
        <v>3</v>
      </c>
      <c r="D330" s="21">
        <v>64157.7</v>
      </c>
      <c r="E330" s="21">
        <v>25107.94</v>
      </c>
      <c r="F330" s="2">
        <v>4</v>
      </c>
      <c r="G330" s="21">
        <f>Table7[[#This Row],[Total Revenue]]/Table7[[#This Row],[Orders]]</f>
        <v>32078.85</v>
      </c>
      <c r="H330" s="21" t="str">
        <f>IF(Table7[[#This Row],[Orders]]=1,"New",IF(Table7[[#This Row],[Orders]]&lt;=3,"Returning","Loyal"))</f>
        <v>Returning</v>
      </c>
    </row>
    <row r="331" spans="1:8" x14ac:dyDescent="0.25">
      <c r="A331" t="s">
        <v>245</v>
      </c>
      <c r="B331">
        <v>6</v>
      </c>
      <c r="C331">
        <v>10</v>
      </c>
      <c r="D331" s="21">
        <v>319749.59999999998</v>
      </c>
      <c r="E331" s="21">
        <v>81879.34</v>
      </c>
      <c r="F331" s="2">
        <v>4.5</v>
      </c>
      <c r="G331" s="21">
        <f>Table7[[#This Row],[Total Revenue]]/Table7[[#This Row],[Orders]]</f>
        <v>53291.6</v>
      </c>
      <c r="H331" s="21" t="str">
        <f>IF(Table7[[#This Row],[Orders]]=1,"New",IF(Table7[[#This Row],[Orders]]&lt;=3,"Returning","Loyal"))</f>
        <v>Loyal</v>
      </c>
    </row>
    <row r="332" spans="1:8" x14ac:dyDescent="0.25">
      <c r="A332" t="s">
        <v>390</v>
      </c>
      <c r="B332">
        <v>5</v>
      </c>
      <c r="C332">
        <v>7</v>
      </c>
      <c r="D332" s="21">
        <v>295972.59999999998</v>
      </c>
      <c r="E332" s="21">
        <v>94849.74000000002</v>
      </c>
      <c r="F332" s="2">
        <v>3.6</v>
      </c>
      <c r="G332" s="21">
        <f>Table7[[#This Row],[Total Revenue]]/Table7[[#This Row],[Orders]]</f>
        <v>59194.52</v>
      </c>
      <c r="H332" s="21" t="str">
        <f>IF(Table7[[#This Row],[Orders]]=1,"New",IF(Table7[[#This Row],[Orders]]&lt;=3,"Returning","Loyal"))</f>
        <v>Loyal</v>
      </c>
    </row>
    <row r="333" spans="1:8" x14ac:dyDescent="0.25">
      <c r="A333" t="s">
        <v>1545</v>
      </c>
      <c r="B333">
        <v>1</v>
      </c>
      <c r="C333">
        <v>3</v>
      </c>
      <c r="D333" s="21">
        <v>126258.75</v>
      </c>
      <c r="E333" s="21">
        <v>49648.5</v>
      </c>
      <c r="G333" s="21">
        <f>Table7[[#This Row],[Total Revenue]]/Table7[[#This Row],[Orders]]</f>
        <v>126258.75</v>
      </c>
      <c r="H333" s="21" t="str">
        <f>IF(Table7[[#This Row],[Orders]]=1,"New",IF(Table7[[#This Row],[Orders]]&lt;=3,"Returning","Loyal"))</f>
        <v>New</v>
      </c>
    </row>
    <row r="334" spans="1:8" x14ac:dyDescent="0.25">
      <c r="A334" t="s">
        <v>197</v>
      </c>
      <c r="B334">
        <v>3</v>
      </c>
      <c r="C334">
        <v>5</v>
      </c>
      <c r="D334" s="21">
        <v>257847</v>
      </c>
      <c r="E334" s="21">
        <v>88267.46</v>
      </c>
      <c r="F334" s="2">
        <v>2.6666666666666665</v>
      </c>
      <c r="G334" s="21">
        <f>Table7[[#This Row],[Total Revenue]]/Table7[[#This Row],[Orders]]</f>
        <v>85949</v>
      </c>
      <c r="H334" s="21" t="str">
        <f>IF(Table7[[#This Row],[Orders]]=1,"New",IF(Table7[[#This Row],[Orders]]&lt;=3,"Returning","Loyal"))</f>
        <v>Returning</v>
      </c>
    </row>
    <row r="335" spans="1:8" x14ac:dyDescent="0.25">
      <c r="A335" t="s">
        <v>107</v>
      </c>
      <c r="B335">
        <v>3</v>
      </c>
      <c r="C335">
        <v>5</v>
      </c>
      <c r="D335" s="21">
        <v>115292</v>
      </c>
      <c r="E335" s="21">
        <v>40797.550000000003</v>
      </c>
      <c r="F335" s="2">
        <v>2.6666666666666665</v>
      </c>
      <c r="G335" s="21">
        <f>Table7[[#This Row],[Total Revenue]]/Table7[[#This Row],[Orders]]</f>
        <v>38430.666666666664</v>
      </c>
      <c r="H335" s="21" t="str">
        <f>IF(Table7[[#This Row],[Orders]]=1,"New",IF(Table7[[#This Row],[Orders]]&lt;=3,"Returning","Loyal"))</f>
        <v>Returning</v>
      </c>
    </row>
    <row r="336" spans="1:8" x14ac:dyDescent="0.25">
      <c r="A336" t="s">
        <v>540</v>
      </c>
      <c r="B336">
        <v>3</v>
      </c>
      <c r="C336">
        <v>4</v>
      </c>
      <c r="D336" s="21">
        <v>130425.75</v>
      </c>
      <c r="E336" s="21">
        <v>44115.490000000005</v>
      </c>
      <c r="F336" s="2">
        <v>2</v>
      </c>
      <c r="G336" s="21">
        <f>Table7[[#This Row],[Total Revenue]]/Table7[[#This Row],[Orders]]</f>
        <v>43475.25</v>
      </c>
      <c r="H336" s="21" t="str">
        <f>IF(Table7[[#This Row],[Orders]]=1,"New",IF(Table7[[#This Row],[Orders]]&lt;=3,"Returning","Loyal"))</f>
        <v>Returning</v>
      </c>
    </row>
    <row r="337" spans="1:8" x14ac:dyDescent="0.25">
      <c r="A337" t="s">
        <v>900</v>
      </c>
      <c r="B337">
        <v>2</v>
      </c>
      <c r="C337">
        <v>4</v>
      </c>
      <c r="D337" s="21">
        <v>105273.85</v>
      </c>
      <c r="E337" s="21">
        <v>26003.239999999998</v>
      </c>
      <c r="F337" s="2">
        <v>3.5</v>
      </c>
      <c r="G337" s="21">
        <f>Table7[[#This Row],[Total Revenue]]/Table7[[#This Row],[Orders]]</f>
        <v>52636.925000000003</v>
      </c>
      <c r="H337" s="21" t="str">
        <f>IF(Table7[[#This Row],[Orders]]=1,"New",IF(Table7[[#This Row],[Orders]]&lt;=3,"Returning","Loyal"))</f>
        <v>Returning</v>
      </c>
    </row>
    <row r="338" spans="1:8" x14ac:dyDescent="0.25">
      <c r="A338" t="s">
        <v>1326</v>
      </c>
      <c r="B338">
        <v>2</v>
      </c>
      <c r="C338">
        <v>5</v>
      </c>
      <c r="D338" s="21">
        <v>182910</v>
      </c>
      <c r="E338" s="21">
        <v>65055.03</v>
      </c>
      <c r="F338" s="2">
        <v>3</v>
      </c>
      <c r="G338" s="21">
        <f>Table7[[#This Row],[Total Revenue]]/Table7[[#This Row],[Orders]]</f>
        <v>91455</v>
      </c>
      <c r="H338" s="21" t="str">
        <f>IF(Table7[[#This Row],[Orders]]=1,"New",IF(Table7[[#This Row],[Orders]]&lt;=3,"Returning","Loyal"))</f>
        <v>Returning</v>
      </c>
    </row>
    <row r="339" spans="1:8" x14ac:dyDescent="0.25">
      <c r="A339" t="s">
        <v>235</v>
      </c>
      <c r="B339">
        <v>3</v>
      </c>
      <c r="C339">
        <v>5</v>
      </c>
      <c r="D339" s="21">
        <v>70982.100000000006</v>
      </c>
      <c r="E339" s="21">
        <v>24086.23</v>
      </c>
      <c r="F339" s="2">
        <v>5</v>
      </c>
      <c r="G339" s="21">
        <f>Table7[[#This Row],[Total Revenue]]/Table7[[#This Row],[Orders]]</f>
        <v>23660.7</v>
      </c>
      <c r="H339" s="21" t="str">
        <f>IF(Table7[[#This Row],[Orders]]=1,"New",IF(Table7[[#This Row],[Orders]]&lt;=3,"Returning","Loyal"))</f>
        <v>Returning</v>
      </c>
    </row>
    <row r="340" spans="1:8" x14ac:dyDescent="0.25">
      <c r="A340" t="s">
        <v>929</v>
      </c>
      <c r="B340">
        <v>2</v>
      </c>
      <c r="C340">
        <v>7</v>
      </c>
      <c r="D340" s="21">
        <v>268901.40000000002</v>
      </c>
      <c r="E340" s="21">
        <v>89145.290000000008</v>
      </c>
      <c r="F340" s="2">
        <v>5</v>
      </c>
      <c r="G340" s="21">
        <f>Table7[[#This Row],[Total Revenue]]/Table7[[#This Row],[Orders]]</f>
        <v>134450.70000000001</v>
      </c>
      <c r="H340" s="21" t="str">
        <f>IF(Table7[[#This Row],[Orders]]=1,"New",IF(Table7[[#This Row],[Orders]]&lt;=3,"Returning","Loyal"))</f>
        <v>Returning</v>
      </c>
    </row>
    <row r="341" spans="1:8" x14ac:dyDescent="0.25">
      <c r="A341" t="s">
        <v>2284</v>
      </c>
      <c r="B341">
        <v>1</v>
      </c>
      <c r="C341">
        <v>1</v>
      </c>
      <c r="D341" s="21">
        <v>11569.35</v>
      </c>
      <c r="E341" s="21">
        <v>2836.1</v>
      </c>
      <c r="G341" s="21">
        <f>Table7[[#This Row],[Total Revenue]]/Table7[[#This Row],[Orders]]</f>
        <v>11569.35</v>
      </c>
      <c r="H341" s="21" t="str">
        <f>IF(Table7[[#This Row],[Orders]]=1,"New",IF(Table7[[#This Row],[Orders]]&lt;=3,"Returning","Loyal"))</f>
        <v>New</v>
      </c>
    </row>
    <row r="342" spans="1:8" x14ac:dyDescent="0.25">
      <c r="A342" t="s">
        <v>526</v>
      </c>
      <c r="B342">
        <v>4</v>
      </c>
      <c r="C342">
        <v>8</v>
      </c>
      <c r="D342" s="21">
        <v>283271.59999999998</v>
      </c>
      <c r="E342" s="21">
        <v>95421.28</v>
      </c>
      <c r="F342" s="2">
        <v>4.5</v>
      </c>
      <c r="G342" s="21">
        <f>Table7[[#This Row],[Total Revenue]]/Table7[[#This Row],[Orders]]</f>
        <v>70817.899999999994</v>
      </c>
      <c r="H342" s="21" t="str">
        <f>IF(Table7[[#This Row],[Orders]]=1,"New",IF(Table7[[#This Row],[Orders]]&lt;=3,"Returning","Loyal"))</f>
        <v>Loyal</v>
      </c>
    </row>
    <row r="343" spans="1:8" x14ac:dyDescent="0.25">
      <c r="A343" t="s">
        <v>440</v>
      </c>
      <c r="B343">
        <v>5</v>
      </c>
      <c r="C343">
        <v>7</v>
      </c>
      <c r="D343" s="21">
        <v>213756.1</v>
      </c>
      <c r="E343" s="21">
        <v>69503.240000000005</v>
      </c>
      <c r="F343" s="2">
        <v>3.8</v>
      </c>
      <c r="G343" s="21">
        <f>Table7[[#This Row],[Total Revenue]]/Table7[[#This Row],[Orders]]</f>
        <v>42751.22</v>
      </c>
      <c r="H343" s="21" t="str">
        <f>IF(Table7[[#This Row],[Orders]]=1,"New",IF(Table7[[#This Row],[Orders]]&lt;=3,"Returning","Loyal"))</f>
        <v>Loyal</v>
      </c>
    </row>
    <row r="344" spans="1:8" x14ac:dyDescent="0.25">
      <c r="A344" t="s">
        <v>1360</v>
      </c>
      <c r="B344">
        <v>2</v>
      </c>
      <c r="C344">
        <v>5</v>
      </c>
      <c r="D344" s="21">
        <v>76935.8</v>
      </c>
      <c r="E344" s="21">
        <v>20478.169999999998</v>
      </c>
      <c r="F344" s="2">
        <v>5</v>
      </c>
      <c r="G344" s="21">
        <f>Table7[[#This Row],[Total Revenue]]/Table7[[#This Row],[Orders]]</f>
        <v>38467.9</v>
      </c>
      <c r="H344" s="21" t="str">
        <f>IF(Table7[[#This Row],[Orders]]=1,"New",IF(Table7[[#This Row],[Orders]]&lt;=3,"Returning","Loyal"))</f>
        <v>Returning</v>
      </c>
    </row>
    <row r="345" spans="1:8" x14ac:dyDescent="0.25">
      <c r="A345" t="s">
        <v>689</v>
      </c>
      <c r="B345">
        <v>3</v>
      </c>
      <c r="C345">
        <v>3</v>
      </c>
      <c r="D345" s="21">
        <v>175973.15</v>
      </c>
      <c r="E345" s="21">
        <v>46376.88</v>
      </c>
      <c r="F345" s="2">
        <v>4</v>
      </c>
      <c r="G345" s="21">
        <f>Table7[[#This Row],[Total Revenue]]/Table7[[#This Row],[Orders]]</f>
        <v>58657.716666666667</v>
      </c>
      <c r="H345" s="21" t="str">
        <f>IF(Table7[[#This Row],[Orders]]=1,"New",IF(Table7[[#This Row],[Orders]]&lt;=3,"Returning","Loyal"))</f>
        <v>Returning</v>
      </c>
    </row>
    <row r="346" spans="1:8" x14ac:dyDescent="0.25">
      <c r="A346" t="s">
        <v>1521</v>
      </c>
      <c r="B346">
        <v>1</v>
      </c>
      <c r="C346">
        <v>4</v>
      </c>
      <c r="D346" s="21">
        <v>73134.8</v>
      </c>
      <c r="E346" s="21">
        <v>23528.94</v>
      </c>
      <c r="F346" s="2">
        <v>3</v>
      </c>
      <c r="G346" s="21">
        <f>Table7[[#This Row],[Total Revenue]]/Table7[[#This Row],[Orders]]</f>
        <v>73134.8</v>
      </c>
      <c r="H346" s="21" t="str">
        <f>IF(Table7[[#This Row],[Orders]]=1,"New",IF(Table7[[#This Row],[Orders]]&lt;=3,"Returning","Loyal"))</f>
        <v>New</v>
      </c>
    </row>
    <row r="347" spans="1:8" x14ac:dyDescent="0.25">
      <c r="A347" t="s">
        <v>578</v>
      </c>
      <c r="B347">
        <v>4</v>
      </c>
      <c r="C347">
        <v>7</v>
      </c>
      <c r="D347" s="21">
        <v>70314.850000000006</v>
      </c>
      <c r="E347" s="21">
        <v>18038.66</v>
      </c>
      <c r="F347" s="2">
        <v>4.25</v>
      </c>
      <c r="G347" s="21">
        <f>Table7[[#This Row],[Total Revenue]]/Table7[[#This Row],[Orders]]</f>
        <v>17578.712500000001</v>
      </c>
      <c r="H347" s="21" t="str">
        <f>IF(Table7[[#This Row],[Orders]]=1,"New",IF(Table7[[#This Row],[Orders]]&lt;=3,"Returning","Loyal"))</f>
        <v>Loyal</v>
      </c>
    </row>
    <row r="348" spans="1:8" x14ac:dyDescent="0.25">
      <c r="A348" t="s">
        <v>1257</v>
      </c>
      <c r="B348">
        <v>2</v>
      </c>
      <c r="C348">
        <v>4</v>
      </c>
      <c r="D348" s="21">
        <v>127831.2</v>
      </c>
      <c r="E348" s="21">
        <v>31863.67</v>
      </c>
      <c r="F348" s="2">
        <v>5</v>
      </c>
      <c r="G348" s="21">
        <f>Table7[[#This Row],[Total Revenue]]/Table7[[#This Row],[Orders]]</f>
        <v>63915.6</v>
      </c>
      <c r="H348" s="21" t="str">
        <f>IF(Table7[[#This Row],[Orders]]=1,"New",IF(Table7[[#This Row],[Orders]]&lt;=3,"Returning","Loyal"))</f>
        <v>Returning</v>
      </c>
    </row>
    <row r="349" spans="1:8" x14ac:dyDescent="0.25">
      <c r="A349" t="s">
        <v>81</v>
      </c>
      <c r="B349">
        <v>4</v>
      </c>
      <c r="C349">
        <v>5</v>
      </c>
      <c r="D349" s="21">
        <v>261164.6</v>
      </c>
      <c r="E349" s="21">
        <v>75895.48</v>
      </c>
      <c r="F349" s="2">
        <v>3.25</v>
      </c>
      <c r="G349" s="21">
        <f>Table7[[#This Row],[Total Revenue]]/Table7[[#This Row],[Orders]]</f>
        <v>65291.15</v>
      </c>
      <c r="H349" s="21" t="str">
        <f>IF(Table7[[#This Row],[Orders]]=1,"New",IF(Table7[[#This Row],[Orders]]&lt;=3,"Returning","Loyal"))</f>
        <v>Loyal</v>
      </c>
    </row>
    <row r="350" spans="1:8" x14ac:dyDescent="0.25">
      <c r="A350" t="s">
        <v>434</v>
      </c>
      <c r="B350">
        <v>5</v>
      </c>
      <c r="C350">
        <v>8</v>
      </c>
      <c r="D350" s="21">
        <v>224604.2</v>
      </c>
      <c r="E350" s="21">
        <v>81928.430000000008</v>
      </c>
      <c r="F350" s="2">
        <v>4</v>
      </c>
      <c r="G350" s="21">
        <f>Table7[[#This Row],[Total Revenue]]/Table7[[#This Row],[Orders]]</f>
        <v>44920.840000000004</v>
      </c>
      <c r="H350" s="21" t="str">
        <f>IF(Table7[[#This Row],[Orders]]=1,"New",IF(Table7[[#This Row],[Orders]]&lt;=3,"Returning","Loyal"))</f>
        <v>Loyal</v>
      </c>
    </row>
    <row r="351" spans="1:8" x14ac:dyDescent="0.25">
      <c r="A351" t="s">
        <v>1249</v>
      </c>
      <c r="B351">
        <v>2</v>
      </c>
      <c r="C351">
        <v>5</v>
      </c>
      <c r="D351" s="21">
        <v>228898.34999999998</v>
      </c>
      <c r="E351" s="21">
        <v>53636.33</v>
      </c>
      <c r="F351" s="2">
        <v>3.5</v>
      </c>
      <c r="G351" s="21">
        <f>Table7[[#This Row],[Total Revenue]]/Table7[[#This Row],[Orders]]</f>
        <v>114449.17499999999</v>
      </c>
      <c r="H351" s="21" t="str">
        <f>IF(Table7[[#This Row],[Orders]]=1,"New",IF(Table7[[#This Row],[Orders]]&lt;=3,"Returning","Loyal"))</f>
        <v>Returning</v>
      </c>
    </row>
    <row r="352" spans="1:8" x14ac:dyDescent="0.25">
      <c r="A352" t="s">
        <v>1783</v>
      </c>
      <c r="B352">
        <v>2</v>
      </c>
      <c r="C352">
        <v>5</v>
      </c>
      <c r="D352" s="21">
        <v>108694.5</v>
      </c>
      <c r="E352" s="21">
        <v>46106.01</v>
      </c>
      <c r="F352" s="2">
        <v>2</v>
      </c>
      <c r="G352" s="21">
        <f>Table7[[#This Row],[Total Revenue]]/Table7[[#This Row],[Orders]]</f>
        <v>54347.25</v>
      </c>
      <c r="H352" s="21" t="str">
        <f>IF(Table7[[#This Row],[Orders]]=1,"New",IF(Table7[[#This Row],[Orders]]&lt;=3,"Returning","Loyal"))</f>
        <v>Returning</v>
      </c>
    </row>
    <row r="353" spans="1:8" x14ac:dyDescent="0.25">
      <c r="A353" t="s">
        <v>447</v>
      </c>
      <c r="B353">
        <v>3</v>
      </c>
      <c r="C353">
        <v>3</v>
      </c>
      <c r="D353" s="21">
        <v>129068.7</v>
      </c>
      <c r="E353" s="21">
        <v>44853.17</v>
      </c>
      <c r="F353" s="2">
        <v>4</v>
      </c>
      <c r="G353" s="21">
        <f>Table7[[#This Row],[Total Revenue]]/Table7[[#This Row],[Orders]]</f>
        <v>43022.9</v>
      </c>
      <c r="H353" s="21" t="str">
        <f>IF(Table7[[#This Row],[Orders]]=1,"New",IF(Table7[[#This Row],[Orders]]&lt;=3,"Returning","Loyal"))</f>
        <v>Returning</v>
      </c>
    </row>
    <row r="354" spans="1:8" x14ac:dyDescent="0.25">
      <c r="A354" t="s">
        <v>1078</v>
      </c>
      <c r="B354">
        <v>4</v>
      </c>
      <c r="C354">
        <v>7</v>
      </c>
      <c r="D354" s="21">
        <v>394961.64999999997</v>
      </c>
      <c r="E354" s="21">
        <v>120488.78</v>
      </c>
      <c r="F354" s="2">
        <v>4</v>
      </c>
      <c r="G354" s="21">
        <f>Table7[[#This Row],[Total Revenue]]/Table7[[#This Row],[Orders]]</f>
        <v>98740.412499999991</v>
      </c>
      <c r="H354" s="21" t="str">
        <f>IF(Table7[[#This Row],[Orders]]=1,"New",IF(Table7[[#This Row],[Orders]]&lt;=3,"Returning","Loyal"))</f>
        <v>Loyal</v>
      </c>
    </row>
    <row r="355" spans="1:8" x14ac:dyDescent="0.25">
      <c r="A355" t="s">
        <v>610</v>
      </c>
      <c r="B355">
        <v>2</v>
      </c>
      <c r="C355">
        <v>3</v>
      </c>
      <c r="D355" s="21">
        <v>70639</v>
      </c>
      <c r="E355" s="21">
        <v>20080.39</v>
      </c>
      <c r="F355" s="2">
        <v>4.5</v>
      </c>
      <c r="G355" s="21">
        <f>Table7[[#This Row],[Total Revenue]]/Table7[[#This Row],[Orders]]</f>
        <v>35319.5</v>
      </c>
      <c r="H355" s="21" t="str">
        <f>IF(Table7[[#This Row],[Orders]]=1,"New",IF(Table7[[#This Row],[Orders]]&lt;=3,"Returning","Loyal"))</f>
        <v>Returning</v>
      </c>
    </row>
    <row r="356" spans="1:8" x14ac:dyDescent="0.25">
      <c r="A356" t="s">
        <v>470</v>
      </c>
      <c r="B356">
        <v>3</v>
      </c>
      <c r="C356">
        <v>3</v>
      </c>
      <c r="D356" s="21">
        <v>61475.9</v>
      </c>
      <c r="E356" s="21">
        <v>24382.190000000002</v>
      </c>
      <c r="F356" s="2">
        <v>3.5</v>
      </c>
      <c r="G356" s="21">
        <f>Table7[[#This Row],[Total Revenue]]/Table7[[#This Row],[Orders]]</f>
        <v>20491.966666666667</v>
      </c>
      <c r="H356" s="21" t="str">
        <f>IF(Table7[[#This Row],[Orders]]=1,"New",IF(Table7[[#This Row],[Orders]]&lt;=3,"Returning","Loyal"))</f>
        <v>Returning</v>
      </c>
    </row>
    <row r="357" spans="1:8" x14ac:dyDescent="0.25">
      <c r="A357" t="s">
        <v>731</v>
      </c>
      <c r="B357">
        <v>1</v>
      </c>
      <c r="C357">
        <v>1</v>
      </c>
      <c r="D357" s="21">
        <v>46150.400000000001</v>
      </c>
      <c r="E357" s="21">
        <v>20419.060000000001</v>
      </c>
      <c r="F357" s="2">
        <v>5</v>
      </c>
      <c r="G357" s="21">
        <f>Table7[[#This Row],[Total Revenue]]/Table7[[#This Row],[Orders]]</f>
        <v>46150.400000000001</v>
      </c>
      <c r="H357" s="21" t="str">
        <f>IF(Table7[[#This Row],[Orders]]=1,"New",IF(Table7[[#This Row],[Orders]]&lt;=3,"Returning","Loyal"))</f>
        <v>New</v>
      </c>
    </row>
    <row r="358" spans="1:8" x14ac:dyDescent="0.25">
      <c r="A358" t="s">
        <v>121</v>
      </c>
      <c r="B358">
        <v>7</v>
      </c>
      <c r="C358">
        <v>11</v>
      </c>
      <c r="D358" s="21">
        <v>593478.45000000007</v>
      </c>
      <c r="E358" s="21">
        <v>168278.09000000003</v>
      </c>
      <c r="F358" s="2">
        <v>4</v>
      </c>
      <c r="G358" s="21">
        <f>Table7[[#This Row],[Total Revenue]]/Table7[[#This Row],[Orders]]</f>
        <v>84782.635714285731</v>
      </c>
      <c r="H358" s="21" t="str">
        <f>IF(Table7[[#This Row],[Orders]]=1,"New",IF(Table7[[#This Row],[Orders]]&lt;=3,"Returning","Loyal"))</f>
        <v>Loyal</v>
      </c>
    </row>
    <row r="359" spans="1:8" x14ac:dyDescent="0.25">
      <c r="A359" t="s">
        <v>455</v>
      </c>
      <c r="B359">
        <v>1</v>
      </c>
      <c r="C359">
        <v>1</v>
      </c>
      <c r="D359" s="21">
        <v>13345</v>
      </c>
      <c r="E359" s="21">
        <v>4048.05</v>
      </c>
      <c r="F359" s="2">
        <v>5</v>
      </c>
      <c r="G359" s="21">
        <f>Table7[[#This Row],[Total Revenue]]/Table7[[#This Row],[Orders]]</f>
        <v>13345</v>
      </c>
      <c r="H359" s="21" t="str">
        <f>IF(Table7[[#This Row],[Orders]]=1,"New",IF(Table7[[#This Row],[Orders]]&lt;=3,"Returning","Loyal"))</f>
        <v>New</v>
      </c>
    </row>
    <row r="360" spans="1:8" x14ac:dyDescent="0.25">
      <c r="A360" t="s">
        <v>624</v>
      </c>
      <c r="B360">
        <v>3</v>
      </c>
      <c r="C360">
        <v>3</v>
      </c>
      <c r="D360" s="21">
        <v>84078.85</v>
      </c>
      <c r="E360" s="21">
        <v>31381.759999999998</v>
      </c>
      <c r="F360" s="2">
        <v>3</v>
      </c>
      <c r="G360" s="21">
        <f>Table7[[#This Row],[Total Revenue]]/Table7[[#This Row],[Orders]]</f>
        <v>28026.283333333336</v>
      </c>
      <c r="H360" s="21" t="str">
        <f>IF(Table7[[#This Row],[Orders]]=1,"New",IF(Table7[[#This Row],[Orders]]&lt;=3,"Returning","Loyal"))</f>
        <v>Returning</v>
      </c>
    </row>
    <row r="361" spans="1:8" x14ac:dyDescent="0.25">
      <c r="A361" t="s">
        <v>188</v>
      </c>
      <c r="B361">
        <v>3</v>
      </c>
      <c r="C361">
        <v>5</v>
      </c>
      <c r="D361" s="21">
        <v>48034.2</v>
      </c>
      <c r="E361" s="21">
        <v>14607.07</v>
      </c>
      <c r="F361" s="2">
        <v>3.6666666666666665</v>
      </c>
      <c r="G361" s="21">
        <f>Table7[[#This Row],[Total Revenue]]/Table7[[#This Row],[Orders]]</f>
        <v>16011.4</v>
      </c>
      <c r="H361" s="21" t="str">
        <f>IF(Table7[[#This Row],[Orders]]=1,"New",IF(Table7[[#This Row],[Orders]]&lt;=3,"Returning","Loyal"))</f>
        <v>Returning</v>
      </c>
    </row>
    <row r="362" spans="1:8" x14ac:dyDescent="0.25">
      <c r="A362" t="s">
        <v>1106</v>
      </c>
      <c r="B362">
        <v>5</v>
      </c>
      <c r="C362">
        <v>8</v>
      </c>
      <c r="D362" s="21">
        <v>416185.10000000003</v>
      </c>
      <c r="E362" s="21">
        <v>114635.08</v>
      </c>
      <c r="F362" s="2">
        <v>3.75</v>
      </c>
      <c r="G362" s="21">
        <f>Table7[[#This Row],[Total Revenue]]/Table7[[#This Row],[Orders]]</f>
        <v>83237.02</v>
      </c>
      <c r="H362" s="21" t="str">
        <f>IF(Table7[[#This Row],[Orders]]=1,"New",IF(Table7[[#This Row],[Orders]]&lt;=3,"Returning","Loyal"))</f>
        <v>Loyal</v>
      </c>
    </row>
    <row r="363" spans="1:8" x14ac:dyDescent="0.25">
      <c r="A363" t="s">
        <v>299</v>
      </c>
      <c r="B363">
        <v>4</v>
      </c>
      <c r="C363">
        <v>6</v>
      </c>
      <c r="D363" s="21">
        <v>211544.6</v>
      </c>
      <c r="E363" s="21">
        <v>46331.19</v>
      </c>
      <c r="F363" s="2">
        <v>2.25</v>
      </c>
      <c r="G363" s="21">
        <f>Table7[[#This Row],[Total Revenue]]/Table7[[#This Row],[Orders]]</f>
        <v>52886.15</v>
      </c>
      <c r="H363" s="21" t="str">
        <f>IF(Table7[[#This Row],[Orders]]=1,"New",IF(Table7[[#This Row],[Orders]]&lt;=3,"Returning","Loyal"))</f>
        <v>Loyal</v>
      </c>
    </row>
    <row r="364" spans="1:8" x14ac:dyDescent="0.25">
      <c r="A364" t="s">
        <v>1549</v>
      </c>
      <c r="B364">
        <v>3</v>
      </c>
      <c r="C364">
        <v>7</v>
      </c>
      <c r="D364" s="21">
        <v>279671.8</v>
      </c>
      <c r="E364" s="21">
        <v>106598.32999999999</v>
      </c>
      <c r="F364" s="2">
        <v>4</v>
      </c>
      <c r="G364" s="21">
        <f>Table7[[#This Row],[Total Revenue]]/Table7[[#This Row],[Orders]]</f>
        <v>93223.933333333334</v>
      </c>
      <c r="H364" s="21" t="str">
        <f>IF(Table7[[#This Row],[Orders]]=1,"New",IF(Table7[[#This Row],[Orders]]&lt;=3,"Returning","Loyal"))</f>
        <v>Returning</v>
      </c>
    </row>
    <row r="365" spans="1:8" x14ac:dyDescent="0.25">
      <c r="A365" t="s">
        <v>427</v>
      </c>
      <c r="B365">
        <v>4</v>
      </c>
      <c r="C365">
        <v>6</v>
      </c>
      <c r="D365" s="21">
        <v>157958.6</v>
      </c>
      <c r="E365" s="21">
        <v>60322.270000000004</v>
      </c>
      <c r="F365" s="2">
        <v>3.75</v>
      </c>
      <c r="G365" s="21">
        <f>Table7[[#This Row],[Total Revenue]]/Table7[[#This Row],[Orders]]</f>
        <v>39489.65</v>
      </c>
      <c r="H365" s="21" t="str">
        <f>IF(Table7[[#This Row],[Orders]]=1,"New",IF(Table7[[#This Row],[Orders]]&lt;=3,"Returning","Loyal"))</f>
        <v>Loyal</v>
      </c>
    </row>
    <row r="366" spans="1:8" x14ac:dyDescent="0.25">
      <c r="A366" t="s">
        <v>511</v>
      </c>
      <c r="B366">
        <v>3</v>
      </c>
      <c r="C366">
        <v>5</v>
      </c>
      <c r="D366" s="21">
        <v>106744.79999999999</v>
      </c>
      <c r="E366" s="21">
        <v>36796.36</v>
      </c>
      <c r="F366" s="2">
        <v>3</v>
      </c>
      <c r="G366" s="21">
        <f>Table7[[#This Row],[Total Revenue]]/Table7[[#This Row],[Orders]]</f>
        <v>35581.599999999999</v>
      </c>
      <c r="H366" s="21" t="str">
        <f>IF(Table7[[#This Row],[Orders]]=1,"New",IF(Table7[[#This Row],[Orders]]&lt;=3,"Returning","Loyal"))</f>
        <v>Returning</v>
      </c>
    </row>
    <row r="367" spans="1:8" x14ac:dyDescent="0.25">
      <c r="A367" t="s">
        <v>1961</v>
      </c>
      <c r="B367">
        <v>1</v>
      </c>
      <c r="C367">
        <v>2</v>
      </c>
      <c r="D367" s="21">
        <v>42417</v>
      </c>
      <c r="E367" s="21">
        <v>12414.82</v>
      </c>
      <c r="F367" s="2">
        <v>4</v>
      </c>
      <c r="G367" s="21">
        <f>Table7[[#This Row],[Total Revenue]]/Table7[[#This Row],[Orders]]</f>
        <v>42417</v>
      </c>
      <c r="H367" s="21" t="str">
        <f>IF(Table7[[#This Row],[Orders]]=1,"New",IF(Table7[[#This Row],[Orders]]&lt;=3,"Returning","Loyal"))</f>
        <v>New</v>
      </c>
    </row>
    <row r="368" spans="1:8" x14ac:dyDescent="0.25">
      <c r="A368" t="s">
        <v>657</v>
      </c>
      <c r="B368">
        <v>5</v>
      </c>
      <c r="C368">
        <v>8</v>
      </c>
      <c r="D368" s="21">
        <v>363525.4</v>
      </c>
      <c r="E368" s="21">
        <v>125165.65999999999</v>
      </c>
      <c r="F368" s="2">
        <v>3.5</v>
      </c>
      <c r="G368" s="21">
        <f>Table7[[#This Row],[Total Revenue]]/Table7[[#This Row],[Orders]]</f>
        <v>72705.08</v>
      </c>
      <c r="H368" s="21" t="str">
        <f>IF(Table7[[#This Row],[Orders]]=1,"New",IF(Table7[[#This Row],[Orders]]&lt;=3,"Returning","Loyal"))</f>
        <v>Loyal</v>
      </c>
    </row>
    <row r="369" spans="1:8" x14ac:dyDescent="0.25">
      <c r="A369" t="s">
        <v>760</v>
      </c>
      <c r="B369">
        <v>4</v>
      </c>
      <c r="C369">
        <v>4</v>
      </c>
      <c r="D369" s="21">
        <v>139357.85</v>
      </c>
      <c r="E369" s="21">
        <v>39843.279999999992</v>
      </c>
      <c r="F369" s="2">
        <v>2.3333333333333335</v>
      </c>
      <c r="G369" s="21">
        <f>Table7[[#This Row],[Total Revenue]]/Table7[[#This Row],[Orders]]</f>
        <v>34839.462500000001</v>
      </c>
      <c r="H369" s="21" t="str">
        <f>IF(Table7[[#This Row],[Orders]]=1,"New",IF(Table7[[#This Row],[Orders]]&lt;=3,"Returning","Loyal"))</f>
        <v>Loyal</v>
      </c>
    </row>
    <row r="370" spans="1:8" x14ac:dyDescent="0.25">
      <c r="A370" t="s">
        <v>779</v>
      </c>
      <c r="B370">
        <v>4</v>
      </c>
      <c r="C370">
        <v>6</v>
      </c>
      <c r="D370" s="21">
        <v>160039.5</v>
      </c>
      <c r="E370" s="21">
        <v>56650.79</v>
      </c>
      <c r="F370" s="2">
        <v>2.75</v>
      </c>
      <c r="G370" s="21">
        <f>Table7[[#This Row],[Total Revenue]]/Table7[[#This Row],[Orders]]</f>
        <v>40009.875</v>
      </c>
      <c r="H370" s="21" t="str">
        <f>IF(Table7[[#This Row],[Orders]]=1,"New",IF(Table7[[#This Row],[Orders]]&lt;=3,"Returning","Loyal"))</f>
        <v>Loyal</v>
      </c>
    </row>
    <row r="371" spans="1:8" x14ac:dyDescent="0.25">
      <c r="A371" t="s">
        <v>606</v>
      </c>
      <c r="B371">
        <v>5</v>
      </c>
      <c r="C371">
        <v>8</v>
      </c>
      <c r="D371" s="21">
        <v>279104.8</v>
      </c>
      <c r="E371" s="21">
        <v>89755.930000000008</v>
      </c>
      <c r="F371" s="2">
        <v>3</v>
      </c>
      <c r="G371" s="21">
        <f>Table7[[#This Row],[Total Revenue]]/Table7[[#This Row],[Orders]]</f>
        <v>55820.959999999999</v>
      </c>
      <c r="H371" s="21" t="str">
        <f>IF(Table7[[#This Row],[Orders]]=1,"New",IF(Table7[[#This Row],[Orders]]&lt;=3,"Returning","Loyal"))</f>
        <v>Loyal</v>
      </c>
    </row>
    <row r="372" spans="1:8" x14ac:dyDescent="0.25">
      <c r="A372" t="s">
        <v>249</v>
      </c>
      <c r="B372">
        <v>7</v>
      </c>
      <c r="C372">
        <v>12</v>
      </c>
      <c r="D372" s="21">
        <v>438378.8</v>
      </c>
      <c r="E372" s="21">
        <v>105933.68</v>
      </c>
      <c r="F372" s="2">
        <v>4.666666666666667</v>
      </c>
      <c r="G372" s="21">
        <f>Table7[[#This Row],[Total Revenue]]/Table7[[#This Row],[Orders]]</f>
        <v>62625.542857142857</v>
      </c>
      <c r="H372" s="21" t="str">
        <f>IF(Table7[[#This Row],[Orders]]=1,"New",IF(Table7[[#This Row],[Orders]]&lt;=3,"Returning","Loyal"))</f>
        <v>Loyal</v>
      </c>
    </row>
    <row r="373" spans="1:8" x14ac:dyDescent="0.25">
      <c r="A373" t="s">
        <v>604</v>
      </c>
      <c r="B373">
        <v>3</v>
      </c>
      <c r="C373">
        <v>3</v>
      </c>
      <c r="D373" s="21">
        <v>98255.95</v>
      </c>
      <c r="E373" s="21">
        <v>34390.839999999997</v>
      </c>
      <c r="F373" s="2">
        <v>4</v>
      </c>
      <c r="G373" s="21">
        <f>Table7[[#This Row],[Total Revenue]]/Table7[[#This Row],[Orders]]</f>
        <v>32751.983333333334</v>
      </c>
      <c r="H373" s="21" t="str">
        <f>IF(Table7[[#This Row],[Orders]]=1,"New",IF(Table7[[#This Row],[Orders]]&lt;=3,"Returning","Loyal"))</f>
        <v>Returning</v>
      </c>
    </row>
    <row r="374" spans="1:8" x14ac:dyDescent="0.25">
      <c r="A374" t="s">
        <v>1518</v>
      </c>
      <c r="B374">
        <v>3</v>
      </c>
      <c r="C374">
        <v>6</v>
      </c>
      <c r="D374" s="21">
        <v>314080.34999999998</v>
      </c>
      <c r="E374" s="21">
        <v>125521.57</v>
      </c>
      <c r="F374" s="2">
        <v>3.5</v>
      </c>
      <c r="G374" s="21">
        <f>Table7[[#This Row],[Total Revenue]]/Table7[[#This Row],[Orders]]</f>
        <v>104693.45</v>
      </c>
      <c r="H374" s="21" t="str">
        <f>IF(Table7[[#This Row],[Orders]]=1,"New",IF(Table7[[#This Row],[Orders]]&lt;=3,"Returning","Loyal"))</f>
        <v>Returning</v>
      </c>
    </row>
    <row r="375" spans="1:8" x14ac:dyDescent="0.25">
      <c r="A375" t="s">
        <v>307</v>
      </c>
      <c r="B375">
        <v>3</v>
      </c>
      <c r="C375">
        <v>4</v>
      </c>
      <c r="D375" s="21">
        <v>105184.74999999999</v>
      </c>
      <c r="E375" s="21">
        <v>35137.589999999997</v>
      </c>
      <c r="F375" s="2">
        <v>4</v>
      </c>
      <c r="G375" s="21">
        <f>Table7[[#This Row],[Total Revenue]]/Table7[[#This Row],[Orders]]</f>
        <v>35061.583333333328</v>
      </c>
      <c r="H375" s="21" t="str">
        <f>IF(Table7[[#This Row],[Orders]]=1,"New",IF(Table7[[#This Row],[Orders]]&lt;=3,"Returning","Loyal"))</f>
        <v>Returning</v>
      </c>
    </row>
    <row r="376" spans="1:8" x14ac:dyDescent="0.25">
      <c r="A376" t="s">
        <v>1266</v>
      </c>
      <c r="B376">
        <v>1</v>
      </c>
      <c r="C376">
        <v>2</v>
      </c>
      <c r="D376" s="21">
        <v>74521.8</v>
      </c>
      <c r="E376" s="21">
        <v>31971.94</v>
      </c>
      <c r="F376" s="2">
        <v>5</v>
      </c>
      <c r="G376" s="21">
        <f>Table7[[#This Row],[Total Revenue]]/Table7[[#This Row],[Orders]]</f>
        <v>74521.8</v>
      </c>
      <c r="H376" s="21" t="str">
        <f>IF(Table7[[#This Row],[Orders]]=1,"New",IF(Table7[[#This Row],[Orders]]&lt;=3,"Returning","Loyal"))</f>
        <v>New</v>
      </c>
    </row>
    <row r="377" spans="1:8" x14ac:dyDescent="0.25">
      <c r="A377" t="s">
        <v>1896</v>
      </c>
      <c r="B377">
        <v>2</v>
      </c>
      <c r="C377">
        <v>3</v>
      </c>
      <c r="D377" s="21">
        <v>147375</v>
      </c>
      <c r="E377" s="21">
        <v>34921.89</v>
      </c>
      <c r="F377" s="2">
        <v>5</v>
      </c>
      <c r="G377" s="21">
        <f>Table7[[#This Row],[Total Revenue]]/Table7[[#This Row],[Orders]]</f>
        <v>73687.5</v>
      </c>
      <c r="H377" s="21" t="str">
        <f>IF(Table7[[#This Row],[Orders]]=1,"New",IF(Table7[[#This Row],[Orders]]&lt;=3,"Returning","Loyal"))</f>
        <v>Returning</v>
      </c>
    </row>
    <row r="378" spans="1:8" x14ac:dyDescent="0.25">
      <c r="A378" t="s">
        <v>668</v>
      </c>
      <c r="B378">
        <v>8</v>
      </c>
      <c r="C378">
        <v>15</v>
      </c>
      <c r="D378" s="21">
        <v>563723.69999999995</v>
      </c>
      <c r="E378" s="21">
        <v>197084.07</v>
      </c>
      <c r="F378" s="2">
        <v>2.5</v>
      </c>
      <c r="G378" s="21">
        <f>Table7[[#This Row],[Total Revenue]]/Table7[[#This Row],[Orders]]</f>
        <v>70465.462499999994</v>
      </c>
      <c r="H378" s="21" t="str">
        <f>IF(Table7[[#This Row],[Orders]]=1,"New",IF(Table7[[#This Row],[Orders]]&lt;=3,"Returning","Loyal"))</f>
        <v>Loyal</v>
      </c>
    </row>
    <row r="379" spans="1:8" x14ac:dyDescent="0.25">
      <c r="A379" t="s">
        <v>655</v>
      </c>
      <c r="B379">
        <v>4</v>
      </c>
      <c r="C379">
        <v>4</v>
      </c>
      <c r="D379" s="21">
        <v>105057.45</v>
      </c>
      <c r="E379" s="21">
        <v>25487.93</v>
      </c>
      <c r="F379" s="2">
        <v>3.75</v>
      </c>
      <c r="G379" s="21">
        <f>Table7[[#This Row],[Total Revenue]]/Table7[[#This Row],[Orders]]</f>
        <v>26264.362499999999</v>
      </c>
      <c r="H379" s="21" t="str">
        <f>IF(Table7[[#This Row],[Orders]]=1,"New",IF(Table7[[#This Row],[Orders]]&lt;=3,"Returning","Loyal"))</f>
        <v>Loyal</v>
      </c>
    </row>
    <row r="380" spans="1:8" x14ac:dyDescent="0.25">
      <c r="A380" t="s">
        <v>840</v>
      </c>
      <c r="B380">
        <v>3</v>
      </c>
      <c r="C380">
        <v>6</v>
      </c>
      <c r="D380" s="21">
        <v>440911.4</v>
      </c>
      <c r="E380" s="21">
        <v>168486.06000000003</v>
      </c>
      <c r="F380" s="2">
        <v>2.5</v>
      </c>
      <c r="G380" s="21">
        <f>Table7[[#This Row],[Total Revenue]]/Table7[[#This Row],[Orders]]</f>
        <v>146970.46666666667</v>
      </c>
      <c r="H380" s="21" t="str">
        <f>IF(Table7[[#This Row],[Orders]]=1,"New",IF(Table7[[#This Row],[Orders]]&lt;=3,"Returning","Loyal"))</f>
        <v>Returning</v>
      </c>
    </row>
    <row r="381" spans="1:8" x14ac:dyDescent="0.25">
      <c r="A381" t="s">
        <v>484</v>
      </c>
      <c r="B381">
        <v>6</v>
      </c>
      <c r="C381">
        <v>12</v>
      </c>
      <c r="D381" s="21">
        <v>356875.75</v>
      </c>
      <c r="E381" s="21">
        <v>110384.95999999999</v>
      </c>
      <c r="F381" s="2">
        <v>3.5</v>
      </c>
      <c r="G381" s="21">
        <f>Table7[[#This Row],[Total Revenue]]/Table7[[#This Row],[Orders]]</f>
        <v>59479.291666666664</v>
      </c>
      <c r="H381" s="21" t="str">
        <f>IF(Table7[[#This Row],[Orders]]=1,"New",IF(Table7[[#This Row],[Orders]]&lt;=3,"Returning","Loyal"))</f>
        <v>Loyal</v>
      </c>
    </row>
    <row r="382" spans="1:8" x14ac:dyDescent="0.25">
      <c r="A382" t="s">
        <v>548</v>
      </c>
      <c r="B382">
        <v>1</v>
      </c>
      <c r="C382">
        <v>1</v>
      </c>
      <c r="D382" s="21">
        <v>19799.900000000001</v>
      </c>
      <c r="E382" s="21">
        <v>5940.69</v>
      </c>
      <c r="F382" s="2">
        <v>2</v>
      </c>
      <c r="G382" s="21">
        <f>Table7[[#This Row],[Total Revenue]]/Table7[[#This Row],[Orders]]</f>
        <v>19799.900000000001</v>
      </c>
      <c r="H382" s="21" t="str">
        <f>IF(Table7[[#This Row],[Orders]]=1,"New",IF(Table7[[#This Row],[Orders]]&lt;=3,"Returning","Loyal"))</f>
        <v>New</v>
      </c>
    </row>
    <row r="383" spans="1:8" x14ac:dyDescent="0.25">
      <c r="A383" t="s">
        <v>702</v>
      </c>
      <c r="B383">
        <v>6</v>
      </c>
      <c r="C383">
        <v>8</v>
      </c>
      <c r="D383" s="21">
        <v>336333.5</v>
      </c>
      <c r="E383" s="21">
        <v>98876.889999999985</v>
      </c>
      <c r="F383" s="2">
        <v>3.3333333333333335</v>
      </c>
      <c r="G383" s="21">
        <f>Table7[[#This Row],[Total Revenue]]/Table7[[#This Row],[Orders]]</f>
        <v>56055.583333333336</v>
      </c>
      <c r="H383" s="21" t="str">
        <f>IF(Table7[[#This Row],[Orders]]=1,"New",IF(Table7[[#This Row],[Orders]]&lt;=3,"Returning","Loyal"))</f>
        <v>Loyal</v>
      </c>
    </row>
    <row r="384" spans="1:8" x14ac:dyDescent="0.25">
      <c r="A384" t="s">
        <v>1601</v>
      </c>
      <c r="B384">
        <v>2</v>
      </c>
      <c r="C384">
        <v>3</v>
      </c>
      <c r="D384" s="21">
        <v>39752.35</v>
      </c>
      <c r="E384" s="21">
        <v>14108.4</v>
      </c>
      <c r="F384" s="2">
        <v>3</v>
      </c>
      <c r="G384" s="21">
        <f>Table7[[#This Row],[Total Revenue]]/Table7[[#This Row],[Orders]]</f>
        <v>19876.174999999999</v>
      </c>
      <c r="H384" s="21" t="str">
        <f>IF(Table7[[#This Row],[Orders]]=1,"New",IF(Table7[[#This Row],[Orders]]&lt;=3,"Returning","Loyal"))</f>
        <v>Returning</v>
      </c>
    </row>
    <row r="385" spans="1:8" x14ac:dyDescent="0.25">
      <c r="A385" t="s">
        <v>963</v>
      </c>
      <c r="B385">
        <v>1</v>
      </c>
      <c r="C385">
        <v>1</v>
      </c>
      <c r="D385" s="21">
        <v>26548.05</v>
      </c>
      <c r="E385" s="21">
        <v>10556.53</v>
      </c>
      <c r="F385" s="2">
        <v>2</v>
      </c>
      <c r="G385" s="21">
        <f>Table7[[#This Row],[Total Revenue]]/Table7[[#This Row],[Orders]]</f>
        <v>26548.05</v>
      </c>
      <c r="H385" s="21" t="str">
        <f>IF(Table7[[#This Row],[Orders]]=1,"New",IF(Table7[[#This Row],[Orders]]&lt;=3,"Returning","Loyal"))</f>
        <v>New</v>
      </c>
    </row>
    <row r="386" spans="1:8" x14ac:dyDescent="0.25">
      <c r="A386" t="s">
        <v>1005</v>
      </c>
      <c r="B386">
        <v>3</v>
      </c>
      <c r="C386">
        <v>4</v>
      </c>
      <c r="D386" s="21">
        <v>62549.5</v>
      </c>
      <c r="E386" s="21">
        <v>18981.25</v>
      </c>
      <c r="F386" s="2">
        <v>3.3333333333333335</v>
      </c>
      <c r="G386" s="21">
        <f>Table7[[#This Row],[Total Revenue]]/Table7[[#This Row],[Orders]]</f>
        <v>20849.833333333332</v>
      </c>
      <c r="H386" s="21" t="str">
        <f>IF(Table7[[#This Row],[Orders]]=1,"New",IF(Table7[[#This Row],[Orders]]&lt;=3,"Returning","Loyal"))</f>
        <v>Returning</v>
      </c>
    </row>
    <row r="387" spans="1:8" x14ac:dyDescent="0.25">
      <c r="A387" t="s">
        <v>1558</v>
      </c>
      <c r="B387">
        <v>2</v>
      </c>
      <c r="C387">
        <v>5</v>
      </c>
      <c r="D387" s="21">
        <v>30947.100000000002</v>
      </c>
      <c r="E387" s="21">
        <v>7897.02</v>
      </c>
      <c r="F387" s="2">
        <v>4</v>
      </c>
      <c r="G387" s="21">
        <f>Table7[[#This Row],[Total Revenue]]/Table7[[#This Row],[Orders]]</f>
        <v>15473.550000000001</v>
      </c>
      <c r="H387" s="21" t="str">
        <f>IF(Table7[[#This Row],[Orders]]=1,"New",IF(Table7[[#This Row],[Orders]]&lt;=3,"Returning","Loyal"))</f>
        <v>Returning</v>
      </c>
    </row>
    <row r="388" spans="1:8" x14ac:dyDescent="0.25">
      <c r="A388" t="s">
        <v>1975</v>
      </c>
      <c r="B388">
        <v>1</v>
      </c>
      <c r="C388">
        <v>1</v>
      </c>
      <c r="D388" s="21">
        <v>15600.9</v>
      </c>
      <c r="E388" s="21">
        <v>5211.67</v>
      </c>
      <c r="G388" s="21">
        <f>Table7[[#This Row],[Total Revenue]]/Table7[[#This Row],[Orders]]</f>
        <v>15600.9</v>
      </c>
      <c r="H388" s="21" t="str">
        <f>IF(Table7[[#This Row],[Orders]]=1,"New",IF(Table7[[#This Row],[Orders]]&lt;=3,"Returning","Loyal"))</f>
        <v>New</v>
      </c>
    </row>
    <row r="389" spans="1:8" x14ac:dyDescent="0.25">
      <c r="A389" t="s">
        <v>576</v>
      </c>
      <c r="B389">
        <v>4</v>
      </c>
      <c r="C389">
        <v>7</v>
      </c>
      <c r="D389" s="21">
        <v>268727.55000000005</v>
      </c>
      <c r="E389" s="21">
        <v>82362.2</v>
      </c>
      <c r="F389" s="2">
        <v>4.25</v>
      </c>
      <c r="G389" s="21">
        <f>Table7[[#This Row],[Total Revenue]]/Table7[[#This Row],[Orders]]</f>
        <v>67181.887500000012</v>
      </c>
      <c r="H389" s="21" t="str">
        <f>IF(Table7[[#This Row],[Orders]]=1,"New",IF(Table7[[#This Row],[Orders]]&lt;=3,"Returning","Loyal"))</f>
        <v>Loyal</v>
      </c>
    </row>
    <row r="390" spans="1:8" x14ac:dyDescent="0.25">
      <c r="A390" t="s">
        <v>1172</v>
      </c>
      <c r="B390">
        <v>4</v>
      </c>
      <c r="C390">
        <v>11</v>
      </c>
      <c r="D390" s="21">
        <v>471437.1</v>
      </c>
      <c r="E390" s="21">
        <v>174232.21999999997</v>
      </c>
      <c r="F390" s="2">
        <v>4.25</v>
      </c>
      <c r="G390" s="21">
        <f>Table7[[#This Row],[Total Revenue]]/Table7[[#This Row],[Orders]]</f>
        <v>117859.27499999999</v>
      </c>
      <c r="H390" s="21" t="str">
        <f>IF(Table7[[#This Row],[Orders]]=1,"New",IF(Table7[[#This Row],[Orders]]&lt;=3,"Returning","Loyal"))</f>
        <v>Loyal</v>
      </c>
    </row>
    <row r="391" spans="1:8" x14ac:dyDescent="0.25">
      <c r="A391" t="s">
        <v>1424</v>
      </c>
      <c r="B391">
        <v>1</v>
      </c>
      <c r="C391">
        <v>3</v>
      </c>
      <c r="D391" s="21">
        <v>77306.399999999994</v>
      </c>
      <c r="E391" s="21">
        <v>17457.63</v>
      </c>
      <c r="F391" s="2">
        <v>5</v>
      </c>
      <c r="G391" s="21">
        <f>Table7[[#This Row],[Total Revenue]]/Table7[[#This Row],[Orders]]</f>
        <v>77306.399999999994</v>
      </c>
      <c r="H391" s="21" t="str">
        <f>IF(Table7[[#This Row],[Orders]]=1,"New",IF(Table7[[#This Row],[Orders]]&lt;=3,"Returning","Loyal"))</f>
        <v>New</v>
      </c>
    </row>
    <row r="392" spans="1:8" x14ac:dyDescent="0.25">
      <c r="A392" t="s">
        <v>425</v>
      </c>
      <c r="B392">
        <v>3</v>
      </c>
      <c r="C392">
        <v>3</v>
      </c>
      <c r="D392" s="21">
        <v>82909</v>
      </c>
      <c r="E392" s="21">
        <v>26173</v>
      </c>
      <c r="F392" s="2">
        <v>5</v>
      </c>
      <c r="G392" s="21">
        <f>Table7[[#This Row],[Total Revenue]]/Table7[[#This Row],[Orders]]</f>
        <v>27636.333333333332</v>
      </c>
      <c r="H392" s="21" t="str">
        <f>IF(Table7[[#This Row],[Orders]]=1,"New",IF(Table7[[#This Row],[Orders]]&lt;=3,"Returning","Loyal"))</f>
        <v>Returning</v>
      </c>
    </row>
    <row r="393" spans="1:8" x14ac:dyDescent="0.25">
      <c r="A393" t="s">
        <v>648</v>
      </c>
      <c r="B393">
        <v>6</v>
      </c>
      <c r="C393">
        <v>11</v>
      </c>
      <c r="D393" s="21">
        <v>287246.65000000002</v>
      </c>
      <c r="E393" s="21">
        <v>80874.2</v>
      </c>
      <c r="F393" s="2">
        <v>3.1666666666666665</v>
      </c>
      <c r="G393" s="21">
        <f>Table7[[#This Row],[Total Revenue]]/Table7[[#This Row],[Orders]]</f>
        <v>47874.441666666673</v>
      </c>
      <c r="H393" s="21" t="str">
        <f>IF(Table7[[#This Row],[Orders]]=1,"New",IF(Table7[[#This Row],[Orders]]&lt;=3,"Returning","Loyal"))</f>
        <v>Loyal</v>
      </c>
    </row>
    <row r="394" spans="1:8" x14ac:dyDescent="0.25">
      <c r="A394" t="s">
        <v>119</v>
      </c>
      <c r="B394">
        <v>3</v>
      </c>
      <c r="C394">
        <v>5</v>
      </c>
      <c r="D394" s="21">
        <v>230880.45</v>
      </c>
      <c r="E394" s="21">
        <v>65463.369999999995</v>
      </c>
      <c r="F394" s="2">
        <v>4</v>
      </c>
      <c r="G394" s="21">
        <f>Table7[[#This Row],[Total Revenue]]/Table7[[#This Row],[Orders]]</f>
        <v>76960.150000000009</v>
      </c>
      <c r="H394" s="21" t="str">
        <f>IF(Table7[[#This Row],[Orders]]=1,"New",IF(Table7[[#This Row],[Orders]]&lt;=3,"Returning","Loyal"))</f>
        <v>Returning</v>
      </c>
    </row>
    <row r="395" spans="1:8" x14ac:dyDescent="0.25">
      <c r="A395" t="s">
        <v>753</v>
      </c>
      <c r="B395">
        <v>4</v>
      </c>
      <c r="C395">
        <v>4</v>
      </c>
      <c r="D395" s="21">
        <v>126112.5</v>
      </c>
      <c r="E395" s="21">
        <v>48792.59</v>
      </c>
      <c r="F395" s="2">
        <v>3</v>
      </c>
      <c r="G395" s="21">
        <f>Table7[[#This Row],[Total Revenue]]/Table7[[#This Row],[Orders]]</f>
        <v>31528.125</v>
      </c>
      <c r="H395" s="21" t="str">
        <f>IF(Table7[[#This Row],[Orders]]=1,"New",IF(Table7[[#This Row],[Orders]]&lt;=3,"Returning","Loyal"))</f>
        <v>Loyal</v>
      </c>
    </row>
    <row r="396" spans="1:8" x14ac:dyDescent="0.25">
      <c r="A396" t="s">
        <v>1195</v>
      </c>
      <c r="B396">
        <v>3</v>
      </c>
      <c r="C396">
        <v>4</v>
      </c>
      <c r="D396" s="21">
        <v>55452.45</v>
      </c>
      <c r="E396" s="21">
        <v>16665.990000000002</v>
      </c>
      <c r="F396" s="2">
        <v>2.6666666666666665</v>
      </c>
      <c r="G396" s="21">
        <f>Table7[[#This Row],[Total Revenue]]/Table7[[#This Row],[Orders]]</f>
        <v>18484.149999999998</v>
      </c>
      <c r="H396" s="21" t="str">
        <f>IF(Table7[[#This Row],[Orders]]=1,"New",IF(Table7[[#This Row],[Orders]]&lt;=3,"Returning","Loyal"))</f>
        <v>Returning</v>
      </c>
    </row>
    <row r="397" spans="1:8" x14ac:dyDescent="0.25">
      <c r="A397" t="s">
        <v>1443</v>
      </c>
      <c r="B397">
        <v>3</v>
      </c>
      <c r="C397">
        <v>5</v>
      </c>
      <c r="D397" s="21">
        <v>154265</v>
      </c>
      <c r="E397" s="21">
        <v>52391.24</v>
      </c>
      <c r="F397" s="2">
        <v>2.6666666666666665</v>
      </c>
      <c r="G397" s="21">
        <f>Table7[[#This Row],[Total Revenue]]/Table7[[#This Row],[Orders]]</f>
        <v>51421.666666666664</v>
      </c>
      <c r="H397" s="21" t="str">
        <f>IF(Table7[[#This Row],[Orders]]=1,"New",IF(Table7[[#This Row],[Orders]]&lt;=3,"Returning","Loyal"))</f>
        <v>Returning</v>
      </c>
    </row>
    <row r="398" spans="1:8" x14ac:dyDescent="0.25">
      <c r="A398" t="s">
        <v>795</v>
      </c>
      <c r="B398">
        <v>3</v>
      </c>
      <c r="C398">
        <v>4</v>
      </c>
      <c r="D398" s="21">
        <v>150537</v>
      </c>
      <c r="E398" s="21">
        <v>57598.78</v>
      </c>
      <c r="F398" s="2">
        <v>4.666666666666667</v>
      </c>
      <c r="G398" s="21">
        <f>Table7[[#This Row],[Total Revenue]]/Table7[[#This Row],[Orders]]</f>
        <v>50179</v>
      </c>
      <c r="H398" s="21" t="str">
        <f>IF(Table7[[#This Row],[Orders]]=1,"New",IF(Table7[[#This Row],[Orders]]&lt;=3,"Returning","Loyal"))</f>
        <v>Returning</v>
      </c>
    </row>
    <row r="399" spans="1:8" x14ac:dyDescent="0.25">
      <c r="A399" t="s">
        <v>677</v>
      </c>
      <c r="B399">
        <v>4</v>
      </c>
      <c r="C399">
        <v>8</v>
      </c>
      <c r="D399" s="21">
        <v>111371.1</v>
      </c>
      <c r="E399" s="21">
        <v>34312.68</v>
      </c>
      <c r="F399" s="2">
        <v>4.25</v>
      </c>
      <c r="G399" s="21">
        <f>Table7[[#This Row],[Total Revenue]]/Table7[[#This Row],[Orders]]</f>
        <v>27842.775000000001</v>
      </c>
      <c r="H399" s="21" t="str">
        <f>IF(Table7[[#This Row],[Orders]]=1,"New",IF(Table7[[#This Row],[Orders]]&lt;=3,"Returning","Loyal"))</f>
        <v>Loyal</v>
      </c>
    </row>
    <row r="400" spans="1:8" x14ac:dyDescent="0.25">
      <c r="A400" t="s">
        <v>1046</v>
      </c>
      <c r="B400">
        <v>4</v>
      </c>
      <c r="C400">
        <v>4</v>
      </c>
      <c r="D400" s="21">
        <v>64870.05</v>
      </c>
      <c r="E400" s="21">
        <v>16643.53</v>
      </c>
      <c r="F400" s="2">
        <v>3.6666666666666665</v>
      </c>
      <c r="G400" s="21">
        <f>Table7[[#This Row],[Total Revenue]]/Table7[[#This Row],[Orders]]</f>
        <v>16217.512500000001</v>
      </c>
      <c r="H400" s="21" t="str">
        <f>IF(Table7[[#This Row],[Orders]]=1,"New",IF(Table7[[#This Row],[Orders]]&lt;=3,"Returning","Loyal"))</f>
        <v>Loyal</v>
      </c>
    </row>
    <row r="401" spans="1:8" x14ac:dyDescent="0.25">
      <c r="A401" t="s">
        <v>429</v>
      </c>
      <c r="B401">
        <v>2</v>
      </c>
      <c r="C401">
        <v>3</v>
      </c>
      <c r="D401" s="21">
        <v>51012.2</v>
      </c>
      <c r="E401" s="21">
        <v>21636.87</v>
      </c>
      <c r="F401" s="2">
        <v>4</v>
      </c>
      <c r="G401" s="21">
        <f>Table7[[#This Row],[Total Revenue]]/Table7[[#This Row],[Orders]]</f>
        <v>25506.1</v>
      </c>
      <c r="H401" s="21" t="str">
        <f>IF(Table7[[#This Row],[Orders]]=1,"New",IF(Table7[[#This Row],[Orders]]&lt;=3,"Returning","Loyal"))</f>
        <v>Returning</v>
      </c>
    </row>
    <row r="402" spans="1:8" x14ac:dyDescent="0.25">
      <c r="A402" t="s">
        <v>487</v>
      </c>
      <c r="B402">
        <v>3</v>
      </c>
      <c r="C402">
        <v>4</v>
      </c>
      <c r="D402" s="21">
        <v>130921.5</v>
      </c>
      <c r="E402" s="21">
        <v>31018.939999999995</v>
      </c>
      <c r="F402" s="2">
        <v>5</v>
      </c>
      <c r="G402" s="21">
        <f>Table7[[#This Row],[Total Revenue]]/Table7[[#This Row],[Orders]]</f>
        <v>43640.5</v>
      </c>
      <c r="H402" s="21" t="str">
        <f>IF(Table7[[#This Row],[Orders]]=1,"New",IF(Table7[[#This Row],[Orders]]&lt;=3,"Returning","Loyal"))</f>
        <v>Returning</v>
      </c>
    </row>
    <row r="403" spans="1:8" x14ac:dyDescent="0.25">
      <c r="A403" t="s">
        <v>1156</v>
      </c>
      <c r="B403">
        <v>1</v>
      </c>
      <c r="C403">
        <v>3</v>
      </c>
      <c r="D403" s="21">
        <v>89412</v>
      </c>
      <c r="E403" s="21">
        <v>39511.64</v>
      </c>
      <c r="F403" s="2">
        <v>4</v>
      </c>
      <c r="G403" s="21">
        <f>Table7[[#This Row],[Total Revenue]]/Table7[[#This Row],[Orders]]</f>
        <v>89412</v>
      </c>
      <c r="H403" s="21" t="str">
        <f>IF(Table7[[#This Row],[Orders]]=1,"New",IF(Table7[[#This Row],[Orders]]&lt;=3,"Returning","Loyal"))</f>
        <v>New</v>
      </c>
    </row>
    <row r="404" spans="1:8" x14ac:dyDescent="0.25">
      <c r="A404" t="s">
        <v>217</v>
      </c>
      <c r="B404">
        <v>2</v>
      </c>
      <c r="C404">
        <v>5</v>
      </c>
      <c r="D404" s="21">
        <v>93500.85</v>
      </c>
      <c r="E404" s="21">
        <v>31242.68</v>
      </c>
      <c r="F404" s="2">
        <v>4.5</v>
      </c>
      <c r="G404" s="21">
        <f>Table7[[#This Row],[Total Revenue]]/Table7[[#This Row],[Orders]]</f>
        <v>46750.425000000003</v>
      </c>
      <c r="H404" s="21" t="str">
        <f>IF(Table7[[#This Row],[Orders]]=1,"New",IF(Table7[[#This Row],[Orders]]&lt;=3,"Returning","Loyal"))</f>
        <v>Returning</v>
      </c>
    </row>
    <row r="405" spans="1:8" x14ac:dyDescent="0.25">
      <c r="A405" t="s">
        <v>482</v>
      </c>
      <c r="B405">
        <v>3</v>
      </c>
      <c r="C405">
        <v>4</v>
      </c>
      <c r="D405" s="21">
        <v>234654.9</v>
      </c>
      <c r="E405" s="21">
        <v>86494.530000000013</v>
      </c>
      <c r="F405" s="2">
        <v>3.5</v>
      </c>
      <c r="G405" s="21">
        <f>Table7[[#This Row],[Total Revenue]]/Table7[[#This Row],[Orders]]</f>
        <v>78218.3</v>
      </c>
      <c r="H405" s="21" t="str">
        <f>IF(Table7[[#This Row],[Orders]]=1,"New",IF(Table7[[#This Row],[Orders]]&lt;=3,"Returning","Loyal"))</f>
        <v>Returning</v>
      </c>
    </row>
    <row r="406" spans="1:8" x14ac:dyDescent="0.25">
      <c r="A406" t="s">
        <v>498</v>
      </c>
      <c r="B406">
        <v>2</v>
      </c>
      <c r="C406">
        <v>5</v>
      </c>
      <c r="D406" s="21">
        <v>86675</v>
      </c>
      <c r="E406" s="21">
        <v>28810.870000000003</v>
      </c>
      <c r="F406" s="2">
        <v>4</v>
      </c>
      <c r="G406" s="21">
        <f>Table7[[#This Row],[Total Revenue]]/Table7[[#This Row],[Orders]]</f>
        <v>43337.5</v>
      </c>
      <c r="H406" s="21" t="str">
        <f>IF(Table7[[#This Row],[Orders]]=1,"New",IF(Table7[[#This Row],[Orders]]&lt;=3,"Returning","Loyal"))</f>
        <v>Returning</v>
      </c>
    </row>
    <row r="407" spans="1:8" x14ac:dyDescent="0.25">
      <c r="A407" t="s">
        <v>1026</v>
      </c>
      <c r="B407">
        <v>5</v>
      </c>
      <c r="C407">
        <v>8</v>
      </c>
      <c r="D407" s="21">
        <v>163459.4</v>
      </c>
      <c r="E407" s="21">
        <v>42872.090000000004</v>
      </c>
      <c r="F407" s="2">
        <v>3.2</v>
      </c>
      <c r="G407" s="21">
        <f>Table7[[#This Row],[Total Revenue]]/Table7[[#This Row],[Orders]]</f>
        <v>32691.879999999997</v>
      </c>
      <c r="H407" s="21" t="str">
        <f>IF(Table7[[#This Row],[Orders]]=1,"New",IF(Table7[[#This Row],[Orders]]&lt;=3,"Returning","Loyal"))</f>
        <v>Loyal</v>
      </c>
    </row>
    <row r="408" spans="1:8" x14ac:dyDescent="0.25">
      <c r="A408" t="s">
        <v>785</v>
      </c>
      <c r="B408">
        <v>6</v>
      </c>
      <c r="C408">
        <v>11</v>
      </c>
      <c r="D408" s="21">
        <v>507695.35</v>
      </c>
      <c r="E408" s="21">
        <v>151162.72</v>
      </c>
      <c r="F408" s="2">
        <v>3</v>
      </c>
      <c r="G408" s="21">
        <f>Table7[[#This Row],[Total Revenue]]/Table7[[#This Row],[Orders]]</f>
        <v>84615.891666666663</v>
      </c>
      <c r="H408" s="21" t="str">
        <f>IF(Table7[[#This Row],[Orders]]=1,"New",IF(Table7[[#This Row],[Orders]]&lt;=3,"Returning","Loyal"))</f>
        <v>Loyal</v>
      </c>
    </row>
    <row r="409" spans="1:8" x14ac:dyDescent="0.25">
      <c r="A409" t="s">
        <v>332</v>
      </c>
      <c r="B409">
        <v>3</v>
      </c>
      <c r="C409">
        <v>3</v>
      </c>
      <c r="D409" s="21">
        <v>139202.79999999999</v>
      </c>
      <c r="E409" s="21">
        <v>44863.78</v>
      </c>
      <c r="F409" s="2">
        <v>5</v>
      </c>
      <c r="G409" s="21">
        <f>Table7[[#This Row],[Total Revenue]]/Table7[[#This Row],[Orders]]</f>
        <v>46400.933333333327</v>
      </c>
      <c r="H409" s="21" t="str">
        <f>IF(Table7[[#This Row],[Orders]]=1,"New",IF(Table7[[#This Row],[Orders]]&lt;=3,"Returning","Loyal"))</f>
        <v>Returning</v>
      </c>
    </row>
    <row r="410" spans="1:8" x14ac:dyDescent="0.25">
      <c r="A410" t="s">
        <v>1252</v>
      </c>
      <c r="B410">
        <v>3</v>
      </c>
      <c r="C410">
        <v>7</v>
      </c>
      <c r="D410" s="21">
        <v>135715.4</v>
      </c>
      <c r="E410" s="21">
        <v>46654.03</v>
      </c>
      <c r="F410" s="2">
        <v>4</v>
      </c>
      <c r="G410" s="21">
        <f>Table7[[#This Row],[Total Revenue]]/Table7[[#This Row],[Orders]]</f>
        <v>45238.466666666667</v>
      </c>
      <c r="H410" s="21" t="str">
        <f>IF(Table7[[#This Row],[Orders]]=1,"New",IF(Table7[[#This Row],[Orders]]&lt;=3,"Returning","Loyal"))</f>
        <v>Returning</v>
      </c>
    </row>
    <row r="411" spans="1:8" x14ac:dyDescent="0.25">
      <c r="A411" t="s">
        <v>706</v>
      </c>
      <c r="B411">
        <v>4</v>
      </c>
      <c r="C411">
        <v>6</v>
      </c>
      <c r="D411" s="21">
        <v>65583.5</v>
      </c>
      <c r="E411" s="21">
        <v>15903.26</v>
      </c>
      <c r="F411" s="2">
        <v>4.333333333333333</v>
      </c>
      <c r="G411" s="21">
        <f>Table7[[#This Row],[Total Revenue]]/Table7[[#This Row],[Orders]]</f>
        <v>16395.875</v>
      </c>
      <c r="H411" s="21" t="str">
        <f>IF(Table7[[#This Row],[Orders]]=1,"New",IF(Table7[[#This Row],[Orders]]&lt;=3,"Returning","Loyal"))</f>
        <v>Loyal</v>
      </c>
    </row>
    <row r="412" spans="1:8" x14ac:dyDescent="0.25">
      <c r="A412" t="s">
        <v>905</v>
      </c>
      <c r="B412">
        <v>4</v>
      </c>
      <c r="C412">
        <v>4</v>
      </c>
      <c r="D412" s="21">
        <v>177776.95</v>
      </c>
      <c r="E412" s="21">
        <v>51710.64</v>
      </c>
      <c r="F412" s="2">
        <v>4</v>
      </c>
      <c r="G412" s="21">
        <f>Table7[[#This Row],[Total Revenue]]/Table7[[#This Row],[Orders]]</f>
        <v>44444.237500000003</v>
      </c>
      <c r="H412" s="21" t="str">
        <f>IF(Table7[[#This Row],[Orders]]=1,"New",IF(Table7[[#This Row],[Orders]]&lt;=3,"Returning","Loyal"))</f>
        <v>Loyal</v>
      </c>
    </row>
    <row r="413" spans="1:8" x14ac:dyDescent="0.25">
      <c r="A413" t="s">
        <v>817</v>
      </c>
      <c r="B413">
        <v>5</v>
      </c>
      <c r="C413">
        <v>11</v>
      </c>
      <c r="D413" s="21">
        <v>449605.7</v>
      </c>
      <c r="E413" s="21">
        <v>127972.68</v>
      </c>
      <c r="F413" s="2">
        <v>2.4</v>
      </c>
      <c r="G413" s="21">
        <f>Table7[[#This Row],[Total Revenue]]/Table7[[#This Row],[Orders]]</f>
        <v>89921.14</v>
      </c>
      <c r="H413" s="21" t="str">
        <f>IF(Table7[[#This Row],[Orders]]=1,"New",IF(Table7[[#This Row],[Orders]]&lt;=3,"Returning","Loyal"))</f>
        <v>Loyal</v>
      </c>
    </row>
    <row r="414" spans="1:8" x14ac:dyDescent="0.25">
      <c r="A414" t="s">
        <v>601</v>
      </c>
      <c r="B414">
        <v>2</v>
      </c>
      <c r="C414">
        <v>4</v>
      </c>
      <c r="D414" s="21">
        <v>105616.4</v>
      </c>
      <c r="E414" s="21">
        <v>24920.27</v>
      </c>
      <c r="F414" s="2">
        <v>1.5</v>
      </c>
      <c r="G414" s="21">
        <f>Table7[[#This Row],[Total Revenue]]/Table7[[#This Row],[Orders]]</f>
        <v>52808.2</v>
      </c>
      <c r="H414" s="21" t="str">
        <f>IF(Table7[[#This Row],[Orders]]=1,"New",IF(Table7[[#This Row],[Orders]]&lt;=3,"Returning","Loyal"))</f>
        <v>Returning</v>
      </c>
    </row>
    <row r="415" spans="1:8" x14ac:dyDescent="0.25">
      <c r="A415" t="s">
        <v>282</v>
      </c>
      <c r="B415">
        <v>8</v>
      </c>
      <c r="C415">
        <v>12</v>
      </c>
      <c r="D415" s="21">
        <v>352723.69999999995</v>
      </c>
      <c r="E415" s="21">
        <v>102231.94</v>
      </c>
      <c r="F415" s="2">
        <v>3.1428571428571428</v>
      </c>
      <c r="G415" s="21">
        <f>Table7[[#This Row],[Total Revenue]]/Table7[[#This Row],[Orders]]</f>
        <v>44090.462499999994</v>
      </c>
      <c r="H415" s="21" t="str">
        <f>IF(Table7[[#This Row],[Orders]]=1,"New",IF(Table7[[#This Row],[Orders]]&lt;=3,"Returning","Loyal"))</f>
        <v>Loyal</v>
      </c>
    </row>
    <row r="416" spans="1:8" x14ac:dyDescent="0.25">
      <c r="A416" t="s">
        <v>1332</v>
      </c>
      <c r="B416">
        <v>3</v>
      </c>
      <c r="C416">
        <v>6</v>
      </c>
      <c r="D416" s="21">
        <v>155410.79999999999</v>
      </c>
      <c r="E416" s="21">
        <v>58091.19</v>
      </c>
      <c r="F416" s="2">
        <v>1.5</v>
      </c>
      <c r="G416" s="21">
        <f>Table7[[#This Row],[Total Revenue]]/Table7[[#This Row],[Orders]]</f>
        <v>51803.6</v>
      </c>
      <c r="H416" s="21" t="str">
        <f>IF(Table7[[#This Row],[Orders]]=1,"New",IF(Table7[[#This Row],[Orders]]&lt;=3,"Returning","Loyal"))</f>
        <v>Returning</v>
      </c>
    </row>
    <row r="417" spans="1:8" x14ac:dyDescent="0.25">
      <c r="A417" t="s">
        <v>1832</v>
      </c>
      <c r="B417">
        <v>3</v>
      </c>
      <c r="C417">
        <v>5</v>
      </c>
      <c r="D417" s="21">
        <v>85192.8</v>
      </c>
      <c r="E417" s="21">
        <v>23448.7</v>
      </c>
      <c r="F417" s="2">
        <v>5</v>
      </c>
      <c r="G417" s="21">
        <f>Table7[[#This Row],[Total Revenue]]/Table7[[#This Row],[Orders]]</f>
        <v>28397.600000000002</v>
      </c>
      <c r="H417" s="21" t="str">
        <f>IF(Table7[[#This Row],[Orders]]=1,"New",IF(Table7[[#This Row],[Orders]]&lt;=3,"Returning","Loyal"))</f>
        <v>Returning</v>
      </c>
    </row>
    <row r="418" spans="1:8" x14ac:dyDescent="0.25">
      <c r="A418" t="s">
        <v>774</v>
      </c>
      <c r="B418">
        <v>3</v>
      </c>
      <c r="C418">
        <v>5</v>
      </c>
      <c r="D418" s="21">
        <v>151725.4</v>
      </c>
      <c r="E418" s="21">
        <v>38795.65</v>
      </c>
      <c r="F418" s="2">
        <v>3.3333333333333335</v>
      </c>
      <c r="G418" s="21">
        <f>Table7[[#This Row],[Total Revenue]]/Table7[[#This Row],[Orders]]</f>
        <v>50575.133333333331</v>
      </c>
      <c r="H418" s="21" t="str">
        <f>IF(Table7[[#This Row],[Orders]]=1,"New",IF(Table7[[#This Row],[Orders]]&lt;=3,"Returning","Loyal"))</f>
        <v>Returning</v>
      </c>
    </row>
    <row r="419" spans="1:8" x14ac:dyDescent="0.25">
      <c r="A419" t="s">
        <v>1001</v>
      </c>
      <c r="B419">
        <v>2</v>
      </c>
      <c r="C419">
        <v>4</v>
      </c>
      <c r="D419" s="21">
        <v>35395.25</v>
      </c>
      <c r="E419" s="21">
        <v>10949.27</v>
      </c>
      <c r="F419" s="2">
        <v>5</v>
      </c>
      <c r="G419" s="21">
        <f>Table7[[#This Row],[Total Revenue]]/Table7[[#This Row],[Orders]]</f>
        <v>17697.625</v>
      </c>
      <c r="H419" s="21" t="str">
        <f>IF(Table7[[#This Row],[Orders]]=1,"New",IF(Table7[[#This Row],[Orders]]&lt;=3,"Returning","Loyal"))</f>
        <v>Returning</v>
      </c>
    </row>
    <row r="420" spans="1:8" x14ac:dyDescent="0.25">
      <c r="A420" t="s">
        <v>914</v>
      </c>
      <c r="B420">
        <v>3</v>
      </c>
      <c r="C420">
        <v>4</v>
      </c>
      <c r="D420" s="21">
        <v>48330.400000000001</v>
      </c>
      <c r="E420" s="21">
        <v>15551.029999999999</v>
      </c>
      <c r="F420" s="2">
        <v>5</v>
      </c>
      <c r="G420" s="21">
        <f>Table7[[#This Row],[Total Revenue]]/Table7[[#This Row],[Orders]]</f>
        <v>16110.133333333333</v>
      </c>
      <c r="H420" s="21" t="str">
        <f>IF(Table7[[#This Row],[Orders]]=1,"New",IF(Table7[[#This Row],[Orders]]&lt;=3,"Returning","Loyal"))</f>
        <v>Returning</v>
      </c>
    </row>
    <row r="421" spans="1:8" x14ac:dyDescent="0.25">
      <c r="A421" t="s">
        <v>1039</v>
      </c>
      <c r="B421">
        <v>1</v>
      </c>
      <c r="C421">
        <v>1</v>
      </c>
      <c r="D421" s="21">
        <v>43222.15</v>
      </c>
      <c r="E421" s="21">
        <v>10961.67</v>
      </c>
      <c r="F421" s="2">
        <v>5</v>
      </c>
      <c r="G421" s="21">
        <f>Table7[[#This Row],[Total Revenue]]/Table7[[#This Row],[Orders]]</f>
        <v>43222.15</v>
      </c>
      <c r="H421" s="21" t="str">
        <f>IF(Table7[[#This Row],[Orders]]=1,"New",IF(Table7[[#This Row],[Orders]]&lt;=3,"Returning","Loyal"))</f>
        <v>New</v>
      </c>
    </row>
    <row r="422" spans="1:8" x14ac:dyDescent="0.25">
      <c r="A422" t="s">
        <v>2002</v>
      </c>
      <c r="B422">
        <v>3</v>
      </c>
      <c r="C422">
        <v>5</v>
      </c>
      <c r="D422" s="21">
        <v>121866.54999999999</v>
      </c>
      <c r="E422" s="21">
        <v>27713.59</v>
      </c>
      <c r="F422" s="2">
        <v>4.333333333333333</v>
      </c>
      <c r="G422" s="21">
        <f>Table7[[#This Row],[Total Revenue]]/Table7[[#This Row],[Orders]]</f>
        <v>40622.183333333327</v>
      </c>
      <c r="H422" s="21" t="str">
        <f>IF(Table7[[#This Row],[Orders]]=1,"New",IF(Table7[[#This Row],[Orders]]&lt;=3,"Returning","Loyal"))</f>
        <v>Returning</v>
      </c>
    </row>
    <row r="423" spans="1:8" x14ac:dyDescent="0.25">
      <c r="A423" t="s">
        <v>193</v>
      </c>
      <c r="B423">
        <v>5</v>
      </c>
      <c r="C423">
        <v>9</v>
      </c>
      <c r="D423" s="21">
        <v>352604.75</v>
      </c>
      <c r="E423" s="21">
        <v>142391.91</v>
      </c>
      <c r="F423" s="2">
        <v>3.2</v>
      </c>
      <c r="G423" s="21">
        <f>Table7[[#This Row],[Total Revenue]]/Table7[[#This Row],[Orders]]</f>
        <v>70520.95</v>
      </c>
      <c r="H423" s="21" t="str">
        <f>IF(Table7[[#This Row],[Orders]]=1,"New",IF(Table7[[#This Row],[Orders]]&lt;=3,"Returning","Loyal"))</f>
        <v>Loyal</v>
      </c>
    </row>
    <row r="424" spans="1:8" x14ac:dyDescent="0.25">
      <c r="A424" t="s">
        <v>1677</v>
      </c>
      <c r="B424">
        <v>1</v>
      </c>
      <c r="C424">
        <v>1</v>
      </c>
      <c r="D424" s="21">
        <v>63162</v>
      </c>
      <c r="E424" s="21">
        <v>27142.1</v>
      </c>
      <c r="F424" s="2">
        <v>3</v>
      </c>
      <c r="G424" s="21">
        <f>Table7[[#This Row],[Total Revenue]]/Table7[[#This Row],[Orders]]</f>
        <v>63162</v>
      </c>
      <c r="H424" s="21" t="str">
        <f>IF(Table7[[#This Row],[Orders]]=1,"New",IF(Table7[[#This Row],[Orders]]&lt;=3,"Returning","Loyal"))</f>
        <v>New</v>
      </c>
    </row>
    <row r="425" spans="1:8" x14ac:dyDescent="0.25">
      <c r="A425" t="s">
        <v>1314</v>
      </c>
      <c r="B425">
        <v>3</v>
      </c>
      <c r="C425">
        <v>4</v>
      </c>
      <c r="D425" s="21">
        <v>107393</v>
      </c>
      <c r="E425" s="21">
        <v>44212.69</v>
      </c>
      <c r="F425" s="2">
        <v>4.5</v>
      </c>
      <c r="G425" s="21">
        <f>Table7[[#This Row],[Total Revenue]]/Table7[[#This Row],[Orders]]</f>
        <v>35797.666666666664</v>
      </c>
      <c r="H425" s="21" t="str">
        <f>IF(Table7[[#This Row],[Orders]]=1,"New",IF(Table7[[#This Row],[Orders]]&lt;=3,"Returning","Loyal"))</f>
        <v>Returning</v>
      </c>
    </row>
    <row r="426" spans="1:8" x14ac:dyDescent="0.25">
      <c r="A426" t="s">
        <v>1977</v>
      </c>
      <c r="B426">
        <v>1</v>
      </c>
      <c r="C426">
        <v>2</v>
      </c>
      <c r="D426" s="21">
        <v>84542</v>
      </c>
      <c r="E426" s="21">
        <v>23849.79</v>
      </c>
      <c r="F426" s="2">
        <v>4</v>
      </c>
      <c r="G426" s="21">
        <f>Table7[[#This Row],[Total Revenue]]/Table7[[#This Row],[Orders]]</f>
        <v>84542</v>
      </c>
      <c r="H426" s="21" t="str">
        <f>IF(Table7[[#This Row],[Orders]]=1,"New",IF(Table7[[#This Row],[Orders]]&lt;=3,"Returning","Loyal"))</f>
        <v>New</v>
      </c>
    </row>
    <row r="427" spans="1:8" x14ac:dyDescent="0.25">
      <c r="A427" t="s">
        <v>351</v>
      </c>
      <c r="B427">
        <v>4</v>
      </c>
      <c r="C427">
        <v>5</v>
      </c>
      <c r="D427" s="21">
        <v>98471.85</v>
      </c>
      <c r="E427" s="21">
        <v>26841.579999999998</v>
      </c>
      <c r="F427" s="2">
        <v>4.75</v>
      </c>
      <c r="G427" s="21">
        <f>Table7[[#This Row],[Total Revenue]]/Table7[[#This Row],[Orders]]</f>
        <v>24617.962500000001</v>
      </c>
      <c r="H427" s="21" t="str">
        <f>IF(Table7[[#This Row],[Orders]]=1,"New",IF(Table7[[#This Row],[Orders]]&lt;=3,"Returning","Loyal"))</f>
        <v>Loyal</v>
      </c>
    </row>
    <row r="428" spans="1:8" x14ac:dyDescent="0.25">
      <c r="A428" t="s">
        <v>421</v>
      </c>
      <c r="B428">
        <v>5</v>
      </c>
      <c r="C428">
        <v>9</v>
      </c>
      <c r="D428" s="21">
        <v>336337</v>
      </c>
      <c r="E428" s="21">
        <v>126167.42000000001</v>
      </c>
      <c r="F428" s="2">
        <v>4.5</v>
      </c>
      <c r="G428" s="21">
        <f>Table7[[#This Row],[Total Revenue]]/Table7[[#This Row],[Orders]]</f>
        <v>67267.399999999994</v>
      </c>
      <c r="H428" s="21" t="str">
        <f>IF(Table7[[#This Row],[Orders]]=1,"New",IF(Table7[[#This Row],[Orders]]&lt;=3,"Returning","Loyal"))</f>
        <v>Loyal</v>
      </c>
    </row>
    <row r="429" spans="1:8" x14ac:dyDescent="0.25">
      <c r="A429" t="s">
        <v>207</v>
      </c>
      <c r="B429">
        <v>2</v>
      </c>
      <c r="C429">
        <v>6</v>
      </c>
      <c r="D429" s="21">
        <v>78273.600000000006</v>
      </c>
      <c r="E429" s="21">
        <v>25738.53</v>
      </c>
      <c r="F429" s="2">
        <v>3.5</v>
      </c>
      <c r="G429" s="21">
        <f>Table7[[#This Row],[Total Revenue]]/Table7[[#This Row],[Orders]]</f>
        <v>39136.800000000003</v>
      </c>
      <c r="H429" s="21" t="str">
        <f>IF(Table7[[#This Row],[Orders]]=1,"New",IF(Table7[[#This Row],[Orders]]&lt;=3,"Returning","Loyal"))</f>
        <v>Returning</v>
      </c>
    </row>
    <row r="430" spans="1:8" x14ac:dyDescent="0.25">
      <c r="A430" t="s">
        <v>137</v>
      </c>
      <c r="B430">
        <v>6</v>
      </c>
      <c r="C430">
        <v>14</v>
      </c>
      <c r="D430" s="21">
        <v>373892.9</v>
      </c>
      <c r="E430" s="21">
        <v>139359.77000000002</v>
      </c>
      <c r="F430" s="2">
        <v>2</v>
      </c>
      <c r="G430" s="21">
        <f>Table7[[#This Row],[Total Revenue]]/Table7[[#This Row],[Orders]]</f>
        <v>62315.483333333337</v>
      </c>
      <c r="H430" s="21" t="str">
        <f>IF(Table7[[#This Row],[Orders]]=1,"New",IF(Table7[[#This Row],[Orders]]&lt;=3,"Returning","Loyal"))</f>
        <v>Loyal</v>
      </c>
    </row>
    <row r="431" spans="1:8" x14ac:dyDescent="0.25">
      <c r="A431" t="s">
        <v>514</v>
      </c>
      <c r="B431">
        <v>5</v>
      </c>
      <c r="C431">
        <v>5</v>
      </c>
      <c r="D431" s="21">
        <v>200758.2</v>
      </c>
      <c r="E431" s="21">
        <v>73307.55</v>
      </c>
      <c r="F431" s="2">
        <v>4</v>
      </c>
      <c r="G431" s="21">
        <f>Table7[[#This Row],[Total Revenue]]/Table7[[#This Row],[Orders]]</f>
        <v>40151.64</v>
      </c>
      <c r="H431" s="21" t="str">
        <f>IF(Table7[[#This Row],[Orders]]=1,"New",IF(Table7[[#This Row],[Orders]]&lt;=3,"Returning","Loyal"))</f>
        <v>Loyal</v>
      </c>
    </row>
    <row r="432" spans="1:8" x14ac:dyDescent="0.25">
      <c r="A432" t="s">
        <v>474</v>
      </c>
      <c r="B432">
        <v>2</v>
      </c>
      <c r="C432">
        <v>5</v>
      </c>
      <c r="D432" s="21">
        <v>129143.4</v>
      </c>
      <c r="E432" s="21">
        <v>37313.67</v>
      </c>
      <c r="G432" s="21">
        <f>Table7[[#This Row],[Total Revenue]]/Table7[[#This Row],[Orders]]</f>
        <v>64571.7</v>
      </c>
      <c r="H432" s="21" t="str">
        <f>IF(Table7[[#This Row],[Orders]]=1,"New",IF(Table7[[#This Row],[Orders]]&lt;=3,"Returning","Loyal"))</f>
        <v>Returning</v>
      </c>
    </row>
    <row r="433" spans="1:8" x14ac:dyDescent="0.25">
      <c r="A433" t="s">
        <v>343</v>
      </c>
      <c r="B433">
        <v>2</v>
      </c>
      <c r="C433">
        <v>2</v>
      </c>
      <c r="D433" s="21">
        <v>114205.2</v>
      </c>
      <c r="E433" s="21">
        <v>25922.940000000002</v>
      </c>
      <c r="F433" s="2">
        <v>4.5</v>
      </c>
      <c r="G433" s="21">
        <f>Table7[[#This Row],[Total Revenue]]/Table7[[#This Row],[Orders]]</f>
        <v>57102.6</v>
      </c>
      <c r="H433" s="21" t="str">
        <f>IF(Table7[[#This Row],[Orders]]=1,"New",IF(Table7[[#This Row],[Orders]]&lt;=3,"Returning","Loyal"))</f>
        <v>Returning</v>
      </c>
    </row>
    <row r="434" spans="1:8" x14ac:dyDescent="0.25">
      <c r="A434" t="s">
        <v>1227</v>
      </c>
      <c r="B434">
        <v>3</v>
      </c>
      <c r="C434">
        <v>5</v>
      </c>
      <c r="D434" s="21">
        <v>161915.70000000001</v>
      </c>
      <c r="E434" s="21">
        <v>42629.979999999996</v>
      </c>
      <c r="F434" s="2">
        <v>1</v>
      </c>
      <c r="G434" s="21">
        <f>Table7[[#This Row],[Total Revenue]]/Table7[[#This Row],[Orders]]</f>
        <v>53971.9</v>
      </c>
      <c r="H434" s="21" t="str">
        <f>IF(Table7[[#This Row],[Orders]]=1,"New",IF(Table7[[#This Row],[Orders]]&lt;=3,"Returning","Loyal"))</f>
        <v>Returning</v>
      </c>
    </row>
    <row r="435" spans="1:8" x14ac:dyDescent="0.25">
      <c r="A435" t="s">
        <v>380</v>
      </c>
      <c r="B435">
        <v>7</v>
      </c>
      <c r="C435">
        <v>10</v>
      </c>
      <c r="D435" s="21">
        <v>118757.5</v>
      </c>
      <c r="E435" s="21">
        <v>40047.279999999999</v>
      </c>
      <c r="F435" s="2">
        <v>4.1428571428571432</v>
      </c>
      <c r="G435" s="21">
        <f>Table7[[#This Row],[Total Revenue]]/Table7[[#This Row],[Orders]]</f>
        <v>16965.357142857141</v>
      </c>
      <c r="H435" s="21" t="str">
        <f>IF(Table7[[#This Row],[Orders]]=1,"New",IF(Table7[[#This Row],[Orders]]&lt;=3,"Returning","Loyal"))</f>
        <v>Loyal</v>
      </c>
    </row>
    <row r="436" spans="1:8" x14ac:dyDescent="0.25">
      <c r="A436" t="s">
        <v>297</v>
      </c>
      <c r="B436">
        <v>3</v>
      </c>
      <c r="C436">
        <v>6</v>
      </c>
      <c r="D436" s="21">
        <v>366664.6</v>
      </c>
      <c r="E436" s="21">
        <v>147551.97</v>
      </c>
      <c r="F436" s="2">
        <v>3.3333333333333335</v>
      </c>
      <c r="G436" s="21">
        <f>Table7[[#This Row],[Total Revenue]]/Table7[[#This Row],[Orders]]</f>
        <v>122221.53333333333</v>
      </c>
      <c r="H436" s="21" t="str">
        <f>IF(Table7[[#This Row],[Orders]]=1,"New",IF(Table7[[#This Row],[Orders]]&lt;=3,"Returning","Loyal"))</f>
        <v>Returning</v>
      </c>
    </row>
    <row r="437" spans="1:8" x14ac:dyDescent="0.25">
      <c r="A437" t="s">
        <v>476</v>
      </c>
      <c r="B437">
        <v>2</v>
      </c>
      <c r="C437">
        <v>5</v>
      </c>
      <c r="D437" s="21">
        <v>340683</v>
      </c>
      <c r="E437" s="21">
        <v>121192.67</v>
      </c>
      <c r="F437" s="2">
        <v>5</v>
      </c>
      <c r="G437" s="21">
        <f>Table7[[#This Row],[Total Revenue]]/Table7[[#This Row],[Orders]]</f>
        <v>170341.5</v>
      </c>
      <c r="H437" s="21" t="str">
        <f>IF(Table7[[#This Row],[Orders]]=1,"New",IF(Table7[[#This Row],[Orders]]&lt;=3,"Returning","Loyal"))</f>
        <v>Returning</v>
      </c>
    </row>
    <row r="438" spans="1:8" x14ac:dyDescent="0.25">
      <c r="A438" t="s">
        <v>168</v>
      </c>
      <c r="B438">
        <v>4</v>
      </c>
      <c r="C438">
        <v>7</v>
      </c>
      <c r="D438" s="21">
        <v>306832.45</v>
      </c>
      <c r="E438" s="21">
        <v>90848.12</v>
      </c>
      <c r="F438" s="2">
        <v>5</v>
      </c>
      <c r="G438" s="21">
        <f>Table7[[#This Row],[Total Revenue]]/Table7[[#This Row],[Orders]]</f>
        <v>76708.112500000003</v>
      </c>
      <c r="H438" s="21" t="str">
        <f>IF(Table7[[#This Row],[Orders]]=1,"New",IF(Table7[[#This Row],[Orders]]&lt;=3,"Returning","Loyal"))</f>
        <v>Loyal</v>
      </c>
    </row>
    <row r="439" spans="1:8" x14ac:dyDescent="0.25">
      <c r="A439" t="s">
        <v>1353</v>
      </c>
      <c r="B439">
        <v>2</v>
      </c>
      <c r="C439">
        <v>2</v>
      </c>
      <c r="D439" s="21">
        <v>117341</v>
      </c>
      <c r="E439" s="21">
        <v>30665.760000000002</v>
      </c>
      <c r="F439" s="2">
        <v>5</v>
      </c>
      <c r="G439" s="21">
        <f>Table7[[#This Row],[Total Revenue]]/Table7[[#This Row],[Orders]]</f>
        <v>58670.5</v>
      </c>
      <c r="H439" s="21" t="str">
        <f>IF(Table7[[#This Row],[Orders]]=1,"New",IF(Table7[[#This Row],[Orders]]&lt;=3,"Returning","Loyal"))</f>
        <v>Returning</v>
      </c>
    </row>
    <row r="440" spans="1:8" x14ac:dyDescent="0.25">
      <c r="A440" t="s">
        <v>129</v>
      </c>
      <c r="B440">
        <v>6</v>
      </c>
      <c r="C440">
        <v>10</v>
      </c>
      <c r="D440" s="21">
        <v>397475.44999999995</v>
      </c>
      <c r="E440" s="21">
        <v>112183.09000000001</v>
      </c>
      <c r="F440" s="2">
        <v>4.75</v>
      </c>
      <c r="G440" s="21">
        <f>Table7[[#This Row],[Total Revenue]]/Table7[[#This Row],[Orders]]</f>
        <v>66245.908333333326</v>
      </c>
      <c r="H440" s="21" t="str">
        <f>IF(Table7[[#This Row],[Orders]]=1,"New",IF(Table7[[#This Row],[Orders]]&lt;=3,"Returning","Loyal"))</f>
        <v>Loyal</v>
      </c>
    </row>
    <row r="441" spans="1:8" x14ac:dyDescent="0.25">
      <c r="A441" t="s">
        <v>1497</v>
      </c>
      <c r="B441">
        <v>2</v>
      </c>
      <c r="C441">
        <v>3</v>
      </c>
      <c r="D441" s="21">
        <v>92648.7</v>
      </c>
      <c r="E441" s="21">
        <v>36683.42</v>
      </c>
      <c r="F441" s="2">
        <v>3.5</v>
      </c>
      <c r="G441" s="21">
        <f>Table7[[#This Row],[Total Revenue]]/Table7[[#This Row],[Orders]]</f>
        <v>46324.35</v>
      </c>
      <c r="H441" s="21" t="str">
        <f>IF(Table7[[#This Row],[Orders]]=1,"New",IF(Table7[[#This Row],[Orders]]&lt;=3,"Returning","Loyal"))</f>
        <v>Returning</v>
      </c>
    </row>
    <row r="442" spans="1:8" x14ac:dyDescent="0.25">
      <c r="A442" t="s">
        <v>747</v>
      </c>
      <c r="B442">
        <v>4</v>
      </c>
      <c r="C442">
        <v>5</v>
      </c>
      <c r="D442" s="21">
        <v>125858.65</v>
      </c>
      <c r="E442" s="21">
        <v>37844.17</v>
      </c>
      <c r="F442" s="2">
        <v>3.25</v>
      </c>
      <c r="G442" s="21">
        <f>Table7[[#This Row],[Total Revenue]]/Table7[[#This Row],[Orders]]</f>
        <v>31464.662499999999</v>
      </c>
      <c r="H442" s="21" t="str">
        <f>IF(Table7[[#This Row],[Orders]]=1,"New",IF(Table7[[#This Row],[Orders]]&lt;=3,"Returning","Loyal"))</f>
        <v>Loyal</v>
      </c>
    </row>
    <row r="443" spans="1:8" x14ac:dyDescent="0.25">
      <c r="A443" t="s">
        <v>595</v>
      </c>
      <c r="B443">
        <v>7</v>
      </c>
      <c r="C443">
        <v>9</v>
      </c>
      <c r="D443" s="21">
        <v>294051.20000000001</v>
      </c>
      <c r="E443" s="21">
        <v>80390.329999999987</v>
      </c>
      <c r="F443" s="2">
        <v>3</v>
      </c>
      <c r="G443" s="21">
        <f>Table7[[#This Row],[Total Revenue]]/Table7[[#This Row],[Orders]]</f>
        <v>42007.314285714288</v>
      </c>
      <c r="H443" s="21" t="str">
        <f>IF(Table7[[#This Row],[Orders]]=1,"New",IF(Table7[[#This Row],[Orders]]&lt;=3,"Returning","Loyal"))</f>
        <v>Loyal</v>
      </c>
    </row>
    <row r="444" spans="1:8" x14ac:dyDescent="0.25">
      <c r="A444" t="s">
        <v>339</v>
      </c>
      <c r="B444">
        <v>2</v>
      </c>
      <c r="C444">
        <v>3</v>
      </c>
      <c r="D444" s="21">
        <v>143900.1</v>
      </c>
      <c r="E444" s="21">
        <v>49644.32</v>
      </c>
      <c r="F444" s="2">
        <v>3.5</v>
      </c>
      <c r="G444" s="21">
        <f>Table7[[#This Row],[Total Revenue]]/Table7[[#This Row],[Orders]]</f>
        <v>71950.05</v>
      </c>
      <c r="H444" s="21" t="str">
        <f>IF(Table7[[#This Row],[Orders]]=1,"New",IF(Table7[[#This Row],[Orders]]&lt;=3,"Returning","Loyal"))</f>
        <v>Returning</v>
      </c>
    </row>
    <row r="445" spans="1:8" x14ac:dyDescent="0.25">
      <c r="A445" t="s">
        <v>792</v>
      </c>
      <c r="B445">
        <v>6</v>
      </c>
      <c r="C445">
        <v>10</v>
      </c>
      <c r="D445" s="21">
        <v>391620.5</v>
      </c>
      <c r="E445" s="21">
        <v>103244.47</v>
      </c>
      <c r="F445" s="2">
        <v>4</v>
      </c>
      <c r="G445" s="21">
        <f>Table7[[#This Row],[Total Revenue]]/Table7[[#This Row],[Orders]]</f>
        <v>65270.083333333336</v>
      </c>
      <c r="H445" s="21" t="str">
        <f>IF(Table7[[#This Row],[Orders]]=1,"New",IF(Table7[[#This Row],[Orders]]&lt;=3,"Returning","Loyal"))</f>
        <v>Loyal</v>
      </c>
    </row>
    <row r="446" spans="1:8" x14ac:dyDescent="0.25">
      <c r="A446" t="s">
        <v>78</v>
      </c>
      <c r="B446">
        <v>3</v>
      </c>
      <c r="C446">
        <v>4</v>
      </c>
      <c r="D446" s="21">
        <v>175533.25</v>
      </c>
      <c r="E446" s="21">
        <v>55591.17</v>
      </c>
      <c r="F446" s="2">
        <v>3.5</v>
      </c>
      <c r="G446" s="21">
        <f>Table7[[#This Row],[Total Revenue]]/Table7[[#This Row],[Orders]]</f>
        <v>58511.083333333336</v>
      </c>
      <c r="H446" s="21" t="str">
        <f>IF(Table7[[#This Row],[Orders]]=1,"New",IF(Table7[[#This Row],[Orders]]&lt;=3,"Returning","Loyal"))</f>
        <v>Returning</v>
      </c>
    </row>
    <row r="447" spans="1:8" x14ac:dyDescent="0.25">
      <c r="A447" t="s">
        <v>618</v>
      </c>
      <c r="B447">
        <v>5</v>
      </c>
      <c r="C447">
        <v>7</v>
      </c>
      <c r="D447" s="21">
        <v>195498.3</v>
      </c>
      <c r="E447" s="21">
        <v>67999.88</v>
      </c>
      <c r="F447" s="2">
        <v>3.2</v>
      </c>
      <c r="G447" s="21">
        <f>Table7[[#This Row],[Total Revenue]]/Table7[[#This Row],[Orders]]</f>
        <v>39099.659999999996</v>
      </c>
      <c r="H447" s="21" t="str">
        <f>IF(Table7[[#This Row],[Orders]]=1,"New",IF(Table7[[#This Row],[Orders]]&lt;=3,"Returning","Loyal"))</f>
        <v>Loyal</v>
      </c>
    </row>
    <row r="448" spans="1:8" x14ac:dyDescent="0.25">
      <c r="A448" t="s">
        <v>140</v>
      </c>
      <c r="B448">
        <v>6</v>
      </c>
      <c r="C448">
        <v>11</v>
      </c>
      <c r="D448" s="21">
        <v>679428.75</v>
      </c>
      <c r="E448" s="21">
        <v>187091.8</v>
      </c>
      <c r="F448" s="2">
        <v>4.333333333333333</v>
      </c>
      <c r="G448" s="21">
        <f>Table7[[#This Row],[Total Revenue]]/Table7[[#This Row],[Orders]]</f>
        <v>113238.125</v>
      </c>
      <c r="H448" s="21" t="str">
        <f>IF(Table7[[#This Row],[Orders]]=1,"New",IF(Table7[[#This Row],[Orders]]&lt;=3,"Returning","Loyal"))</f>
        <v>Loyal</v>
      </c>
    </row>
    <row r="449" spans="1:8" x14ac:dyDescent="0.25">
      <c r="A449" t="s">
        <v>1483</v>
      </c>
      <c r="B449">
        <v>3</v>
      </c>
      <c r="C449">
        <v>5</v>
      </c>
      <c r="D449" s="21">
        <v>145198.65</v>
      </c>
      <c r="E449" s="21">
        <v>39305.279999999999</v>
      </c>
      <c r="F449" s="2">
        <v>5</v>
      </c>
      <c r="G449" s="21">
        <f>Table7[[#This Row],[Total Revenue]]/Table7[[#This Row],[Orders]]</f>
        <v>48399.549999999996</v>
      </c>
      <c r="H449" s="21" t="str">
        <f>IF(Table7[[#This Row],[Orders]]=1,"New",IF(Table7[[#This Row],[Orders]]&lt;=3,"Returning","Loyal"))</f>
        <v>Returning</v>
      </c>
    </row>
    <row r="450" spans="1:8" x14ac:dyDescent="0.25">
      <c r="A450" t="s">
        <v>961</v>
      </c>
      <c r="B450">
        <v>5</v>
      </c>
      <c r="C450">
        <v>7</v>
      </c>
      <c r="D450" s="21">
        <v>158699.4</v>
      </c>
      <c r="E450" s="21">
        <v>60390.179999999993</v>
      </c>
      <c r="F450" s="2">
        <v>3.4</v>
      </c>
      <c r="G450" s="21">
        <f>Table7[[#This Row],[Total Revenue]]/Table7[[#This Row],[Orders]]</f>
        <v>31739.879999999997</v>
      </c>
      <c r="H450" s="21" t="str">
        <f>IF(Table7[[#This Row],[Orders]]=1,"New",IF(Table7[[#This Row],[Orders]]&lt;=3,"Returning","Loyal"))</f>
        <v>Loyal</v>
      </c>
    </row>
    <row r="451" spans="1:8" x14ac:dyDescent="0.25">
      <c r="A451" t="s">
        <v>2057</v>
      </c>
      <c r="B451">
        <v>2</v>
      </c>
      <c r="C451">
        <v>2</v>
      </c>
      <c r="D451" s="21">
        <v>71398.45</v>
      </c>
      <c r="E451" s="21">
        <v>22115.71</v>
      </c>
      <c r="F451" s="2">
        <v>3</v>
      </c>
      <c r="G451" s="21">
        <f>Table7[[#This Row],[Total Revenue]]/Table7[[#This Row],[Orders]]</f>
        <v>35699.224999999999</v>
      </c>
      <c r="H451" s="21" t="str">
        <f>IF(Table7[[#This Row],[Orders]]=1,"New",IF(Table7[[#This Row],[Orders]]&lt;=3,"Returning","Loyal"))</f>
        <v>Returning</v>
      </c>
    </row>
    <row r="452" spans="1:8" x14ac:dyDescent="0.25">
      <c r="A452" t="s">
        <v>543</v>
      </c>
      <c r="B452">
        <v>6</v>
      </c>
      <c r="C452">
        <v>8</v>
      </c>
      <c r="D452" s="21">
        <v>140588.15</v>
      </c>
      <c r="E452" s="21">
        <v>43327.79</v>
      </c>
      <c r="F452" s="2">
        <v>2.4</v>
      </c>
      <c r="G452" s="21">
        <f>Table7[[#This Row],[Total Revenue]]/Table7[[#This Row],[Orders]]</f>
        <v>23431.358333333334</v>
      </c>
      <c r="H452" s="21" t="str">
        <f>IF(Table7[[#This Row],[Orders]]=1,"New",IF(Table7[[#This Row],[Orders]]&lt;=3,"Returning","Loyal"))</f>
        <v>Loyal</v>
      </c>
    </row>
    <row r="453" spans="1:8" x14ac:dyDescent="0.25">
      <c r="A453" t="s">
        <v>398</v>
      </c>
      <c r="B453">
        <v>3</v>
      </c>
      <c r="C453">
        <v>4</v>
      </c>
      <c r="D453" s="21">
        <v>215732.7</v>
      </c>
      <c r="E453" s="21">
        <v>80994.53</v>
      </c>
      <c r="F453" s="2">
        <v>5</v>
      </c>
      <c r="G453" s="21">
        <f>Table7[[#This Row],[Total Revenue]]/Table7[[#This Row],[Orders]]</f>
        <v>71910.900000000009</v>
      </c>
      <c r="H453" s="21" t="str">
        <f>IF(Table7[[#This Row],[Orders]]=1,"New",IF(Table7[[#This Row],[Orders]]&lt;=3,"Returning","Loyal"))</f>
        <v>Returning</v>
      </c>
    </row>
    <row r="454" spans="1:8" x14ac:dyDescent="0.25">
      <c r="A454" t="s">
        <v>376</v>
      </c>
      <c r="B454">
        <v>2</v>
      </c>
      <c r="C454">
        <v>2</v>
      </c>
      <c r="D454" s="21">
        <v>80796.2</v>
      </c>
      <c r="E454" s="21">
        <v>23542.350000000002</v>
      </c>
      <c r="F454" s="2">
        <v>3.5</v>
      </c>
      <c r="G454" s="21">
        <f>Table7[[#This Row],[Total Revenue]]/Table7[[#This Row],[Orders]]</f>
        <v>40398.1</v>
      </c>
      <c r="H454" s="21" t="str">
        <f>IF(Table7[[#This Row],[Orders]]=1,"New",IF(Table7[[#This Row],[Orders]]&lt;=3,"Returning","Loyal"))</f>
        <v>Returning</v>
      </c>
    </row>
    <row r="455" spans="1:8" x14ac:dyDescent="0.25">
      <c r="A455" t="s">
        <v>445</v>
      </c>
      <c r="B455">
        <v>2</v>
      </c>
      <c r="C455">
        <v>4</v>
      </c>
      <c r="D455" s="21">
        <v>383794.4</v>
      </c>
      <c r="E455" s="21">
        <v>87684.89</v>
      </c>
      <c r="F455" s="2">
        <v>4.5</v>
      </c>
      <c r="G455" s="21">
        <f>Table7[[#This Row],[Total Revenue]]/Table7[[#This Row],[Orders]]</f>
        <v>191897.2</v>
      </c>
      <c r="H455" s="21" t="str">
        <f>IF(Table7[[#This Row],[Orders]]=1,"New",IF(Table7[[#This Row],[Orders]]&lt;=3,"Returning","Loyal"))</f>
        <v>Returning</v>
      </c>
    </row>
    <row r="456" spans="1:8" x14ac:dyDescent="0.25">
      <c r="A456" t="s">
        <v>698</v>
      </c>
      <c r="B456">
        <v>1</v>
      </c>
      <c r="C456">
        <v>1</v>
      </c>
      <c r="D456" s="21">
        <v>24206.3</v>
      </c>
      <c r="E456" s="21">
        <v>8961.66</v>
      </c>
      <c r="F456" s="2">
        <v>1</v>
      </c>
      <c r="G456" s="21">
        <f>Table7[[#This Row],[Total Revenue]]/Table7[[#This Row],[Orders]]</f>
        <v>24206.3</v>
      </c>
      <c r="H456" s="21" t="str">
        <f>IF(Table7[[#This Row],[Orders]]=1,"New",IF(Table7[[#This Row],[Orders]]&lt;=3,"Returning","Loyal"))</f>
        <v>New</v>
      </c>
    </row>
    <row r="457" spans="1:8" x14ac:dyDescent="0.25">
      <c r="A457" t="s">
        <v>75</v>
      </c>
      <c r="B457">
        <v>5</v>
      </c>
      <c r="C457">
        <v>6</v>
      </c>
      <c r="D457" s="21">
        <v>114668.35</v>
      </c>
      <c r="E457" s="21">
        <v>41935.64</v>
      </c>
      <c r="F457" s="2">
        <v>4</v>
      </c>
      <c r="G457" s="21">
        <f>Table7[[#This Row],[Total Revenue]]/Table7[[#This Row],[Orders]]</f>
        <v>22933.670000000002</v>
      </c>
      <c r="H457" s="21" t="str">
        <f>IF(Table7[[#This Row],[Orders]]=1,"New",IF(Table7[[#This Row],[Orders]]&lt;=3,"Returning","Loyal"))</f>
        <v>Loyal</v>
      </c>
    </row>
    <row r="458" spans="1:8" x14ac:dyDescent="0.25">
      <c r="A458" t="s">
        <v>126</v>
      </c>
      <c r="B458">
        <v>3</v>
      </c>
      <c r="C458">
        <v>4</v>
      </c>
      <c r="D458" s="21">
        <v>79227</v>
      </c>
      <c r="E458" s="21">
        <v>31274.68</v>
      </c>
      <c r="F458" s="2">
        <v>3</v>
      </c>
      <c r="G458" s="21">
        <f>Table7[[#This Row],[Total Revenue]]/Table7[[#This Row],[Orders]]</f>
        <v>26409</v>
      </c>
      <c r="H458" s="21" t="str">
        <f>IF(Table7[[#This Row],[Orders]]=1,"New",IF(Table7[[#This Row],[Orders]]&lt;=3,"Returning","Loyal"))</f>
        <v>Returning</v>
      </c>
    </row>
    <row r="459" spans="1:8" x14ac:dyDescent="0.25">
      <c r="A459" t="s">
        <v>419</v>
      </c>
      <c r="B459">
        <v>2</v>
      </c>
      <c r="C459">
        <v>2</v>
      </c>
      <c r="D459" s="21">
        <v>92159.1</v>
      </c>
      <c r="E459" s="21">
        <v>30972.77</v>
      </c>
      <c r="F459" s="2">
        <v>5</v>
      </c>
      <c r="G459" s="21">
        <f>Table7[[#This Row],[Total Revenue]]/Table7[[#This Row],[Orders]]</f>
        <v>46079.55</v>
      </c>
      <c r="H459" s="21" t="str">
        <f>IF(Table7[[#This Row],[Orders]]=1,"New",IF(Table7[[#This Row],[Orders]]&lt;=3,"Returning","Loyal"))</f>
        <v>Returning</v>
      </c>
    </row>
    <row r="460" spans="1:8" x14ac:dyDescent="0.25">
      <c r="A460" t="s">
        <v>362</v>
      </c>
      <c r="B460">
        <v>3</v>
      </c>
      <c r="C460">
        <v>5</v>
      </c>
      <c r="D460" s="21">
        <v>213631.6</v>
      </c>
      <c r="E460" s="21">
        <v>67585.100000000006</v>
      </c>
      <c r="F460" s="2">
        <v>2.6666666666666665</v>
      </c>
      <c r="G460" s="21">
        <f>Table7[[#This Row],[Total Revenue]]/Table7[[#This Row],[Orders]]</f>
        <v>71210.53333333334</v>
      </c>
      <c r="H460" s="21" t="str">
        <f>IF(Table7[[#This Row],[Orders]]=1,"New",IF(Table7[[#This Row],[Orders]]&lt;=3,"Returning","Loyal"))</f>
        <v>Returning</v>
      </c>
    </row>
    <row r="461" spans="1:8" x14ac:dyDescent="0.25">
      <c r="A461" t="s">
        <v>1138</v>
      </c>
      <c r="B461">
        <v>3</v>
      </c>
      <c r="C461">
        <v>4</v>
      </c>
      <c r="D461" s="21">
        <v>213961.4</v>
      </c>
      <c r="E461" s="21">
        <v>91405.890000000014</v>
      </c>
      <c r="F461" s="2">
        <v>2.5</v>
      </c>
      <c r="G461" s="21">
        <f>Table7[[#This Row],[Total Revenue]]/Table7[[#This Row],[Orders]]</f>
        <v>71320.46666666666</v>
      </c>
      <c r="H461" s="21" t="str">
        <f>IF(Table7[[#This Row],[Orders]]=1,"New",IF(Table7[[#This Row],[Orders]]&lt;=3,"Returning","Loyal"))</f>
        <v>Returning</v>
      </c>
    </row>
    <row r="462" spans="1:8" x14ac:dyDescent="0.25">
      <c r="A462" t="s">
        <v>1637</v>
      </c>
      <c r="B462">
        <v>2</v>
      </c>
      <c r="C462">
        <v>5</v>
      </c>
      <c r="D462" s="21">
        <v>86333.2</v>
      </c>
      <c r="E462" s="21">
        <v>36021.35</v>
      </c>
      <c r="F462" s="2">
        <v>4</v>
      </c>
      <c r="G462" s="21">
        <f>Table7[[#This Row],[Total Revenue]]/Table7[[#This Row],[Orders]]</f>
        <v>43166.6</v>
      </c>
      <c r="H462" s="21" t="str">
        <f>IF(Table7[[#This Row],[Orders]]=1,"New",IF(Table7[[#This Row],[Orders]]&lt;=3,"Returning","Loyal"))</f>
        <v>Returning</v>
      </c>
    </row>
    <row r="463" spans="1:8" x14ac:dyDescent="0.25">
      <c r="A463" t="s">
        <v>831</v>
      </c>
      <c r="B463">
        <v>1</v>
      </c>
      <c r="C463">
        <v>2</v>
      </c>
      <c r="D463" s="21">
        <v>148328</v>
      </c>
      <c r="E463" s="21">
        <v>61626.94</v>
      </c>
      <c r="F463" s="2">
        <v>5</v>
      </c>
      <c r="G463" s="21">
        <f>Table7[[#This Row],[Total Revenue]]/Table7[[#This Row],[Orders]]</f>
        <v>148328</v>
      </c>
      <c r="H463" s="21" t="str">
        <f>IF(Table7[[#This Row],[Orders]]=1,"New",IF(Table7[[#This Row],[Orders]]&lt;=3,"Returning","Loyal"))</f>
        <v>New</v>
      </c>
    </row>
    <row r="464" spans="1:8" x14ac:dyDescent="0.25">
      <c r="A464" t="s">
        <v>1597</v>
      </c>
      <c r="B464">
        <v>1</v>
      </c>
      <c r="C464">
        <v>2</v>
      </c>
      <c r="D464" s="21">
        <v>52606</v>
      </c>
      <c r="E464" s="21">
        <v>14263.01</v>
      </c>
      <c r="F464" s="2">
        <v>3</v>
      </c>
      <c r="G464" s="21">
        <f>Table7[[#This Row],[Total Revenue]]/Table7[[#This Row],[Orders]]</f>
        <v>52606</v>
      </c>
      <c r="H464" s="21" t="str">
        <f>IF(Table7[[#This Row],[Orders]]=1,"New",IF(Table7[[#This Row],[Orders]]&lt;=3,"Returning","Loyal"))</f>
        <v>New</v>
      </c>
    </row>
    <row r="465" spans="1:8" x14ac:dyDescent="0.25">
      <c r="A465" t="s">
        <v>1162</v>
      </c>
      <c r="B465">
        <v>5</v>
      </c>
      <c r="C465">
        <v>6</v>
      </c>
      <c r="D465" s="21">
        <v>167887.35</v>
      </c>
      <c r="E465" s="21">
        <v>55801.03</v>
      </c>
      <c r="F465" s="2">
        <v>3.8</v>
      </c>
      <c r="G465" s="21">
        <f>Table7[[#This Row],[Total Revenue]]/Table7[[#This Row],[Orders]]</f>
        <v>33577.47</v>
      </c>
      <c r="H465" s="21" t="str">
        <f>IF(Table7[[#This Row],[Orders]]=1,"New",IF(Table7[[#This Row],[Orders]]&lt;=3,"Returning","Loyal"))</f>
        <v>Loyal</v>
      </c>
    </row>
    <row r="466" spans="1:8" x14ac:dyDescent="0.25">
      <c r="A466" t="s">
        <v>406</v>
      </c>
      <c r="B466">
        <v>3</v>
      </c>
      <c r="C466">
        <v>6</v>
      </c>
      <c r="D466" s="21">
        <v>369464.6</v>
      </c>
      <c r="E466" s="21">
        <v>139564.24</v>
      </c>
      <c r="F466" s="2">
        <v>1.5</v>
      </c>
      <c r="G466" s="21">
        <f>Table7[[#This Row],[Total Revenue]]/Table7[[#This Row],[Orders]]</f>
        <v>123154.86666666665</v>
      </c>
      <c r="H466" s="21" t="str">
        <f>IF(Table7[[#This Row],[Orders]]=1,"New",IF(Table7[[#This Row],[Orders]]&lt;=3,"Returning","Loyal"))</f>
        <v>Returning</v>
      </c>
    </row>
    <row r="467" spans="1:8" x14ac:dyDescent="0.25">
      <c r="A467" t="s">
        <v>1202</v>
      </c>
      <c r="B467">
        <v>5</v>
      </c>
      <c r="C467">
        <v>6</v>
      </c>
      <c r="D467" s="21">
        <v>187649.3</v>
      </c>
      <c r="E467" s="21">
        <v>55911.859999999993</v>
      </c>
      <c r="F467" s="2">
        <v>3.3333333333333335</v>
      </c>
      <c r="G467" s="21">
        <f>Table7[[#This Row],[Total Revenue]]/Table7[[#This Row],[Orders]]</f>
        <v>37529.86</v>
      </c>
      <c r="H467" s="21" t="str">
        <f>IF(Table7[[#This Row],[Orders]]=1,"New",IF(Table7[[#This Row],[Orders]]&lt;=3,"Returning","Loyal"))</f>
        <v>Loyal</v>
      </c>
    </row>
    <row r="468" spans="1:8" x14ac:dyDescent="0.25">
      <c r="A468" t="s">
        <v>768</v>
      </c>
      <c r="B468">
        <v>2</v>
      </c>
      <c r="C468">
        <v>3</v>
      </c>
      <c r="D468" s="21">
        <v>173169.6</v>
      </c>
      <c r="E468" s="21">
        <v>58607.91</v>
      </c>
      <c r="F468" s="2">
        <v>2.5</v>
      </c>
      <c r="G468" s="21">
        <f>Table7[[#This Row],[Total Revenue]]/Table7[[#This Row],[Orders]]</f>
        <v>86584.8</v>
      </c>
      <c r="H468" s="21" t="str">
        <f>IF(Table7[[#This Row],[Orders]]=1,"New",IF(Table7[[#This Row],[Orders]]&lt;=3,"Returning","Loyal"))</f>
        <v>Returning</v>
      </c>
    </row>
    <row r="469" spans="1:8" x14ac:dyDescent="0.25">
      <c r="A469" t="s">
        <v>943</v>
      </c>
      <c r="B469">
        <v>4</v>
      </c>
      <c r="C469">
        <v>8</v>
      </c>
      <c r="D469" s="21">
        <v>202255.35</v>
      </c>
      <c r="E469" s="21">
        <v>48427.56</v>
      </c>
      <c r="F469" s="2">
        <v>2</v>
      </c>
      <c r="G469" s="21">
        <f>Table7[[#This Row],[Total Revenue]]/Table7[[#This Row],[Orders]]</f>
        <v>50563.837500000001</v>
      </c>
      <c r="H469" s="21" t="str">
        <f>IF(Table7[[#This Row],[Orders]]=1,"New",IF(Table7[[#This Row],[Orders]]&lt;=3,"Returning","Loyal"))</f>
        <v>Loyal</v>
      </c>
    </row>
    <row r="470" spans="1:8" x14ac:dyDescent="0.25">
      <c r="A470" t="s">
        <v>480</v>
      </c>
      <c r="B470">
        <v>3</v>
      </c>
      <c r="C470">
        <v>5</v>
      </c>
      <c r="D470" s="21">
        <v>310884.45</v>
      </c>
      <c r="E470" s="21">
        <v>93721.72</v>
      </c>
      <c r="F470" s="2">
        <v>2</v>
      </c>
      <c r="G470" s="21">
        <f>Table7[[#This Row],[Total Revenue]]/Table7[[#This Row],[Orders]]</f>
        <v>103628.15000000001</v>
      </c>
      <c r="H470" s="21" t="str">
        <f>IF(Table7[[#This Row],[Orders]]=1,"New",IF(Table7[[#This Row],[Orders]]&lt;=3,"Returning","Loyal"))</f>
        <v>Returning</v>
      </c>
    </row>
    <row r="471" spans="1:8" x14ac:dyDescent="0.25">
      <c r="A471" t="s">
        <v>637</v>
      </c>
      <c r="B471">
        <v>3</v>
      </c>
      <c r="C471">
        <v>4</v>
      </c>
      <c r="D471" s="21">
        <v>265279.40000000002</v>
      </c>
      <c r="E471" s="21">
        <v>84023.890000000014</v>
      </c>
      <c r="F471" s="2">
        <v>4</v>
      </c>
      <c r="G471" s="21">
        <f>Table7[[#This Row],[Total Revenue]]/Table7[[#This Row],[Orders]]</f>
        <v>88426.466666666674</v>
      </c>
      <c r="H471" s="21" t="str">
        <f>IF(Table7[[#This Row],[Orders]]=1,"New",IF(Table7[[#This Row],[Orders]]&lt;=3,"Returning","Loyal"))</f>
        <v>Returning</v>
      </c>
    </row>
    <row r="472" spans="1:8" x14ac:dyDescent="0.25">
      <c r="A472" t="s">
        <v>729</v>
      </c>
      <c r="B472">
        <v>2</v>
      </c>
      <c r="C472">
        <v>3</v>
      </c>
      <c r="D472" s="21">
        <v>79464.800000000003</v>
      </c>
      <c r="E472" s="21">
        <v>26121.18</v>
      </c>
      <c r="G472" s="21">
        <f>Table7[[#This Row],[Total Revenue]]/Table7[[#This Row],[Orders]]</f>
        <v>39732.400000000001</v>
      </c>
      <c r="H472" s="21" t="str">
        <f>IF(Table7[[#This Row],[Orders]]=1,"New",IF(Table7[[#This Row],[Orders]]&lt;=3,"Returning","Loyal"))</f>
        <v>Returning</v>
      </c>
    </row>
    <row r="473" spans="1:8" x14ac:dyDescent="0.25">
      <c r="A473" t="s">
        <v>2031</v>
      </c>
      <c r="B473">
        <v>3</v>
      </c>
      <c r="C473">
        <v>3</v>
      </c>
      <c r="D473" s="21">
        <v>94382.9</v>
      </c>
      <c r="E473" s="21">
        <v>26257</v>
      </c>
      <c r="F473" s="2">
        <v>3</v>
      </c>
      <c r="G473" s="21">
        <f>Table7[[#This Row],[Total Revenue]]/Table7[[#This Row],[Orders]]</f>
        <v>31460.966666666664</v>
      </c>
      <c r="H473" s="21" t="str">
        <f>IF(Table7[[#This Row],[Orders]]=1,"New",IF(Table7[[#This Row],[Orders]]&lt;=3,"Returning","Loyal"))</f>
        <v>Returning</v>
      </c>
    </row>
    <row r="474" spans="1:8" x14ac:dyDescent="0.25">
      <c r="A474" t="s">
        <v>2441</v>
      </c>
      <c r="B474">
        <v>1</v>
      </c>
      <c r="C474">
        <v>2</v>
      </c>
      <c r="D474" s="21">
        <v>16988.400000000001</v>
      </c>
      <c r="E474" s="21">
        <v>6337.14</v>
      </c>
      <c r="F474" s="2">
        <v>5</v>
      </c>
      <c r="G474" s="21">
        <f>Table7[[#This Row],[Total Revenue]]/Table7[[#This Row],[Orders]]</f>
        <v>16988.400000000001</v>
      </c>
      <c r="H474" s="21" t="str">
        <f>IF(Table7[[#This Row],[Orders]]=1,"New",IF(Table7[[#This Row],[Orders]]&lt;=3,"Returning","Loyal"))</f>
        <v>New</v>
      </c>
    </row>
    <row r="475" spans="1:8" x14ac:dyDescent="0.25">
      <c r="A475" t="s">
        <v>462</v>
      </c>
      <c r="B475">
        <v>4</v>
      </c>
      <c r="C475">
        <v>5</v>
      </c>
      <c r="D475" s="21">
        <v>304442.09999999998</v>
      </c>
      <c r="E475" s="21">
        <v>88946.41</v>
      </c>
      <c r="F475" s="2">
        <v>3.5</v>
      </c>
      <c r="G475" s="21">
        <f>Table7[[#This Row],[Total Revenue]]/Table7[[#This Row],[Orders]]</f>
        <v>76110.524999999994</v>
      </c>
      <c r="H475" s="21" t="str">
        <f>IF(Table7[[#This Row],[Orders]]=1,"New",IF(Table7[[#This Row],[Orders]]&lt;=3,"Returning","Loyal"))</f>
        <v>Loyal</v>
      </c>
    </row>
    <row r="476" spans="1:8" x14ac:dyDescent="0.25">
      <c r="A476" t="s">
        <v>142</v>
      </c>
      <c r="B476">
        <v>6</v>
      </c>
      <c r="C476">
        <v>13</v>
      </c>
      <c r="D476" s="21">
        <v>267077.7</v>
      </c>
      <c r="E476" s="21">
        <v>94864.76999999999</v>
      </c>
      <c r="F476" s="2">
        <v>4.5</v>
      </c>
      <c r="G476" s="21">
        <f>Table7[[#This Row],[Total Revenue]]/Table7[[#This Row],[Orders]]</f>
        <v>44512.950000000004</v>
      </c>
      <c r="H476" s="21" t="str">
        <f>IF(Table7[[#This Row],[Orders]]=1,"New",IF(Table7[[#This Row],[Orders]]&lt;=3,"Returning","Loyal"))</f>
        <v>Loyal</v>
      </c>
    </row>
    <row r="477" spans="1:8" x14ac:dyDescent="0.25">
      <c r="A477" t="s">
        <v>468</v>
      </c>
      <c r="B477">
        <v>2</v>
      </c>
      <c r="C477">
        <v>3</v>
      </c>
      <c r="D477" s="21">
        <v>36981.199999999997</v>
      </c>
      <c r="E477" s="21">
        <v>10495.91</v>
      </c>
      <c r="F477" s="2">
        <v>3</v>
      </c>
      <c r="G477" s="21">
        <f>Table7[[#This Row],[Total Revenue]]/Table7[[#This Row],[Orders]]</f>
        <v>18490.599999999999</v>
      </c>
      <c r="H477" s="21" t="str">
        <f>IF(Table7[[#This Row],[Orders]]=1,"New",IF(Table7[[#This Row],[Orders]]&lt;=3,"Returning","Loyal"))</f>
        <v>Returning</v>
      </c>
    </row>
    <row r="478" spans="1:8" x14ac:dyDescent="0.25">
      <c r="A478" t="s">
        <v>969</v>
      </c>
      <c r="B478">
        <v>2</v>
      </c>
      <c r="C478">
        <v>3</v>
      </c>
      <c r="D478" s="21">
        <v>29066.5</v>
      </c>
      <c r="E478" s="21">
        <v>11154.789999999999</v>
      </c>
      <c r="F478" s="2">
        <v>2</v>
      </c>
      <c r="G478" s="21">
        <f>Table7[[#This Row],[Total Revenue]]/Table7[[#This Row],[Orders]]</f>
        <v>14533.25</v>
      </c>
      <c r="H478" s="21" t="str">
        <f>IF(Table7[[#This Row],[Orders]]=1,"New",IF(Table7[[#This Row],[Orders]]&lt;=3,"Returning","Loyal"))</f>
        <v>Returning</v>
      </c>
    </row>
    <row r="479" spans="1:8" x14ac:dyDescent="0.25">
      <c r="A479" t="s">
        <v>653</v>
      </c>
      <c r="B479">
        <v>2</v>
      </c>
      <c r="C479">
        <v>2</v>
      </c>
      <c r="D479" s="21">
        <v>92662.2</v>
      </c>
      <c r="E479" s="21">
        <v>28406.449999999997</v>
      </c>
      <c r="F479" s="2">
        <v>4</v>
      </c>
      <c r="G479" s="21">
        <f>Table7[[#This Row],[Total Revenue]]/Table7[[#This Row],[Orders]]</f>
        <v>46331.1</v>
      </c>
      <c r="H479" s="21" t="str">
        <f>IF(Table7[[#This Row],[Orders]]=1,"New",IF(Table7[[#This Row],[Orders]]&lt;=3,"Returning","Loyal"))</f>
        <v>Returning</v>
      </c>
    </row>
    <row r="480" spans="1:8" x14ac:dyDescent="0.25">
      <c r="A480" t="s">
        <v>1133</v>
      </c>
      <c r="B480">
        <v>4</v>
      </c>
      <c r="C480">
        <v>5</v>
      </c>
      <c r="D480" s="21">
        <v>217596.35</v>
      </c>
      <c r="E480" s="21">
        <v>67922.819999999992</v>
      </c>
      <c r="F480" s="2">
        <v>4.5</v>
      </c>
      <c r="G480" s="21">
        <f>Table7[[#This Row],[Total Revenue]]/Table7[[#This Row],[Orders]]</f>
        <v>54399.087500000001</v>
      </c>
      <c r="H480" s="21" t="str">
        <f>IF(Table7[[#This Row],[Orders]]=1,"New",IF(Table7[[#This Row],[Orders]]&lt;=3,"Returning","Loyal"))</f>
        <v>Loyal</v>
      </c>
    </row>
    <row r="481" spans="1:8" x14ac:dyDescent="0.25">
      <c r="A481" t="s">
        <v>954</v>
      </c>
      <c r="B481">
        <v>3</v>
      </c>
      <c r="C481">
        <v>8</v>
      </c>
      <c r="D481" s="21">
        <v>194302.2</v>
      </c>
      <c r="E481" s="21">
        <v>65734.23000000001</v>
      </c>
      <c r="F481" s="2">
        <v>3</v>
      </c>
      <c r="G481" s="21">
        <f>Table7[[#This Row],[Total Revenue]]/Table7[[#This Row],[Orders]]</f>
        <v>64767.4</v>
      </c>
      <c r="H481" s="21" t="str">
        <f>IF(Table7[[#This Row],[Orders]]=1,"New",IF(Table7[[#This Row],[Orders]]&lt;=3,"Returning","Loyal"))</f>
        <v>Returning</v>
      </c>
    </row>
    <row r="482" spans="1:8" x14ac:dyDescent="0.25">
      <c r="A482" t="s">
        <v>1230</v>
      </c>
      <c r="B482">
        <v>3</v>
      </c>
      <c r="C482">
        <v>5</v>
      </c>
      <c r="D482" s="21">
        <v>153272.6</v>
      </c>
      <c r="E482" s="21">
        <v>49434.14</v>
      </c>
      <c r="F482" s="2">
        <v>3</v>
      </c>
      <c r="G482" s="21">
        <f>Table7[[#This Row],[Total Revenue]]/Table7[[#This Row],[Orders]]</f>
        <v>51090.866666666669</v>
      </c>
      <c r="H482" s="21" t="str">
        <f>IF(Table7[[#This Row],[Orders]]=1,"New",IF(Table7[[#This Row],[Orders]]&lt;=3,"Returning","Loyal"))</f>
        <v>Returning</v>
      </c>
    </row>
    <row r="483" spans="1:8" x14ac:dyDescent="0.25">
      <c r="A483" t="s">
        <v>1438</v>
      </c>
      <c r="B483">
        <v>3</v>
      </c>
      <c r="C483">
        <v>6</v>
      </c>
      <c r="D483" s="21">
        <v>250919.4</v>
      </c>
      <c r="E483" s="21">
        <v>76108.350000000006</v>
      </c>
      <c r="F483" s="2">
        <v>5</v>
      </c>
      <c r="G483" s="21">
        <f>Table7[[#This Row],[Total Revenue]]/Table7[[#This Row],[Orders]]</f>
        <v>83639.8</v>
      </c>
      <c r="H483" s="21" t="str">
        <f>IF(Table7[[#This Row],[Orders]]=1,"New",IF(Table7[[#This Row],[Orders]]&lt;=3,"Returning","Loyal"))</f>
        <v>Returning</v>
      </c>
    </row>
    <row r="484" spans="1:8" x14ac:dyDescent="0.25">
      <c r="A484" t="s">
        <v>1634</v>
      </c>
      <c r="B484">
        <v>5</v>
      </c>
      <c r="C484">
        <v>8</v>
      </c>
      <c r="D484" s="21">
        <v>157494.25</v>
      </c>
      <c r="E484" s="21">
        <v>55065.35</v>
      </c>
      <c r="F484" s="2">
        <v>3</v>
      </c>
      <c r="G484" s="21">
        <f>Table7[[#This Row],[Total Revenue]]/Table7[[#This Row],[Orders]]</f>
        <v>31498.85</v>
      </c>
      <c r="H484" s="21" t="str">
        <f>IF(Table7[[#This Row],[Orders]]=1,"New",IF(Table7[[#This Row],[Orders]]&lt;=3,"Returning","Loyal"))</f>
        <v>Loyal</v>
      </c>
    </row>
    <row r="485" spans="1:8" x14ac:dyDescent="0.25">
      <c r="A485" t="s">
        <v>1763</v>
      </c>
      <c r="B485">
        <v>1</v>
      </c>
      <c r="C485">
        <v>1</v>
      </c>
      <c r="D485" s="21">
        <v>39888</v>
      </c>
      <c r="E485" s="21">
        <v>7495.99</v>
      </c>
      <c r="F485" s="2">
        <v>2</v>
      </c>
      <c r="G485" s="21">
        <f>Table7[[#This Row],[Total Revenue]]/Table7[[#This Row],[Orders]]</f>
        <v>39888</v>
      </c>
      <c r="H485" s="21" t="str">
        <f>IF(Table7[[#This Row],[Orders]]=1,"New",IF(Table7[[#This Row],[Orders]]&lt;=3,"Returning","Loyal"))</f>
        <v>New</v>
      </c>
    </row>
    <row r="486" spans="1:8" x14ac:dyDescent="0.25">
      <c r="A486" t="s">
        <v>807</v>
      </c>
      <c r="B486">
        <v>2</v>
      </c>
      <c r="C486">
        <v>2</v>
      </c>
      <c r="D486" s="21">
        <v>60249.8</v>
      </c>
      <c r="E486" s="21">
        <v>15795.869999999999</v>
      </c>
      <c r="F486" s="2">
        <v>3</v>
      </c>
      <c r="G486" s="21">
        <f>Table7[[#This Row],[Total Revenue]]/Table7[[#This Row],[Orders]]</f>
        <v>30124.9</v>
      </c>
      <c r="H486" s="21" t="str">
        <f>IF(Table7[[#This Row],[Orders]]=1,"New",IF(Table7[[#This Row],[Orders]]&lt;=3,"Returning","Loyal"))</f>
        <v>Returning</v>
      </c>
    </row>
    <row r="487" spans="1:8" x14ac:dyDescent="0.25">
      <c r="A487" t="s">
        <v>1311</v>
      </c>
      <c r="B487">
        <v>4</v>
      </c>
      <c r="C487">
        <v>4</v>
      </c>
      <c r="D487" s="21">
        <v>67890.850000000006</v>
      </c>
      <c r="E487" s="21">
        <v>25860.090000000004</v>
      </c>
      <c r="F487" s="2">
        <v>4</v>
      </c>
      <c r="G487" s="21">
        <f>Table7[[#This Row],[Total Revenue]]/Table7[[#This Row],[Orders]]</f>
        <v>16972.712500000001</v>
      </c>
      <c r="H487" s="21" t="str">
        <f>IF(Table7[[#This Row],[Orders]]=1,"New",IF(Table7[[#This Row],[Orders]]&lt;=3,"Returning","Loyal"))</f>
        <v>Loyal</v>
      </c>
    </row>
    <row r="488" spans="1:8" x14ac:dyDescent="0.25">
      <c r="A488" t="s">
        <v>131</v>
      </c>
      <c r="B488">
        <v>1</v>
      </c>
      <c r="C488">
        <v>2</v>
      </c>
      <c r="D488" s="21">
        <v>20640</v>
      </c>
      <c r="E488" s="21">
        <v>8509.0300000000007</v>
      </c>
      <c r="G488" s="21">
        <f>Table7[[#This Row],[Total Revenue]]/Table7[[#This Row],[Orders]]</f>
        <v>20640</v>
      </c>
      <c r="H488" s="21" t="str">
        <f>IF(Table7[[#This Row],[Orders]]=1,"New",IF(Table7[[#This Row],[Orders]]&lt;=3,"Returning","Loyal"))</f>
        <v>New</v>
      </c>
    </row>
    <row r="489" spans="1:8" x14ac:dyDescent="0.25">
      <c r="A489" t="s">
        <v>1136</v>
      </c>
      <c r="B489">
        <v>3</v>
      </c>
      <c r="C489">
        <v>6</v>
      </c>
      <c r="D489" s="21">
        <v>221239.6</v>
      </c>
      <c r="E489" s="21">
        <v>53006.85</v>
      </c>
      <c r="F489" s="2">
        <v>4.666666666666667</v>
      </c>
      <c r="G489" s="21">
        <f>Table7[[#This Row],[Total Revenue]]/Table7[[#This Row],[Orders]]</f>
        <v>73746.53333333334</v>
      </c>
      <c r="H489" s="21" t="str">
        <f>IF(Table7[[#This Row],[Orders]]=1,"New",IF(Table7[[#This Row],[Orders]]&lt;=3,"Returning","Loyal"))</f>
        <v>Returning</v>
      </c>
    </row>
    <row r="490" spans="1:8" x14ac:dyDescent="0.25">
      <c r="A490" t="s">
        <v>158</v>
      </c>
      <c r="B490">
        <v>5</v>
      </c>
      <c r="C490">
        <v>13</v>
      </c>
      <c r="D490" s="21">
        <v>450789.4</v>
      </c>
      <c r="E490" s="21">
        <v>148771.34</v>
      </c>
      <c r="F490" s="2">
        <v>3</v>
      </c>
      <c r="G490" s="21">
        <f>Table7[[#This Row],[Total Revenue]]/Table7[[#This Row],[Orders]]</f>
        <v>90157.88</v>
      </c>
      <c r="H490" s="21" t="str">
        <f>IF(Table7[[#This Row],[Orders]]=1,"New",IF(Table7[[#This Row],[Orders]]&lt;=3,"Returning","Loyal"))</f>
        <v>Loyal</v>
      </c>
    </row>
    <row r="491" spans="1:8" x14ac:dyDescent="0.25">
      <c r="A491" t="s">
        <v>1086</v>
      </c>
      <c r="B491">
        <v>3</v>
      </c>
      <c r="C491">
        <v>3</v>
      </c>
      <c r="D491" s="21">
        <v>95391.9</v>
      </c>
      <c r="E491" s="21">
        <v>29994.78</v>
      </c>
      <c r="F491" s="2">
        <v>4</v>
      </c>
      <c r="G491" s="21">
        <f>Table7[[#This Row],[Total Revenue]]/Table7[[#This Row],[Orders]]</f>
        <v>31797.3</v>
      </c>
      <c r="H491" s="21" t="str">
        <f>IF(Table7[[#This Row],[Orders]]=1,"New",IF(Table7[[#This Row],[Orders]]&lt;=3,"Returning","Loyal"))</f>
        <v>Returning</v>
      </c>
    </row>
    <row r="492" spans="1:8" x14ac:dyDescent="0.25">
      <c r="A492" t="s">
        <v>341</v>
      </c>
      <c r="B492">
        <v>5</v>
      </c>
      <c r="C492">
        <v>6</v>
      </c>
      <c r="D492" s="21">
        <v>144843.65</v>
      </c>
      <c r="E492" s="21">
        <v>45828</v>
      </c>
      <c r="F492" s="2">
        <v>5</v>
      </c>
      <c r="G492" s="21">
        <f>Table7[[#This Row],[Total Revenue]]/Table7[[#This Row],[Orders]]</f>
        <v>28968.73</v>
      </c>
      <c r="H492" s="21" t="str">
        <f>IF(Table7[[#This Row],[Orders]]=1,"New",IF(Table7[[#This Row],[Orders]]&lt;=3,"Returning","Loyal"))</f>
        <v>Loyal</v>
      </c>
    </row>
    <row r="493" spans="1:8" x14ac:dyDescent="0.25">
      <c r="A493" t="s">
        <v>1080</v>
      </c>
      <c r="B493">
        <v>2</v>
      </c>
      <c r="C493">
        <v>3</v>
      </c>
      <c r="D493" s="21">
        <v>82541</v>
      </c>
      <c r="E493" s="21">
        <v>25613.22</v>
      </c>
      <c r="F493" s="2">
        <v>2</v>
      </c>
      <c r="G493" s="21">
        <f>Table7[[#This Row],[Total Revenue]]/Table7[[#This Row],[Orders]]</f>
        <v>41270.5</v>
      </c>
      <c r="H493" s="21" t="str">
        <f>IF(Table7[[#This Row],[Orders]]=1,"New",IF(Table7[[#This Row],[Orders]]&lt;=3,"Returning","Loyal"))</f>
        <v>Returning</v>
      </c>
    </row>
    <row r="494" spans="1:8" x14ac:dyDescent="0.25">
      <c r="A494" t="s">
        <v>1790</v>
      </c>
      <c r="B494">
        <v>4</v>
      </c>
      <c r="C494">
        <v>5</v>
      </c>
      <c r="D494" s="21">
        <v>72119.399999999994</v>
      </c>
      <c r="E494" s="21">
        <v>27043.3</v>
      </c>
      <c r="F494" s="2">
        <v>4</v>
      </c>
      <c r="G494" s="21">
        <f>Table7[[#This Row],[Total Revenue]]/Table7[[#This Row],[Orders]]</f>
        <v>18029.849999999999</v>
      </c>
      <c r="H494" s="21" t="str">
        <f>IF(Table7[[#This Row],[Orders]]=1,"New",IF(Table7[[#This Row],[Orders]]&lt;=3,"Returning","Loyal"))</f>
        <v>Loyal</v>
      </c>
    </row>
    <row r="495" spans="1:8" x14ac:dyDescent="0.25">
      <c r="A495" t="s">
        <v>396</v>
      </c>
      <c r="B495">
        <v>2</v>
      </c>
      <c r="C495">
        <v>3</v>
      </c>
      <c r="D495" s="21">
        <v>61336.800000000003</v>
      </c>
      <c r="E495" s="21">
        <v>19779.5</v>
      </c>
      <c r="F495" s="2">
        <v>4.5</v>
      </c>
      <c r="G495" s="21">
        <f>Table7[[#This Row],[Total Revenue]]/Table7[[#This Row],[Orders]]</f>
        <v>30668.400000000001</v>
      </c>
      <c r="H495" s="21" t="str">
        <f>IF(Table7[[#This Row],[Orders]]=1,"New",IF(Table7[[#This Row],[Orders]]&lt;=3,"Returning","Loyal"))</f>
        <v>Returning</v>
      </c>
    </row>
    <row r="496" spans="1:8" x14ac:dyDescent="0.25">
      <c r="A496" t="s">
        <v>52</v>
      </c>
      <c r="B496">
        <v>7</v>
      </c>
      <c r="C496">
        <v>10</v>
      </c>
      <c r="D496" s="21">
        <v>462857.80000000005</v>
      </c>
      <c r="E496" s="21">
        <v>116623.29000000001</v>
      </c>
      <c r="F496" s="2">
        <v>3.5</v>
      </c>
      <c r="G496" s="21">
        <f>Table7[[#This Row],[Total Revenue]]/Table7[[#This Row],[Orders]]</f>
        <v>66122.542857142864</v>
      </c>
      <c r="H496" s="21" t="str">
        <f>IF(Table7[[#This Row],[Orders]]=1,"New",IF(Table7[[#This Row],[Orders]]&lt;=3,"Returning","Loyal"))</f>
        <v>Loyal</v>
      </c>
    </row>
    <row r="497" spans="1:8" x14ac:dyDescent="0.25">
      <c r="A497" t="s">
        <v>1729</v>
      </c>
      <c r="B497">
        <v>3</v>
      </c>
      <c r="C497">
        <v>5</v>
      </c>
      <c r="D497" s="21">
        <v>106924.04999999999</v>
      </c>
      <c r="E497" s="21">
        <v>33026.19</v>
      </c>
      <c r="F497" s="2">
        <v>5</v>
      </c>
      <c r="G497" s="21">
        <f>Table7[[#This Row],[Total Revenue]]/Table7[[#This Row],[Orders]]</f>
        <v>35641.35</v>
      </c>
      <c r="H497" s="21" t="str">
        <f>IF(Table7[[#This Row],[Orders]]=1,"New",IF(Table7[[#This Row],[Orders]]&lt;=3,"Returning","Loyal"))</f>
        <v>Returning</v>
      </c>
    </row>
    <row r="498" spans="1:8" x14ac:dyDescent="0.25">
      <c r="A498" t="s">
        <v>1554</v>
      </c>
      <c r="B498">
        <v>4</v>
      </c>
      <c r="C498">
        <v>8</v>
      </c>
      <c r="D498" s="21">
        <v>258309.15</v>
      </c>
      <c r="E498" s="21">
        <v>84395.819999999992</v>
      </c>
      <c r="F498" s="2">
        <v>5</v>
      </c>
      <c r="G498" s="21">
        <f>Table7[[#This Row],[Total Revenue]]/Table7[[#This Row],[Orders]]</f>
        <v>64577.287499999999</v>
      </c>
      <c r="H498" s="21" t="str">
        <f>IF(Table7[[#This Row],[Orders]]=1,"New",IF(Table7[[#This Row],[Orders]]&lt;=3,"Returning","Loyal"))</f>
        <v>Loyal</v>
      </c>
    </row>
    <row r="499" spans="1:8" x14ac:dyDescent="0.25">
      <c r="A499" t="s">
        <v>869</v>
      </c>
      <c r="B499">
        <v>1</v>
      </c>
      <c r="C499">
        <v>1</v>
      </c>
      <c r="D499" s="21">
        <v>30518.75</v>
      </c>
      <c r="E499" s="21">
        <v>9828.5300000000007</v>
      </c>
      <c r="F499" s="2">
        <v>2</v>
      </c>
      <c r="G499" s="21">
        <f>Table7[[#This Row],[Total Revenue]]/Table7[[#This Row],[Orders]]</f>
        <v>30518.75</v>
      </c>
      <c r="H499" s="21" t="str">
        <f>IF(Table7[[#This Row],[Orders]]=1,"New",IF(Table7[[#This Row],[Orders]]&lt;=3,"Returning","Loyal"))</f>
        <v>New</v>
      </c>
    </row>
    <row r="500" spans="1:8" x14ac:dyDescent="0.25">
      <c r="A500" t="s">
        <v>2433</v>
      </c>
      <c r="B500">
        <v>1</v>
      </c>
      <c r="C500">
        <v>1</v>
      </c>
      <c r="D500" s="21">
        <v>35252.1</v>
      </c>
      <c r="E500" s="21">
        <v>11681.09</v>
      </c>
      <c r="G500" s="21">
        <f>Table7[[#This Row],[Total Revenue]]/Table7[[#This Row],[Orders]]</f>
        <v>35252.1</v>
      </c>
      <c r="H500" s="21" t="str">
        <f>IF(Table7[[#This Row],[Orders]]=1,"New",IF(Table7[[#This Row],[Orders]]&lt;=3,"Returning","Loyal"))</f>
        <v>New</v>
      </c>
    </row>
    <row r="501" spans="1:8" x14ac:dyDescent="0.25">
      <c r="A501" t="s">
        <v>1462</v>
      </c>
      <c r="B501">
        <v>2</v>
      </c>
      <c r="C501">
        <v>3</v>
      </c>
      <c r="D501" s="21">
        <v>143153</v>
      </c>
      <c r="E501" s="21">
        <v>36323.53</v>
      </c>
      <c r="F501" s="2">
        <v>3</v>
      </c>
      <c r="G501" s="21">
        <f>Table7[[#This Row],[Total Revenue]]/Table7[[#This Row],[Orders]]</f>
        <v>71576.5</v>
      </c>
      <c r="H501" s="21" t="str">
        <f>IF(Table7[[#This Row],[Orders]]=1,"New",IF(Table7[[#This Row],[Orders]]&lt;=3,"Returning","Loyal"))</f>
        <v>Returning</v>
      </c>
    </row>
    <row r="502" spans="1:8" x14ac:dyDescent="0.25">
      <c r="A502" t="s">
        <v>574</v>
      </c>
      <c r="B502">
        <v>4</v>
      </c>
      <c r="C502">
        <v>6</v>
      </c>
      <c r="D502" s="21">
        <v>112169.85</v>
      </c>
      <c r="E502" s="21">
        <v>29927.95</v>
      </c>
      <c r="F502" s="2">
        <v>4.333333333333333</v>
      </c>
      <c r="G502" s="21">
        <f>Table7[[#This Row],[Total Revenue]]/Table7[[#This Row],[Orders]]</f>
        <v>28042.462500000001</v>
      </c>
      <c r="H502" s="21" t="str">
        <f>IF(Table7[[#This Row],[Orders]]=1,"New",IF(Table7[[#This Row],[Orders]]&lt;=3,"Returning","Loyal"))</f>
        <v>Loyal</v>
      </c>
    </row>
    <row r="503" spans="1:8" x14ac:dyDescent="0.25">
      <c r="A503" t="s">
        <v>2051</v>
      </c>
      <c r="B503">
        <v>3</v>
      </c>
      <c r="C503">
        <v>4</v>
      </c>
      <c r="D503" s="21">
        <v>184465.35</v>
      </c>
      <c r="E503" s="21">
        <v>43970.7</v>
      </c>
      <c r="F503" s="2">
        <v>3</v>
      </c>
      <c r="G503" s="21">
        <f>Table7[[#This Row],[Total Revenue]]/Table7[[#This Row],[Orders]]</f>
        <v>61488.450000000004</v>
      </c>
      <c r="H503" s="21" t="str">
        <f>IF(Table7[[#This Row],[Orders]]=1,"New",IF(Table7[[#This Row],[Orders]]&lt;=3,"Returning","Loyal"))</f>
        <v>Returning</v>
      </c>
    </row>
    <row r="504" spans="1:8" x14ac:dyDescent="0.25">
      <c r="A504" t="s">
        <v>112</v>
      </c>
      <c r="B504">
        <v>5</v>
      </c>
      <c r="C504">
        <v>8</v>
      </c>
      <c r="D504" s="21">
        <v>177510.8</v>
      </c>
      <c r="E504" s="21">
        <v>55380.630000000005</v>
      </c>
      <c r="F504" s="2">
        <v>2.8</v>
      </c>
      <c r="G504" s="21">
        <f>Table7[[#This Row],[Total Revenue]]/Table7[[#This Row],[Orders]]</f>
        <v>35502.159999999996</v>
      </c>
      <c r="H504" s="21" t="str">
        <f>IF(Table7[[#This Row],[Orders]]=1,"New",IF(Table7[[#This Row],[Orders]]&lt;=3,"Returning","Loyal"))</f>
        <v>Loyal</v>
      </c>
    </row>
    <row r="505" spans="1:8" x14ac:dyDescent="0.25">
      <c r="A505" t="s">
        <v>104</v>
      </c>
      <c r="B505">
        <v>2</v>
      </c>
      <c r="C505">
        <v>5</v>
      </c>
      <c r="D505" s="21">
        <v>197160.6</v>
      </c>
      <c r="E505" s="21">
        <v>84012.13</v>
      </c>
      <c r="F505" s="2">
        <v>4.5</v>
      </c>
      <c r="G505" s="21">
        <f>Table7[[#This Row],[Total Revenue]]/Table7[[#This Row],[Orders]]</f>
        <v>98580.3</v>
      </c>
      <c r="H505" s="21" t="str">
        <f>IF(Table7[[#This Row],[Orders]]=1,"New",IF(Table7[[#This Row],[Orders]]&lt;=3,"Returning","Loyal"))</f>
        <v>Returning</v>
      </c>
    </row>
    <row r="506" spans="1:8" x14ac:dyDescent="0.25">
      <c r="A506" t="s">
        <v>506</v>
      </c>
      <c r="B506">
        <v>5</v>
      </c>
      <c r="C506">
        <v>9</v>
      </c>
      <c r="D506" s="21">
        <v>366954.10000000003</v>
      </c>
      <c r="E506" s="21">
        <v>98469.83</v>
      </c>
      <c r="F506" s="2">
        <v>3.6666666666666665</v>
      </c>
      <c r="G506" s="21">
        <f>Table7[[#This Row],[Total Revenue]]/Table7[[#This Row],[Orders]]</f>
        <v>73390.820000000007</v>
      </c>
      <c r="H506" s="21" t="str">
        <f>IF(Table7[[#This Row],[Orders]]=1,"New",IF(Table7[[#This Row],[Orders]]&lt;=3,"Returning","Loyal"))</f>
        <v>Loyal</v>
      </c>
    </row>
    <row r="507" spans="1:8" x14ac:dyDescent="0.25">
      <c r="A507" t="s">
        <v>565</v>
      </c>
      <c r="B507">
        <v>4</v>
      </c>
      <c r="C507">
        <v>5</v>
      </c>
      <c r="D507" s="21">
        <v>73480.5</v>
      </c>
      <c r="E507" s="21">
        <v>19308.64</v>
      </c>
      <c r="F507" s="2">
        <v>2.5</v>
      </c>
      <c r="G507" s="21">
        <f>Table7[[#This Row],[Total Revenue]]/Table7[[#This Row],[Orders]]</f>
        <v>18370.125</v>
      </c>
      <c r="H507" s="21" t="str">
        <f>IF(Table7[[#This Row],[Orders]]=1,"New",IF(Table7[[#This Row],[Orders]]&lt;=3,"Returning","Loyal"))</f>
        <v>Loyal</v>
      </c>
    </row>
    <row r="508" spans="1:8" x14ac:dyDescent="0.25">
      <c r="A508" t="s">
        <v>1295</v>
      </c>
      <c r="B508">
        <v>2</v>
      </c>
      <c r="C508">
        <v>2</v>
      </c>
      <c r="D508" s="21">
        <v>58081.1</v>
      </c>
      <c r="E508" s="21">
        <v>18092.239999999998</v>
      </c>
      <c r="F508" s="2">
        <v>4</v>
      </c>
      <c r="G508" s="21">
        <f>Table7[[#This Row],[Total Revenue]]/Table7[[#This Row],[Orders]]</f>
        <v>29040.55</v>
      </c>
      <c r="H508" s="21" t="str">
        <f>IF(Table7[[#This Row],[Orders]]=1,"New",IF(Table7[[#This Row],[Orders]]&lt;=3,"Returning","Loyal"))</f>
        <v>Returning</v>
      </c>
    </row>
    <row r="509" spans="1:8" x14ac:dyDescent="0.25">
      <c r="A509" t="s">
        <v>1069</v>
      </c>
      <c r="B509">
        <v>3</v>
      </c>
      <c r="C509">
        <v>3</v>
      </c>
      <c r="D509" s="21">
        <v>167275.5</v>
      </c>
      <c r="E509" s="21">
        <v>63872.58</v>
      </c>
      <c r="F509" s="2">
        <v>3</v>
      </c>
      <c r="G509" s="21">
        <f>Table7[[#This Row],[Total Revenue]]/Table7[[#This Row],[Orders]]</f>
        <v>55758.5</v>
      </c>
      <c r="H509" s="21" t="str">
        <f>IF(Table7[[#This Row],[Orders]]=1,"New",IF(Table7[[#This Row],[Orders]]&lt;=3,"Returning","Loyal"))</f>
        <v>Returning</v>
      </c>
    </row>
    <row r="510" spans="1:8" x14ac:dyDescent="0.25">
      <c r="A510" t="s">
        <v>1277</v>
      </c>
      <c r="B510">
        <v>2</v>
      </c>
      <c r="C510">
        <v>4</v>
      </c>
      <c r="D510" s="21">
        <v>101584.4</v>
      </c>
      <c r="E510" s="21">
        <v>23074.62</v>
      </c>
      <c r="F510" s="2">
        <v>4.5</v>
      </c>
      <c r="G510" s="21">
        <f>Table7[[#This Row],[Total Revenue]]/Table7[[#This Row],[Orders]]</f>
        <v>50792.2</v>
      </c>
      <c r="H510" s="21" t="str">
        <f>IF(Table7[[#This Row],[Orders]]=1,"New",IF(Table7[[#This Row],[Orders]]&lt;=3,"Returning","Loyal"))</f>
        <v>Returning</v>
      </c>
    </row>
    <row r="511" spans="1:8" x14ac:dyDescent="0.25">
      <c r="A511" t="s">
        <v>320</v>
      </c>
      <c r="B511">
        <v>2</v>
      </c>
      <c r="C511">
        <v>4</v>
      </c>
      <c r="D511" s="21">
        <v>24327.25</v>
      </c>
      <c r="E511" s="21">
        <v>7428.17</v>
      </c>
      <c r="F511" s="2">
        <v>2.5</v>
      </c>
      <c r="G511" s="21">
        <f>Table7[[#This Row],[Total Revenue]]/Table7[[#This Row],[Orders]]</f>
        <v>12163.625</v>
      </c>
      <c r="H511" s="21" t="str">
        <f>IF(Table7[[#This Row],[Orders]]=1,"New",IF(Table7[[#This Row],[Orders]]&lt;=3,"Returning","Loyal"))</f>
        <v>Returning</v>
      </c>
    </row>
    <row r="512" spans="1:8" x14ac:dyDescent="0.25">
      <c r="A512" t="s">
        <v>880</v>
      </c>
      <c r="B512">
        <v>3</v>
      </c>
      <c r="C512">
        <v>4</v>
      </c>
      <c r="D512" s="21">
        <v>55975</v>
      </c>
      <c r="E512" s="21">
        <v>22296.030000000002</v>
      </c>
      <c r="F512" s="2">
        <v>3.5</v>
      </c>
      <c r="G512" s="21">
        <f>Table7[[#This Row],[Total Revenue]]/Table7[[#This Row],[Orders]]</f>
        <v>18658.333333333332</v>
      </c>
      <c r="H512" s="21" t="str">
        <f>IF(Table7[[#This Row],[Orders]]=1,"New",IF(Table7[[#This Row],[Orders]]&lt;=3,"Returning","Loyal"))</f>
        <v>Returning</v>
      </c>
    </row>
    <row r="513" spans="1:8" x14ac:dyDescent="0.25">
      <c r="A513" t="s">
        <v>1411</v>
      </c>
      <c r="B513">
        <v>3</v>
      </c>
      <c r="C513">
        <v>3</v>
      </c>
      <c r="D513" s="21">
        <v>99704.1</v>
      </c>
      <c r="E513" s="21">
        <v>24257.629999999997</v>
      </c>
      <c r="F513" s="2">
        <v>4</v>
      </c>
      <c r="G513" s="21">
        <f>Table7[[#This Row],[Total Revenue]]/Table7[[#This Row],[Orders]]</f>
        <v>33234.700000000004</v>
      </c>
      <c r="H513" s="21" t="str">
        <f>IF(Table7[[#This Row],[Orders]]=1,"New",IF(Table7[[#This Row],[Orders]]&lt;=3,"Returning","Loyal"))</f>
        <v>Returning</v>
      </c>
    </row>
    <row r="514" spans="1:8" x14ac:dyDescent="0.25">
      <c r="A514" t="s">
        <v>1478</v>
      </c>
      <c r="B514">
        <v>1</v>
      </c>
      <c r="C514">
        <v>1</v>
      </c>
      <c r="D514" s="21">
        <v>36108.550000000003</v>
      </c>
      <c r="E514" s="21">
        <v>14974.92</v>
      </c>
      <c r="F514" s="2">
        <v>2</v>
      </c>
      <c r="G514" s="21">
        <f>Table7[[#This Row],[Total Revenue]]/Table7[[#This Row],[Orders]]</f>
        <v>36108.550000000003</v>
      </c>
      <c r="H514" s="21" t="str">
        <f>IF(Table7[[#This Row],[Orders]]=1,"New",IF(Table7[[#This Row],[Orders]]&lt;=3,"Returning","Loyal"))</f>
        <v>New</v>
      </c>
    </row>
    <row r="515" spans="1:8" x14ac:dyDescent="0.25">
      <c r="A515" t="s">
        <v>952</v>
      </c>
      <c r="B515">
        <v>3</v>
      </c>
      <c r="C515">
        <v>3</v>
      </c>
      <c r="D515" s="21">
        <v>67644.899999999994</v>
      </c>
      <c r="E515" s="21">
        <v>23399.73</v>
      </c>
      <c r="F515" s="2">
        <v>2</v>
      </c>
      <c r="G515" s="21">
        <f>Table7[[#This Row],[Total Revenue]]/Table7[[#This Row],[Orders]]</f>
        <v>22548.3</v>
      </c>
      <c r="H515" s="21" t="str">
        <f>IF(Table7[[#This Row],[Orders]]=1,"New",IF(Table7[[#This Row],[Orders]]&lt;=3,"Returning","Loyal"))</f>
        <v>Returning</v>
      </c>
    </row>
    <row r="516" spans="1:8" x14ac:dyDescent="0.25">
      <c r="A516" t="s">
        <v>640</v>
      </c>
      <c r="B516">
        <v>4</v>
      </c>
      <c r="C516">
        <v>7</v>
      </c>
      <c r="D516" s="21">
        <v>164474.59999999998</v>
      </c>
      <c r="E516" s="21">
        <v>51862.270000000004</v>
      </c>
      <c r="F516" s="2">
        <v>5</v>
      </c>
      <c r="G516" s="21">
        <f>Table7[[#This Row],[Total Revenue]]/Table7[[#This Row],[Orders]]</f>
        <v>41118.649999999994</v>
      </c>
      <c r="H516" s="21" t="str">
        <f>IF(Table7[[#This Row],[Orders]]=1,"New",IF(Table7[[#This Row],[Orders]]&lt;=3,"Returning","Loyal"))</f>
        <v>Loyal</v>
      </c>
    </row>
    <row r="517" spans="1:8" x14ac:dyDescent="0.25">
      <c r="A517" t="s">
        <v>563</v>
      </c>
      <c r="B517">
        <v>2</v>
      </c>
      <c r="C517">
        <v>4</v>
      </c>
      <c r="D517" s="21">
        <v>90069.7</v>
      </c>
      <c r="E517" s="21">
        <v>24403.18</v>
      </c>
      <c r="F517" s="2">
        <v>4</v>
      </c>
      <c r="G517" s="21">
        <f>Table7[[#This Row],[Total Revenue]]/Table7[[#This Row],[Orders]]</f>
        <v>45034.85</v>
      </c>
      <c r="H517" s="21" t="str">
        <f>IF(Table7[[#This Row],[Orders]]=1,"New",IF(Table7[[#This Row],[Orders]]&lt;=3,"Returning","Loyal"))</f>
        <v>Returning</v>
      </c>
    </row>
    <row r="518" spans="1:8" x14ac:dyDescent="0.25">
      <c r="A518" t="s">
        <v>247</v>
      </c>
      <c r="B518">
        <v>2</v>
      </c>
      <c r="C518">
        <v>2</v>
      </c>
      <c r="D518" s="21">
        <v>68089.25</v>
      </c>
      <c r="E518" s="21">
        <v>21283.72</v>
      </c>
      <c r="F518" s="2">
        <v>3</v>
      </c>
      <c r="G518" s="21">
        <f>Table7[[#This Row],[Total Revenue]]/Table7[[#This Row],[Orders]]</f>
        <v>34044.625</v>
      </c>
      <c r="H518" s="21" t="str">
        <f>IF(Table7[[#This Row],[Orders]]=1,"New",IF(Table7[[#This Row],[Orders]]&lt;=3,"Returning","Loyal"))</f>
        <v>Returning</v>
      </c>
    </row>
    <row r="519" spans="1:8" x14ac:dyDescent="0.25">
      <c r="A519" t="s">
        <v>494</v>
      </c>
      <c r="B519">
        <v>6</v>
      </c>
      <c r="C519">
        <v>11</v>
      </c>
      <c r="D519" s="21">
        <v>190213.1</v>
      </c>
      <c r="E519" s="21">
        <v>57508.63</v>
      </c>
      <c r="F519" s="2">
        <v>3.8</v>
      </c>
      <c r="G519" s="21">
        <f>Table7[[#This Row],[Total Revenue]]/Table7[[#This Row],[Orders]]</f>
        <v>31702.183333333334</v>
      </c>
      <c r="H519" s="21" t="str">
        <f>IF(Table7[[#This Row],[Orders]]=1,"New",IF(Table7[[#This Row],[Orders]]&lt;=3,"Returning","Loyal"))</f>
        <v>Loyal</v>
      </c>
    </row>
    <row r="520" spans="1:8" x14ac:dyDescent="0.25">
      <c r="A520" t="s">
        <v>878</v>
      </c>
      <c r="B520">
        <v>1</v>
      </c>
      <c r="C520">
        <v>2</v>
      </c>
      <c r="D520" s="21">
        <v>31606.5</v>
      </c>
      <c r="E520" s="21">
        <v>12652.15</v>
      </c>
      <c r="F520" s="2">
        <v>5</v>
      </c>
      <c r="G520" s="21">
        <f>Table7[[#This Row],[Total Revenue]]/Table7[[#This Row],[Orders]]</f>
        <v>31606.5</v>
      </c>
      <c r="H520" s="21" t="str">
        <f>IF(Table7[[#This Row],[Orders]]=1,"New",IF(Table7[[#This Row],[Orders]]&lt;=3,"Returning","Loyal"))</f>
        <v>New</v>
      </c>
    </row>
    <row r="521" spans="1:8" x14ac:dyDescent="0.25">
      <c r="A521" t="s">
        <v>1355</v>
      </c>
      <c r="B521">
        <v>3</v>
      </c>
      <c r="C521">
        <v>7</v>
      </c>
      <c r="D521" s="21">
        <v>375591.14999999997</v>
      </c>
      <c r="E521" s="21">
        <v>130059.37</v>
      </c>
      <c r="F521" s="2">
        <v>2.6666666666666665</v>
      </c>
      <c r="G521" s="21">
        <f>Table7[[#This Row],[Total Revenue]]/Table7[[#This Row],[Orders]]</f>
        <v>125197.04999999999</v>
      </c>
      <c r="H521" s="21" t="str">
        <f>IF(Table7[[#This Row],[Orders]]=1,"New",IF(Table7[[#This Row],[Orders]]&lt;=3,"Returning","Loyal"))</f>
        <v>Returning</v>
      </c>
    </row>
    <row r="522" spans="1:8" x14ac:dyDescent="0.25">
      <c r="A522" t="s">
        <v>1926</v>
      </c>
      <c r="B522">
        <v>2</v>
      </c>
      <c r="C522">
        <v>3</v>
      </c>
      <c r="D522" s="21">
        <v>92262.3</v>
      </c>
      <c r="E522" s="21">
        <v>28094.22</v>
      </c>
      <c r="F522" s="2">
        <v>5</v>
      </c>
      <c r="G522" s="21">
        <f>Table7[[#This Row],[Total Revenue]]/Table7[[#This Row],[Orders]]</f>
        <v>46131.15</v>
      </c>
      <c r="H522" s="21" t="str">
        <f>IF(Table7[[#This Row],[Orders]]=1,"New",IF(Table7[[#This Row],[Orders]]&lt;=3,"Returning","Loyal"))</f>
        <v>Returning</v>
      </c>
    </row>
    <row r="523" spans="1:8" x14ac:dyDescent="0.25">
      <c r="A523" t="s">
        <v>179</v>
      </c>
      <c r="B523">
        <v>5</v>
      </c>
      <c r="C523">
        <v>9</v>
      </c>
      <c r="D523" s="21">
        <v>395107.8</v>
      </c>
      <c r="E523" s="21">
        <v>145397.82</v>
      </c>
      <c r="F523" s="2">
        <v>4</v>
      </c>
      <c r="G523" s="21">
        <f>Table7[[#This Row],[Total Revenue]]/Table7[[#This Row],[Orders]]</f>
        <v>79021.56</v>
      </c>
      <c r="H523" s="21" t="str">
        <f>IF(Table7[[#This Row],[Orders]]=1,"New",IF(Table7[[#This Row],[Orders]]&lt;=3,"Returning","Loyal"))</f>
        <v>Loyal</v>
      </c>
    </row>
    <row r="524" spans="1:8" x14ac:dyDescent="0.25">
      <c r="A524" t="s">
        <v>223</v>
      </c>
      <c r="B524">
        <v>3</v>
      </c>
      <c r="C524">
        <v>5</v>
      </c>
      <c r="D524" s="21">
        <v>339965.39999999997</v>
      </c>
      <c r="E524" s="21">
        <v>95162.71</v>
      </c>
      <c r="F524" s="2">
        <v>3</v>
      </c>
      <c r="G524" s="21">
        <f>Table7[[#This Row],[Total Revenue]]/Table7[[#This Row],[Orders]]</f>
        <v>113321.79999999999</v>
      </c>
      <c r="H524" s="21" t="str">
        <f>IF(Table7[[#This Row],[Orders]]=1,"New",IF(Table7[[#This Row],[Orders]]&lt;=3,"Returning","Loyal"))</f>
        <v>Returning</v>
      </c>
    </row>
    <row r="525" spans="1:8" x14ac:dyDescent="0.25">
      <c r="A525" t="s">
        <v>2177</v>
      </c>
      <c r="B525">
        <v>1</v>
      </c>
      <c r="C525">
        <v>1</v>
      </c>
      <c r="D525" s="21">
        <v>44482</v>
      </c>
      <c r="E525" s="21">
        <v>8093.8</v>
      </c>
      <c r="G525" s="21">
        <f>Table7[[#This Row],[Total Revenue]]/Table7[[#This Row],[Orders]]</f>
        <v>44482</v>
      </c>
      <c r="H525" s="21" t="str">
        <f>IF(Table7[[#This Row],[Orders]]=1,"New",IF(Table7[[#This Row],[Orders]]&lt;=3,"Returning","Loyal"))</f>
        <v>New</v>
      </c>
    </row>
    <row r="526" spans="1:8" x14ac:dyDescent="0.25">
      <c r="A526" t="s">
        <v>1674</v>
      </c>
      <c r="B526">
        <v>1</v>
      </c>
      <c r="C526">
        <v>1</v>
      </c>
      <c r="D526" s="21">
        <v>46215</v>
      </c>
      <c r="E526" s="21">
        <v>16719.96</v>
      </c>
      <c r="G526" s="21">
        <f>Table7[[#This Row],[Total Revenue]]/Table7[[#This Row],[Orders]]</f>
        <v>46215</v>
      </c>
      <c r="H526" s="21" t="str">
        <f>IF(Table7[[#This Row],[Orders]]=1,"New",IF(Table7[[#This Row],[Orders]]&lt;=3,"Returning","Loyal"))</f>
        <v>New</v>
      </c>
    </row>
    <row r="527" spans="1:8" x14ac:dyDescent="0.25">
      <c r="A527" t="s">
        <v>1695</v>
      </c>
      <c r="B527">
        <v>3</v>
      </c>
      <c r="C527">
        <v>5</v>
      </c>
      <c r="D527" s="21">
        <v>69017.5</v>
      </c>
      <c r="E527" s="21">
        <v>18716.84</v>
      </c>
      <c r="F527" s="2">
        <v>3</v>
      </c>
      <c r="G527" s="21">
        <f>Table7[[#This Row],[Total Revenue]]/Table7[[#This Row],[Orders]]</f>
        <v>23005.833333333332</v>
      </c>
      <c r="H527" s="21" t="str">
        <f>IF(Table7[[#This Row],[Orders]]=1,"New",IF(Table7[[#This Row],[Orders]]&lt;=3,"Returning","Loyal"))</f>
        <v>Returning</v>
      </c>
    </row>
    <row r="528" spans="1:8" x14ac:dyDescent="0.25">
      <c r="A528" t="s">
        <v>1019</v>
      </c>
      <c r="B528">
        <v>2</v>
      </c>
      <c r="C528">
        <v>3</v>
      </c>
      <c r="D528" s="21">
        <v>106923.95</v>
      </c>
      <c r="E528" s="21">
        <v>35176.259999999995</v>
      </c>
      <c r="G528" s="21">
        <f>Table7[[#This Row],[Total Revenue]]/Table7[[#This Row],[Orders]]</f>
        <v>53461.974999999999</v>
      </c>
      <c r="H528" s="21" t="str">
        <f>IF(Table7[[#This Row],[Orders]]=1,"New",IF(Table7[[#This Row],[Orders]]&lt;=3,"Returning","Loyal"))</f>
        <v>Returning</v>
      </c>
    </row>
    <row r="529" spans="1:8" x14ac:dyDescent="0.25">
      <c r="A529" t="s">
        <v>267</v>
      </c>
      <c r="B529">
        <v>6</v>
      </c>
      <c r="C529">
        <v>11</v>
      </c>
      <c r="D529" s="21">
        <v>425114.15</v>
      </c>
      <c r="E529" s="21">
        <v>132933.66999999998</v>
      </c>
      <c r="F529" s="2">
        <v>3.5</v>
      </c>
      <c r="G529" s="21">
        <f>Table7[[#This Row],[Total Revenue]]/Table7[[#This Row],[Orders]]</f>
        <v>70852.358333333337</v>
      </c>
      <c r="H529" s="21" t="str">
        <f>IF(Table7[[#This Row],[Orders]]=1,"New",IF(Table7[[#This Row],[Orders]]&lt;=3,"Returning","Loyal"))</f>
        <v>Loyal</v>
      </c>
    </row>
    <row r="530" spans="1:8" x14ac:dyDescent="0.25">
      <c r="A530" t="s">
        <v>290</v>
      </c>
      <c r="B530">
        <v>3</v>
      </c>
      <c r="C530">
        <v>6</v>
      </c>
      <c r="D530" s="21">
        <v>166786.6</v>
      </c>
      <c r="E530" s="21">
        <v>48361.51</v>
      </c>
      <c r="F530" s="2">
        <v>2</v>
      </c>
      <c r="G530" s="21">
        <f>Table7[[#This Row],[Total Revenue]]/Table7[[#This Row],[Orders]]</f>
        <v>55595.533333333333</v>
      </c>
      <c r="H530" s="21" t="str">
        <f>IF(Table7[[#This Row],[Orders]]=1,"New",IF(Table7[[#This Row],[Orders]]&lt;=3,"Returning","Loyal"))</f>
        <v>Returning</v>
      </c>
    </row>
    <row r="531" spans="1:8" x14ac:dyDescent="0.25">
      <c r="A531" t="s">
        <v>378</v>
      </c>
      <c r="B531">
        <v>2</v>
      </c>
      <c r="C531">
        <v>3</v>
      </c>
      <c r="D531" s="21">
        <v>126104.40000000001</v>
      </c>
      <c r="E531" s="21">
        <v>50239.98</v>
      </c>
      <c r="F531" s="2">
        <v>5</v>
      </c>
      <c r="G531" s="21">
        <f>Table7[[#This Row],[Total Revenue]]/Table7[[#This Row],[Orders]]</f>
        <v>63052.200000000004</v>
      </c>
      <c r="H531" s="21" t="str">
        <f>IF(Table7[[#This Row],[Orders]]=1,"New",IF(Table7[[#This Row],[Orders]]&lt;=3,"Returning","Loyal"))</f>
        <v>Returning</v>
      </c>
    </row>
    <row r="532" spans="1:8" x14ac:dyDescent="0.25">
      <c r="A532" t="s">
        <v>170</v>
      </c>
      <c r="B532">
        <v>4</v>
      </c>
      <c r="C532">
        <v>8</v>
      </c>
      <c r="D532" s="21">
        <v>305622.8</v>
      </c>
      <c r="E532" s="21">
        <v>116282.98</v>
      </c>
      <c r="F532" s="2">
        <v>3.5</v>
      </c>
      <c r="G532" s="21">
        <f>Table7[[#This Row],[Total Revenue]]/Table7[[#This Row],[Orders]]</f>
        <v>76405.7</v>
      </c>
      <c r="H532" s="21" t="str">
        <f>IF(Table7[[#This Row],[Orders]]=1,"New",IF(Table7[[#This Row],[Orders]]&lt;=3,"Returning","Loyal"))</f>
        <v>Loyal</v>
      </c>
    </row>
    <row r="533" spans="1:8" x14ac:dyDescent="0.25">
      <c r="A533" t="s">
        <v>979</v>
      </c>
      <c r="B533">
        <v>1</v>
      </c>
      <c r="C533">
        <v>2</v>
      </c>
      <c r="D533" s="21">
        <v>36793.5</v>
      </c>
      <c r="E533" s="21">
        <v>7269.75</v>
      </c>
      <c r="F533" s="2">
        <v>3</v>
      </c>
      <c r="G533" s="21">
        <f>Table7[[#This Row],[Total Revenue]]/Table7[[#This Row],[Orders]]</f>
        <v>36793.5</v>
      </c>
      <c r="H533" s="21" t="str">
        <f>IF(Table7[[#This Row],[Orders]]=1,"New",IF(Table7[[#This Row],[Orders]]&lt;=3,"Returning","Loyal"))</f>
        <v>New</v>
      </c>
    </row>
    <row r="534" spans="1:8" x14ac:dyDescent="0.25">
      <c r="A534" t="s">
        <v>781</v>
      </c>
      <c r="B534">
        <v>2</v>
      </c>
      <c r="C534">
        <v>3</v>
      </c>
      <c r="D534" s="21">
        <v>103074.1</v>
      </c>
      <c r="E534" s="21">
        <v>22505.03</v>
      </c>
      <c r="F534" s="2">
        <v>4</v>
      </c>
      <c r="G534" s="21">
        <f>Table7[[#This Row],[Total Revenue]]/Table7[[#This Row],[Orders]]</f>
        <v>51537.05</v>
      </c>
      <c r="H534" s="21" t="str">
        <f>IF(Table7[[#This Row],[Orders]]=1,"New",IF(Table7[[#This Row],[Orders]]&lt;=3,"Returning","Loyal"))</f>
        <v>Returning</v>
      </c>
    </row>
    <row r="535" spans="1:8" x14ac:dyDescent="0.25">
      <c r="A535" t="s">
        <v>1595</v>
      </c>
      <c r="B535">
        <v>1</v>
      </c>
      <c r="C535">
        <v>1</v>
      </c>
      <c r="D535" s="21">
        <v>34587</v>
      </c>
      <c r="E535" s="21">
        <v>12466.58</v>
      </c>
      <c r="F535" s="2">
        <v>5</v>
      </c>
      <c r="G535" s="21">
        <f>Table7[[#This Row],[Total Revenue]]/Table7[[#This Row],[Orders]]</f>
        <v>34587</v>
      </c>
      <c r="H535" s="21" t="str">
        <f>IF(Table7[[#This Row],[Orders]]=1,"New",IF(Table7[[#This Row],[Orders]]&lt;=3,"Returning","Loyal"))</f>
        <v>New</v>
      </c>
    </row>
    <row r="536" spans="1:8" x14ac:dyDescent="0.25">
      <c r="A536" t="s">
        <v>2131</v>
      </c>
      <c r="B536">
        <v>3</v>
      </c>
      <c r="C536">
        <v>5</v>
      </c>
      <c r="D536" s="21">
        <v>100253.15</v>
      </c>
      <c r="E536" s="21">
        <v>37514.550000000003</v>
      </c>
      <c r="F536" s="2">
        <v>3</v>
      </c>
      <c r="G536" s="21">
        <f>Table7[[#This Row],[Total Revenue]]/Table7[[#This Row],[Orders]]</f>
        <v>33417.716666666667</v>
      </c>
      <c r="H536" s="21" t="str">
        <f>IF(Table7[[#This Row],[Orders]]=1,"New",IF(Table7[[#This Row],[Orders]]&lt;=3,"Returning","Loyal"))</f>
        <v>Returning</v>
      </c>
    </row>
    <row r="537" spans="1:8" x14ac:dyDescent="0.25">
      <c r="A537" t="s">
        <v>358</v>
      </c>
      <c r="B537">
        <v>3</v>
      </c>
      <c r="C537">
        <v>3</v>
      </c>
      <c r="D537" s="21">
        <v>46619.8</v>
      </c>
      <c r="E537" s="21">
        <v>16899.8</v>
      </c>
      <c r="F537" s="2">
        <v>1.5</v>
      </c>
      <c r="G537" s="21">
        <f>Table7[[#This Row],[Total Revenue]]/Table7[[#This Row],[Orders]]</f>
        <v>15539.933333333334</v>
      </c>
      <c r="H537" s="21" t="str">
        <f>IF(Table7[[#This Row],[Orders]]=1,"New",IF(Table7[[#This Row],[Orders]]&lt;=3,"Returning","Loyal"))</f>
        <v>Returning</v>
      </c>
    </row>
    <row r="538" spans="1:8" x14ac:dyDescent="0.25">
      <c r="A538" t="s">
        <v>620</v>
      </c>
      <c r="B538">
        <v>3</v>
      </c>
      <c r="C538">
        <v>5</v>
      </c>
      <c r="D538" s="21">
        <v>253868.5</v>
      </c>
      <c r="E538" s="21">
        <v>96801.89</v>
      </c>
      <c r="F538" s="2">
        <v>3.6666666666666665</v>
      </c>
      <c r="G538" s="21">
        <f>Table7[[#This Row],[Total Revenue]]/Table7[[#This Row],[Orders]]</f>
        <v>84622.833333333328</v>
      </c>
      <c r="H538" s="21" t="str">
        <f>IF(Table7[[#This Row],[Orders]]=1,"New",IF(Table7[[#This Row],[Orders]]&lt;=3,"Returning","Loyal"))</f>
        <v>Returning</v>
      </c>
    </row>
    <row r="539" spans="1:8" x14ac:dyDescent="0.25">
      <c r="A539" t="s">
        <v>1954</v>
      </c>
      <c r="B539">
        <v>1</v>
      </c>
      <c r="C539">
        <v>1</v>
      </c>
      <c r="D539" s="21">
        <v>10591</v>
      </c>
      <c r="E539" s="21">
        <v>2766.97</v>
      </c>
      <c r="F539" s="2">
        <v>5</v>
      </c>
      <c r="G539" s="21">
        <f>Table7[[#This Row],[Total Revenue]]/Table7[[#This Row],[Orders]]</f>
        <v>10591</v>
      </c>
      <c r="H539" s="21" t="str">
        <f>IF(Table7[[#This Row],[Orders]]=1,"New",IF(Table7[[#This Row],[Orders]]&lt;=3,"Returning","Loyal"))</f>
        <v>New</v>
      </c>
    </row>
    <row r="540" spans="1:8" x14ac:dyDescent="0.25">
      <c r="A540" t="s">
        <v>265</v>
      </c>
      <c r="B540">
        <v>5</v>
      </c>
      <c r="C540">
        <v>9</v>
      </c>
      <c r="D540" s="21">
        <v>270243.20000000001</v>
      </c>
      <c r="E540" s="21">
        <v>95786.25999999998</v>
      </c>
      <c r="F540" s="2">
        <v>4</v>
      </c>
      <c r="G540" s="21">
        <f>Table7[[#This Row],[Total Revenue]]/Table7[[#This Row],[Orders]]</f>
        <v>54048.639999999999</v>
      </c>
      <c r="H540" s="21" t="str">
        <f>IF(Table7[[#This Row],[Orders]]=1,"New",IF(Table7[[#This Row],[Orders]]&lt;=3,"Returning","Loyal"))</f>
        <v>Loyal</v>
      </c>
    </row>
    <row r="541" spans="1:8" x14ac:dyDescent="0.25">
      <c r="A541" t="s">
        <v>1421</v>
      </c>
      <c r="B541">
        <v>2</v>
      </c>
      <c r="C541">
        <v>4</v>
      </c>
      <c r="D541" s="21">
        <v>86095.6</v>
      </c>
      <c r="E541" s="21">
        <v>31566.37</v>
      </c>
      <c r="F541" s="2">
        <v>5</v>
      </c>
      <c r="G541" s="21">
        <f>Table7[[#This Row],[Total Revenue]]/Table7[[#This Row],[Orders]]</f>
        <v>43047.8</v>
      </c>
      <c r="H541" s="21" t="str">
        <f>IF(Table7[[#This Row],[Orders]]=1,"New",IF(Table7[[#This Row],[Orders]]&lt;=3,"Returning","Loyal"))</f>
        <v>Returning</v>
      </c>
    </row>
    <row r="542" spans="1:8" x14ac:dyDescent="0.25">
      <c r="A542" t="s">
        <v>744</v>
      </c>
      <c r="B542">
        <v>2</v>
      </c>
      <c r="C542">
        <v>2</v>
      </c>
      <c r="D542" s="21">
        <v>23050.799999999999</v>
      </c>
      <c r="E542" s="21">
        <v>9763.0499999999993</v>
      </c>
      <c r="F542" s="2">
        <v>3.5</v>
      </c>
      <c r="G542" s="21">
        <f>Table7[[#This Row],[Total Revenue]]/Table7[[#This Row],[Orders]]</f>
        <v>11525.4</v>
      </c>
      <c r="H542" s="21" t="str">
        <f>IF(Table7[[#This Row],[Orders]]=1,"New",IF(Table7[[#This Row],[Orders]]&lt;=3,"Returning","Loyal"))</f>
        <v>Returning</v>
      </c>
    </row>
    <row r="543" spans="1:8" x14ac:dyDescent="0.25">
      <c r="A543" t="s">
        <v>478</v>
      </c>
      <c r="B543">
        <v>4</v>
      </c>
      <c r="C543">
        <v>5</v>
      </c>
      <c r="D543" s="21">
        <v>126476.15</v>
      </c>
      <c r="E543" s="21">
        <v>46702.33</v>
      </c>
      <c r="F543" s="2">
        <v>3</v>
      </c>
      <c r="G543" s="21">
        <f>Table7[[#This Row],[Total Revenue]]/Table7[[#This Row],[Orders]]</f>
        <v>31619.037499999999</v>
      </c>
      <c r="H543" s="21" t="str">
        <f>IF(Table7[[#This Row],[Orders]]=1,"New",IF(Table7[[#This Row],[Orders]]&lt;=3,"Returning","Loyal"))</f>
        <v>Loyal</v>
      </c>
    </row>
    <row r="544" spans="1:8" x14ac:dyDescent="0.25">
      <c r="A544" t="s">
        <v>1363</v>
      </c>
      <c r="B544">
        <v>4</v>
      </c>
      <c r="C544">
        <v>4</v>
      </c>
      <c r="D544" s="21">
        <v>55645.9</v>
      </c>
      <c r="E544" s="21">
        <v>22110.73</v>
      </c>
      <c r="F544" s="2">
        <v>4.25</v>
      </c>
      <c r="G544" s="21">
        <f>Table7[[#This Row],[Total Revenue]]/Table7[[#This Row],[Orders]]</f>
        <v>13911.475</v>
      </c>
      <c r="H544" s="21" t="str">
        <f>IF(Table7[[#This Row],[Orders]]=1,"New",IF(Table7[[#This Row],[Orders]]&lt;=3,"Returning","Loyal"))</f>
        <v>Loyal</v>
      </c>
    </row>
    <row r="545" spans="1:8" x14ac:dyDescent="0.25">
      <c r="A545" t="s">
        <v>472</v>
      </c>
      <c r="B545">
        <v>4</v>
      </c>
      <c r="C545">
        <v>8</v>
      </c>
      <c r="D545" s="21">
        <v>152926.20000000001</v>
      </c>
      <c r="E545" s="21">
        <v>63229.09</v>
      </c>
      <c r="F545" s="2">
        <v>3.5</v>
      </c>
      <c r="G545" s="21">
        <f>Table7[[#This Row],[Total Revenue]]/Table7[[#This Row],[Orders]]</f>
        <v>38231.550000000003</v>
      </c>
      <c r="H545" s="21" t="str">
        <f>IF(Table7[[#This Row],[Orders]]=1,"New",IF(Table7[[#This Row],[Orders]]&lt;=3,"Returning","Loyal"))</f>
        <v>Loyal</v>
      </c>
    </row>
    <row r="546" spans="1:8" x14ac:dyDescent="0.25">
      <c r="A546" t="s">
        <v>1903</v>
      </c>
      <c r="B546">
        <v>2</v>
      </c>
      <c r="C546">
        <v>2</v>
      </c>
      <c r="D546" s="21">
        <v>70635.399999999994</v>
      </c>
      <c r="E546" s="21">
        <v>13996.1</v>
      </c>
      <c r="F546" s="2">
        <v>4</v>
      </c>
      <c r="G546" s="21">
        <f>Table7[[#This Row],[Total Revenue]]/Table7[[#This Row],[Orders]]</f>
        <v>35317.699999999997</v>
      </c>
      <c r="H546" s="21" t="str">
        <f>IF(Table7[[#This Row],[Orders]]=1,"New",IF(Table7[[#This Row],[Orders]]&lt;=3,"Returning","Loyal"))</f>
        <v>Returning</v>
      </c>
    </row>
    <row r="547" spans="1:8" x14ac:dyDescent="0.25">
      <c r="A547" t="s">
        <v>1183</v>
      </c>
      <c r="B547">
        <v>2</v>
      </c>
      <c r="C547">
        <v>3</v>
      </c>
      <c r="D547" s="21">
        <v>121030.1</v>
      </c>
      <c r="E547" s="21">
        <v>48848.03</v>
      </c>
      <c r="F547" s="2">
        <v>2.5</v>
      </c>
      <c r="G547" s="21">
        <f>Table7[[#This Row],[Total Revenue]]/Table7[[#This Row],[Orders]]</f>
        <v>60515.05</v>
      </c>
      <c r="H547" s="21" t="str">
        <f>IF(Table7[[#This Row],[Orders]]=1,"New",IF(Table7[[#This Row],[Orders]]&lt;=3,"Returning","Loyal"))</f>
        <v>Returning</v>
      </c>
    </row>
    <row r="548" spans="1:8" x14ac:dyDescent="0.25">
      <c r="A548" t="s">
        <v>1981</v>
      </c>
      <c r="B548">
        <v>3</v>
      </c>
      <c r="C548">
        <v>8</v>
      </c>
      <c r="D548" s="21">
        <v>305118.09999999998</v>
      </c>
      <c r="E548" s="21">
        <v>125957.19</v>
      </c>
      <c r="F548" s="2">
        <v>3.3333333333333335</v>
      </c>
      <c r="G548" s="21">
        <f>Table7[[#This Row],[Total Revenue]]/Table7[[#This Row],[Orders]]</f>
        <v>101706.03333333333</v>
      </c>
      <c r="H548" s="21" t="str">
        <f>IF(Table7[[#This Row],[Orders]]=1,"New",IF(Table7[[#This Row],[Orders]]&lt;=3,"Returning","Loyal"))</f>
        <v>Returning</v>
      </c>
    </row>
    <row r="549" spans="1:8" x14ac:dyDescent="0.25">
      <c r="A549" t="s">
        <v>2320</v>
      </c>
      <c r="B549">
        <v>1</v>
      </c>
      <c r="C549">
        <v>2</v>
      </c>
      <c r="D549" s="21">
        <v>15323.5</v>
      </c>
      <c r="E549" s="21">
        <v>6890.58</v>
      </c>
      <c r="F549" s="2">
        <v>5</v>
      </c>
      <c r="G549" s="21">
        <f>Table7[[#This Row],[Total Revenue]]/Table7[[#This Row],[Orders]]</f>
        <v>15323.5</v>
      </c>
      <c r="H549" s="21" t="str">
        <f>IF(Table7[[#This Row],[Orders]]=1,"New",IF(Table7[[#This Row],[Orders]]&lt;=3,"Returning","Loyal"))</f>
        <v>New</v>
      </c>
    </row>
    <row r="550" spans="1:8" x14ac:dyDescent="0.25">
      <c r="A550" t="s">
        <v>1198</v>
      </c>
      <c r="B550">
        <v>2</v>
      </c>
      <c r="C550">
        <v>4</v>
      </c>
      <c r="D550" s="21">
        <v>121473</v>
      </c>
      <c r="E550" s="21">
        <v>47519.67</v>
      </c>
      <c r="F550" s="2">
        <v>3.5</v>
      </c>
      <c r="G550" s="21">
        <f>Table7[[#This Row],[Total Revenue]]/Table7[[#This Row],[Orders]]</f>
        <v>60736.5</v>
      </c>
      <c r="H550" s="21" t="str">
        <f>IF(Table7[[#This Row],[Orders]]=1,"New",IF(Table7[[#This Row],[Orders]]&lt;=3,"Returning","Loyal"))</f>
        <v>Returning</v>
      </c>
    </row>
    <row r="551" spans="1:8" x14ac:dyDescent="0.25">
      <c r="A551" t="s">
        <v>1088</v>
      </c>
      <c r="B551">
        <v>1</v>
      </c>
      <c r="C551">
        <v>1</v>
      </c>
      <c r="D551" s="21">
        <v>45083.15</v>
      </c>
      <c r="E551" s="21">
        <v>14499.47</v>
      </c>
      <c r="F551" s="2">
        <v>2</v>
      </c>
      <c r="G551" s="21">
        <f>Table7[[#This Row],[Total Revenue]]/Table7[[#This Row],[Orders]]</f>
        <v>45083.15</v>
      </c>
      <c r="H551" s="21" t="str">
        <f>IF(Table7[[#This Row],[Orders]]=1,"New",IF(Table7[[#This Row],[Orders]]&lt;=3,"Returning","Loyal"))</f>
        <v>New</v>
      </c>
    </row>
    <row r="552" spans="1:8" x14ac:dyDescent="0.25">
      <c r="A552" t="s">
        <v>1023</v>
      </c>
      <c r="B552">
        <v>2</v>
      </c>
      <c r="C552">
        <v>5</v>
      </c>
      <c r="D552" s="21">
        <v>414693.8</v>
      </c>
      <c r="E552" s="21">
        <v>140656.87</v>
      </c>
      <c r="F552" s="2">
        <v>1</v>
      </c>
      <c r="G552" s="21">
        <f>Table7[[#This Row],[Total Revenue]]/Table7[[#This Row],[Orders]]</f>
        <v>207346.9</v>
      </c>
      <c r="H552" s="21" t="str">
        <f>IF(Table7[[#This Row],[Orders]]=1,"New",IF(Table7[[#This Row],[Orders]]&lt;=3,"Returning","Loyal"))</f>
        <v>Returning</v>
      </c>
    </row>
    <row r="553" spans="1:8" x14ac:dyDescent="0.25">
      <c r="A553" t="s">
        <v>1177</v>
      </c>
      <c r="B553">
        <v>4</v>
      </c>
      <c r="C553">
        <v>10</v>
      </c>
      <c r="D553" s="21">
        <v>175092.4</v>
      </c>
      <c r="E553" s="21">
        <v>67710.89</v>
      </c>
      <c r="F553" s="2">
        <v>3.75</v>
      </c>
      <c r="G553" s="21">
        <f>Table7[[#This Row],[Total Revenue]]/Table7[[#This Row],[Orders]]</f>
        <v>43773.1</v>
      </c>
      <c r="H553" s="21" t="str">
        <f>IF(Table7[[#This Row],[Orders]]=1,"New",IF(Table7[[#This Row],[Orders]]&lt;=3,"Returning","Loyal"))</f>
        <v>Loyal</v>
      </c>
    </row>
    <row r="554" spans="1:8" x14ac:dyDescent="0.25">
      <c r="A554" t="s">
        <v>1989</v>
      </c>
      <c r="B554">
        <v>1</v>
      </c>
      <c r="C554">
        <v>1</v>
      </c>
      <c r="D554" s="21">
        <v>24552.75</v>
      </c>
      <c r="E554" s="21">
        <v>8870.1299999999992</v>
      </c>
      <c r="G554" s="21">
        <f>Table7[[#This Row],[Total Revenue]]/Table7[[#This Row],[Orders]]</f>
        <v>24552.75</v>
      </c>
      <c r="H554" s="21" t="str">
        <f>IF(Table7[[#This Row],[Orders]]=1,"New",IF(Table7[[#This Row],[Orders]]&lt;=3,"Returning","Loyal"))</f>
        <v>New</v>
      </c>
    </row>
    <row r="555" spans="1:8" x14ac:dyDescent="0.25">
      <c r="A555" t="s">
        <v>1003</v>
      </c>
      <c r="B555">
        <v>5</v>
      </c>
      <c r="C555">
        <v>10</v>
      </c>
      <c r="D555" s="21">
        <v>276058.8</v>
      </c>
      <c r="E555" s="21">
        <v>72638.179999999993</v>
      </c>
      <c r="F555" s="2">
        <v>4.25</v>
      </c>
      <c r="G555" s="21">
        <f>Table7[[#This Row],[Total Revenue]]/Table7[[#This Row],[Orders]]</f>
        <v>55211.759999999995</v>
      </c>
      <c r="H555" s="21" t="str">
        <f>IF(Table7[[#This Row],[Orders]]=1,"New",IF(Table7[[#This Row],[Orders]]&lt;=3,"Returning","Loyal"))</f>
        <v>Loyal</v>
      </c>
    </row>
    <row r="556" spans="1:8" x14ac:dyDescent="0.25">
      <c r="A556" t="s">
        <v>804</v>
      </c>
      <c r="B556">
        <v>4</v>
      </c>
      <c r="C556">
        <v>6</v>
      </c>
      <c r="D556" s="21">
        <v>370794.55000000005</v>
      </c>
      <c r="E556" s="21">
        <v>146041.77000000002</v>
      </c>
      <c r="F556" s="2">
        <v>3.3333333333333335</v>
      </c>
      <c r="G556" s="21">
        <f>Table7[[#This Row],[Total Revenue]]/Table7[[#This Row],[Orders]]</f>
        <v>92698.637500000012</v>
      </c>
      <c r="H556" s="21" t="str">
        <f>IF(Table7[[#This Row],[Orders]]=1,"New",IF(Table7[[#This Row],[Orders]]&lt;=3,"Returning","Loyal"))</f>
        <v>Loyal</v>
      </c>
    </row>
    <row r="557" spans="1:8" x14ac:dyDescent="0.25">
      <c r="A557" t="s">
        <v>185</v>
      </c>
      <c r="B557">
        <v>5</v>
      </c>
      <c r="C557">
        <v>9</v>
      </c>
      <c r="D557" s="21">
        <v>171837.35000000003</v>
      </c>
      <c r="E557" s="21">
        <v>53776.86</v>
      </c>
      <c r="F557" s="2">
        <v>3.4</v>
      </c>
      <c r="G557" s="21">
        <f>Table7[[#This Row],[Total Revenue]]/Table7[[#This Row],[Orders]]</f>
        <v>34367.470000000008</v>
      </c>
      <c r="H557" s="21" t="str">
        <f>IF(Table7[[#This Row],[Orders]]=1,"New",IF(Table7[[#This Row],[Orders]]&lt;=3,"Returning","Loyal"))</f>
        <v>Loyal</v>
      </c>
    </row>
    <row r="558" spans="1:8" x14ac:dyDescent="0.25">
      <c r="A558" t="s">
        <v>370</v>
      </c>
      <c r="B558">
        <v>6</v>
      </c>
      <c r="C558">
        <v>13</v>
      </c>
      <c r="D558" s="21">
        <v>416318.15</v>
      </c>
      <c r="E558" s="21">
        <v>143879</v>
      </c>
      <c r="F558" s="2">
        <v>2.8</v>
      </c>
      <c r="G558" s="21">
        <f>Table7[[#This Row],[Total Revenue]]/Table7[[#This Row],[Orders]]</f>
        <v>69386.358333333337</v>
      </c>
      <c r="H558" s="21" t="str">
        <f>IF(Table7[[#This Row],[Orders]]=1,"New",IF(Table7[[#This Row],[Orders]]&lt;=3,"Returning","Loyal"))</f>
        <v>Loyal</v>
      </c>
    </row>
    <row r="559" spans="1:8" x14ac:dyDescent="0.25">
      <c r="A559" t="s">
        <v>310</v>
      </c>
      <c r="B559">
        <v>6</v>
      </c>
      <c r="C559">
        <v>13</v>
      </c>
      <c r="D559" s="21">
        <v>374664.05</v>
      </c>
      <c r="E559" s="21">
        <v>116175.7</v>
      </c>
      <c r="F559" s="2">
        <v>3.6666666666666665</v>
      </c>
      <c r="G559" s="21">
        <f>Table7[[#This Row],[Total Revenue]]/Table7[[#This Row],[Orders]]</f>
        <v>62444.008333333331</v>
      </c>
      <c r="H559" s="21" t="str">
        <f>IF(Table7[[#This Row],[Orders]]=1,"New",IF(Table7[[#This Row],[Orders]]&lt;=3,"Returning","Loyal"))</f>
        <v>Loyal</v>
      </c>
    </row>
    <row r="560" spans="1:8" x14ac:dyDescent="0.25">
      <c r="A560" t="s">
        <v>109</v>
      </c>
      <c r="B560">
        <v>7</v>
      </c>
      <c r="C560">
        <v>10</v>
      </c>
      <c r="D560" s="21">
        <v>306395.7</v>
      </c>
      <c r="E560" s="21">
        <v>108365.16</v>
      </c>
      <c r="F560" s="2">
        <v>3.3333333333333335</v>
      </c>
      <c r="G560" s="21">
        <f>Table7[[#This Row],[Total Revenue]]/Table7[[#This Row],[Orders]]</f>
        <v>43770.814285714288</v>
      </c>
      <c r="H560" s="21" t="str">
        <f>IF(Table7[[#This Row],[Orders]]=1,"New",IF(Table7[[#This Row],[Orders]]&lt;=3,"Returning","Loyal"))</f>
        <v>Loyal</v>
      </c>
    </row>
    <row r="561" spans="1:8" x14ac:dyDescent="0.25">
      <c r="A561" t="s">
        <v>993</v>
      </c>
      <c r="B561">
        <v>5</v>
      </c>
      <c r="C561">
        <v>6</v>
      </c>
      <c r="D561" s="21">
        <v>355305.7</v>
      </c>
      <c r="E561" s="21">
        <v>93656.4</v>
      </c>
      <c r="F561" s="2">
        <v>4</v>
      </c>
      <c r="G561" s="21">
        <f>Table7[[#This Row],[Total Revenue]]/Table7[[#This Row],[Orders]]</f>
        <v>71061.14</v>
      </c>
      <c r="H561" s="21" t="str">
        <f>IF(Table7[[#This Row],[Orders]]=1,"New",IF(Table7[[#This Row],[Orders]]&lt;=3,"Returning","Loyal"))</f>
        <v>Loyal</v>
      </c>
    </row>
    <row r="562" spans="1:8" x14ac:dyDescent="0.25">
      <c r="A562" t="s">
        <v>1381</v>
      </c>
      <c r="B562">
        <v>1</v>
      </c>
      <c r="C562">
        <v>4</v>
      </c>
      <c r="D562" s="21">
        <v>113425.2</v>
      </c>
      <c r="E562" s="21">
        <v>50996.61</v>
      </c>
      <c r="F562" s="2">
        <v>1</v>
      </c>
      <c r="G562" s="21">
        <f>Table7[[#This Row],[Total Revenue]]/Table7[[#This Row],[Orders]]</f>
        <v>113425.2</v>
      </c>
      <c r="H562" s="21" t="str">
        <f>IF(Table7[[#This Row],[Orders]]=1,"New",IF(Table7[[#This Row],[Orders]]&lt;=3,"Returning","Loyal"))</f>
        <v>New</v>
      </c>
    </row>
    <row r="563" spans="1:8" x14ac:dyDescent="0.25">
      <c r="A563" t="s">
        <v>1028</v>
      </c>
      <c r="B563">
        <v>3</v>
      </c>
      <c r="C563">
        <v>3</v>
      </c>
      <c r="D563" s="21">
        <v>23130</v>
      </c>
      <c r="E563" s="21">
        <v>8356.39</v>
      </c>
      <c r="F563" s="2">
        <v>2</v>
      </c>
      <c r="G563" s="21">
        <f>Table7[[#This Row],[Total Revenue]]/Table7[[#This Row],[Orders]]</f>
        <v>7710</v>
      </c>
      <c r="H563" s="21" t="str">
        <f>IF(Table7[[#This Row],[Orders]]=1,"New",IF(Table7[[#This Row],[Orders]]&lt;=3,"Returning","Loyal"))</f>
        <v>Returning</v>
      </c>
    </row>
    <row r="564" spans="1:8" x14ac:dyDescent="0.25">
      <c r="A564" t="s">
        <v>709</v>
      </c>
      <c r="B564">
        <v>2</v>
      </c>
      <c r="C564">
        <v>6</v>
      </c>
      <c r="D564" s="21">
        <v>186627</v>
      </c>
      <c r="E564" s="21">
        <v>48526.94</v>
      </c>
      <c r="F564" s="2">
        <v>2.5</v>
      </c>
      <c r="G564" s="21">
        <f>Table7[[#This Row],[Total Revenue]]/Table7[[#This Row],[Orders]]</f>
        <v>93313.5</v>
      </c>
      <c r="H564" s="21" t="str">
        <f>IF(Table7[[#This Row],[Orders]]=1,"New",IF(Table7[[#This Row],[Orders]]&lt;=3,"Returning","Loyal"))</f>
        <v>Returning</v>
      </c>
    </row>
    <row r="565" spans="1:8" x14ac:dyDescent="0.25">
      <c r="A565" t="s">
        <v>239</v>
      </c>
      <c r="B565">
        <v>6</v>
      </c>
      <c r="C565">
        <v>8</v>
      </c>
      <c r="D565" s="21">
        <v>176745.2</v>
      </c>
      <c r="E565" s="21">
        <v>48437.64</v>
      </c>
      <c r="F565" s="2">
        <v>3.25</v>
      </c>
      <c r="G565" s="21">
        <f>Table7[[#This Row],[Total Revenue]]/Table7[[#This Row],[Orders]]</f>
        <v>29457.533333333336</v>
      </c>
      <c r="H565" s="21" t="str">
        <f>IF(Table7[[#This Row],[Orders]]=1,"New",IF(Table7[[#This Row],[Orders]]&lt;=3,"Returning","Loyal"))</f>
        <v>Loyal</v>
      </c>
    </row>
    <row r="566" spans="1:8" x14ac:dyDescent="0.25">
      <c r="A566" t="s">
        <v>766</v>
      </c>
      <c r="B566">
        <v>6</v>
      </c>
      <c r="C566">
        <v>9</v>
      </c>
      <c r="D566" s="21">
        <v>395212.55</v>
      </c>
      <c r="E566" s="21">
        <v>97759.42</v>
      </c>
      <c r="F566" s="2">
        <v>3.1666666666666665</v>
      </c>
      <c r="G566" s="21">
        <f>Table7[[#This Row],[Total Revenue]]/Table7[[#This Row],[Orders]]</f>
        <v>65868.758333333331</v>
      </c>
      <c r="H566" s="21" t="str">
        <f>IF(Table7[[#This Row],[Orders]]=1,"New",IF(Table7[[#This Row],[Orders]]&lt;=3,"Returning","Loyal"))</f>
        <v>Loyal</v>
      </c>
    </row>
    <row r="567" spans="1:8" x14ac:dyDescent="0.25">
      <c r="A567" t="s">
        <v>633</v>
      </c>
      <c r="B567">
        <v>7</v>
      </c>
      <c r="C567">
        <v>11</v>
      </c>
      <c r="D567" s="21">
        <v>508676.65</v>
      </c>
      <c r="E567" s="21">
        <v>135549.34</v>
      </c>
      <c r="F567" s="2">
        <v>4.2</v>
      </c>
      <c r="G567" s="21">
        <f>Table7[[#This Row],[Total Revenue]]/Table7[[#This Row],[Orders]]</f>
        <v>72668.092857142867</v>
      </c>
      <c r="H567" s="21" t="str">
        <f>IF(Table7[[#This Row],[Orders]]=1,"New",IF(Table7[[#This Row],[Orders]]&lt;=3,"Returning","Loyal"))</f>
        <v>Loyal</v>
      </c>
    </row>
    <row r="568" spans="1:8" x14ac:dyDescent="0.25">
      <c r="A568" t="s">
        <v>898</v>
      </c>
      <c r="B568">
        <v>4</v>
      </c>
      <c r="C568">
        <v>8</v>
      </c>
      <c r="D568" s="21">
        <v>299121.3</v>
      </c>
      <c r="E568" s="21">
        <v>93675.11</v>
      </c>
      <c r="F568" s="2">
        <v>3.75</v>
      </c>
      <c r="G568" s="21">
        <f>Table7[[#This Row],[Total Revenue]]/Table7[[#This Row],[Orders]]</f>
        <v>74780.324999999997</v>
      </c>
      <c r="H568" s="21" t="str">
        <f>IF(Table7[[#This Row],[Orders]]=1,"New",IF(Table7[[#This Row],[Orders]]&lt;=3,"Returning","Loyal"))</f>
        <v>Loyal</v>
      </c>
    </row>
    <row r="569" spans="1:8" x14ac:dyDescent="0.25">
      <c r="A569" t="s">
        <v>460</v>
      </c>
      <c r="B569">
        <v>3</v>
      </c>
      <c r="C569">
        <v>4</v>
      </c>
      <c r="D569" s="21">
        <v>53341.850000000006</v>
      </c>
      <c r="E569" s="21">
        <v>16063</v>
      </c>
      <c r="F569" s="2">
        <v>4</v>
      </c>
      <c r="G569" s="21">
        <f>Table7[[#This Row],[Total Revenue]]/Table7[[#This Row],[Orders]]</f>
        <v>17780.616666666669</v>
      </c>
      <c r="H569" s="21" t="str">
        <f>IF(Table7[[#This Row],[Orders]]=1,"New",IF(Table7[[#This Row],[Orders]]&lt;=3,"Returning","Loyal"))</f>
        <v>Returning</v>
      </c>
    </row>
    <row r="570" spans="1:8" x14ac:dyDescent="0.25">
      <c r="A570" t="s">
        <v>409</v>
      </c>
      <c r="B570">
        <v>2</v>
      </c>
      <c r="C570">
        <v>4</v>
      </c>
      <c r="D570" s="21">
        <v>101729.55</v>
      </c>
      <c r="E570" s="21">
        <v>36582.9</v>
      </c>
      <c r="F570" s="2">
        <v>1</v>
      </c>
      <c r="G570" s="21">
        <f>Table7[[#This Row],[Total Revenue]]/Table7[[#This Row],[Orders]]</f>
        <v>50864.775000000001</v>
      </c>
      <c r="H570" s="21" t="str">
        <f>IF(Table7[[#This Row],[Orders]]=1,"New",IF(Table7[[#This Row],[Orders]]&lt;=3,"Returning","Loyal"))</f>
        <v>Returning</v>
      </c>
    </row>
    <row r="571" spans="1:8" x14ac:dyDescent="0.25">
      <c r="A571" t="s">
        <v>945</v>
      </c>
      <c r="B571">
        <v>5</v>
      </c>
      <c r="C571">
        <v>6</v>
      </c>
      <c r="D571" s="21">
        <v>138365.6</v>
      </c>
      <c r="E571" s="21">
        <v>36617.78</v>
      </c>
      <c r="F571" s="2">
        <v>2.3333333333333335</v>
      </c>
      <c r="G571" s="21">
        <f>Table7[[#This Row],[Total Revenue]]/Table7[[#This Row],[Orders]]</f>
        <v>27673.120000000003</v>
      </c>
      <c r="H571" s="21" t="str">
        <f>IF(Table7[[#This Row],[Orders]]=1,"New",IF(Table7[[#This Row],[Orders]]&lt;=3,"Returning","Loyal"))</f>
        <v>Loyal</v>
      </c>
    </row>
    <row r="572" spans="1:8" x14ac:dyDescent="0.25">
      <c r="A572" t="s">
        <v>199</v>
      </c>
      <c r="B572">
        <v>5</v>
      </c>
      <c r="C572">
        <v>8</v>
      </c>
      <c r="D572" s="21">
        <v>410741.4</v>
      </c>
      <c r="E572" s="21">
        <v>145169.89000000001</v>
      </c>
      <c r="F572" s="2">
        <v>2.6</v>
      </c>
      <c r="G572" s="21">
        <f>Table7[[#This Row],[Total Revenue]]/Table7[[#This Row],[Orders]]</f>
        <v>82148.28</v>
      </c>
      <c r="H572" s="21" t="str">
        <f>IF(Table7[[#This Row],[Orders]]=1,"New",IF(Table7[[#This Row],[Orders]]&lt;=3,"Returning","Loyal"))</f>
        <v>Loyal</v>
      </c>
    </row>
    <row r="573" spans="1:8" x14ac:dyDescent="0.25">
      <c r="G573" s="21"/>
      <c r="H573" s="21"/>
    </row>
  </sheetData>
  <mergeCells count="2">
    <mergeCell ref="A1:C1"/>
    <mergeCell ref="D1:E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
  <sheetViews>
    <sheetView topLeftCell="A7" zoomScale="80" zoomScaleNormal="80" workbookViewId="0">
      <selection activeCell="E33" sqref="E33"/>
    </sheetView>
  </sheetViews>
  <sheetFormatPr defaultRowHeight="15" x14ac:dyDescent="0.25"/>
  <cols>
    <col min="1" max="1" width="11.7109375" customWidth="1"/>
    <col min="2" max="2" width="19.140625" style="4" customWidth="1"/>
    <col min="3" max="3" width="34.7109375" style="3" customWidth="1"/>
    <col min="5" max="5" width="23.140625" customWidth="1"/>
    <col min="6" max="6" width="22.28515625" style="4" customWidth="1"/>
    <col min="7" max="7" width="25.85546875" style="4" customWidth="1"/>
    <col min="8" max="8" width="20.5703125" customWidth="1"/>
  </cols>
  <sheetData>
    <row r="1" spans="1:8" ht="36" customHeight="1" x14ac:dyDescent="0.5">
      <c r="A1" s="31" t="s">
        <v>2472</v>
      </c>
      <c r="B1" s="31"/>
      <c r="C1" s="31"/>
    </row>
    <row r="2" spans="1:8" s="16" customFormat="1" ht="21.75" customHeight="1" x14ac:dyDescent="0.5">
      <c r="A2" s="13"/>
      <c r="B2" s="14"/>
      <c r="C2" s="15"/>
      <c r="F2" s="17"/>
      <c r="G2" s="17"/>
    </row>
    <row r="3" spans="1:8" x14ac:dyDescent="0.25">
      <c r="A3" t="s">
        <v>2454</v>
      </c>
      <c r="B3" s="4" t="s">
        <v>2456</v>
      </c>
      <c r="C3" s="3" t="s">
        <v>2473</v>
      </c>
      <c r="D3" t="s">
        <v>2455</v>
      </c>
      <c r="E3" t="s">
        <v>2469</v>
      </c>
      <c r="F3" s="4" t="s">
        <v>2457</v>
      </c>
      <c r="G3" s="4" t="s">
        <v>2458</v>
      </c>
      <c r="H3" t="s">
        <v>4</v>
      </c>
    </row>
    <row r="4" spans="1:8" x14ac:dyDescent="0.25">
      <c r="A4" t="s">
        <v>140</v>
      </c>
      <c r="B4" s="4">
        <v>679428.75</v>
      </c>
      <c r="C4" s="3">
        <v>4.333333333333333</v>
      </c>
      <c r="D4">
        <v>6</v>
      </c>
      <c r="E4">
        <v>11</v>
      </c>
      <c r="F4" s="4">
        <v>187091.8</v>
      </c>
      <c r="G4" s="4">
        <v>113238.125</v>
      </c>
      <c r="H4" t="s">
        <v>36</v>
      </c>
    </row>
    <row r="5" spans="1:8" x14ac:dyDescent="0.25">
      <c r="A5" t="s">
        <v>121</v>
      </c>
      <c r="B5" s="4">
        <v>593478.45000000007</v>
      </c>
      <c r="C5" s="3">
        <v>4</v>
      </c>
      <c r="D5">
        <v>7</v>
      </c>
      <c r="E5">
        <v>11</v>
      </c>
      <c r="F5" s="4">
        <v>168278.09000000003</v>
      </c>
      <c r="G5" s="4">
        <v>84782.635714285731</v>
      </c>
      <c r="H5" t="s">
        <v>36</v>
      </c>
    </row>
    <row r="6" spans="1:8" x14ac:dyDescent="0.25">
      <c r="A6" t="s">
        <v>819</v>
      </c>
      <c r="B6" s="4">
        <v>568307.70000000007</v>
      </c>
      <c r="C6" s="3">
        <v>4.5</v>
      </c>
      <c r="D6">
        <v>4</v>
      </c>
      <c r="E6">
        <v>10</v>
      </c>
      <c r="F6" s="4">
        <v>185149.93</v>
      </c>
      <c r="G6" s="4">
        <v>142076.92500000002</v>
      </c>
      <c r="H6" t="s">
        <v>36</v>
      </c>
    </row>
    <row r="7" spans="1:8" x14ac:dyDescent="0.25">
      <c r="A7" t="s">
        <v>62</v>
      </c>
      <c r="B7" s="4">
        <v>566513.65</v>
      </c>
      <c r="C7" s="3">
        <v>4.2</v>
      </c>
      <c r="D7">
        <v>5</v>
      </c>
      <c r="E7">
        <v>12</v>
      </c>
      <c r="F7" s="4">
        <v>181463.16999999998</v>
      </c>
      <c r="G7" s="4">
        <v>113302.73000000001</v>
      </c>
      <c r="H7" t="s">
        <v>36</v>
      </c>
    </row>
    <row r="8" spans="1:8" x14ac:dyDescent="0.25">
      <c r="A8" t="s">
        <v>668</v>
      </c>
      <c r="B8" s="4">
        <v>563723.69999999995</v>
      </c>
      <c r="C8" s="3">
        <v>2.5</v>
      </c>
      <c r="D8">
        <v>8</v>
      </c>
      <c r="E8">
        <v>15</v>
      </c>
      <c r="F8" s="4">
        <v>197084.07</v>
      </c>
      <c r="G8" s="4">
        <v>70465.462499999994</v>
      </c>
      <c r="H8" t="s">
        <v>36</v>
      </c>
    </row>
    <row r="9" spans="1:8" x14ac:dyDescent="0.25">
      <c r="A9" t="s">
        <v>203</v>
      </c>
      <c r="B9" s="4">
        <v>533271.85</v>
      </c>
      <c r="C9" s="3">
        <v>3.2</v>
      </c>
      <c r="D9">
        <v>9</v>
      </c>
      <c r="E9">
        <v>13</v>
      </c>
      <c r="F9" s="4">
        <v>201513.59000000003</v>
      </c>
      <c r="G9" s="4">
        <v>59252.427777777775</v>
      </c>
      <c r="H9" t="s">
        <v>36</v>
      </c>
    </row>
    <row r="10" spans="1:8" x14ac:dyDescent="0.25">
      <c r="A10" t="s">
        <v>500</v>
      </c>
      <c r="B10" s="4">
        <v>526750.10000000009</v>
      </c>
      <c r="C10" s="3">
        <v>4</v>
      </c>
      <c r="D10">
        <v>8</v>
      </c>
      <c r="E10">
        <v>14</v>
      </c>
      <c r="F10" s="4">
        <v>191249.62999999998</v>
      </c>
      <c r="G10" s="4">
        <v>65843.762500000012</v>
      </c>
      <c r="H10" t="s">
        <v>36</v>
      </c>
    </row>
    <row r="11" spans="1:8" x14ac:dyDescent="0.25">
      <c r="A11" t="s">
        <v>633</v>
      </c>
      <c r="B11" s="4">
        <v>508676.65</v>
      </c>
      <c r="C11" s="3">
        <v>4.2</v>
      </c>
      <c r="D11">
        <v>7</v>
      </c>
      <c r="E11">
        <v>11</v>
      </c>
      <c r="F11" s="4">
        <v>135549.34</v>
      </c>
      <c r="G11" s="4">
        <v>72668.092857142867</v>
      </c>
      <c r="H11" t="s">
        <v>36</v>
      </c>
    </row>
    <row r="12" spans="1:8" x14ac:dyDescent="0.25">
      <c r="A12" t="s">
        <v>785</v>
      </c>
      <c r="B12" s="4">
        <v>507695.35</v>
      </c>
      <c r="C12" s="3">
        <v>3</v>
      </c>
      <c r="D12">
        <v>6</v>
      </c>
      <c r="E12">
        <v>11</v>
      </c>
      <c r="F12" s="4">
        <v>151162.72</v>
      </c>
      <c r="G12" s="4">
        <v>84615.891666666663</v>
      </c>
      <c r="H12" t="s">
        <v>36</v>
      </c>
    </row>
    <row r="13" spans="1:8" ht="15" customHeight="1" x14ac:dyDescent="0.25">
      <c r="A13" t="s">
        <v>1449</v>
      </c>
      <c r="B13" s="4">
        <v>476915.75</v>
      </c>
      <c r="C13" s="3">
        <v>4.833333333333333</v>
      </c>
      <c r="D13">
        <v>6</v>
      </c>
      <c r="E13">
        <v>11</v>
      </c>
      <c r="F13" s="4">
        <v>146960.56999999998</v>
      </c>
      <c r="G13" s="4">
        <v>79485.958333333328</v>
      </c>
      <c r="H13" t="s">
        <v>36</v>
      </c>
    </row>
    <row r="14" spans="1:8" ht="38.25" customHeight="1" x14ac:dyDescent="0.25"/>
    <row r="15" spans="1:8" ht="35.25" customHeight="1" x14ac:dyDescent="0.5">
      <c r="A15" s="31" t="s">
        <v>2474</v>
      </c>
      <c r="B15" s="31"/>
      <c r="C15" s="31"/>
      <c r="D15" s="31"/>
      <c r="E15" s="31"/>
    </row>
    <row r="16" spans="1:8" s="16" customFormat="1" ht="23.25" customHeight="1" x14ac:dyDescent="0.5">
      <c r="A16" s="13"/>
      <c r="B16" s="13"/>
      <c r="C16" s="13"/>
      <c r="D16" s="13"/>
      <c r="E16" s="13"/>
      <c r="F16" s="17"/>
      <c r="G16" s="17"/>
    </row>
    <row r="18" spans="1:8" x14ac:dyDescent="0.25">
      <c r="A18" t="s">
        <v>2454</v>
      </c>
      <c r="B18" s="4" t="s">
        <v>2456</v>
      </c>
      <c r="C18" s="3" t="s">
        <v>2473</v>
      </c>
      <c r="D18" t="s">
        <v>2455</v>
      </c>
      <c r="E18" t="s">
        <v>2469</v>
      </c>
      <c r="F18" s="4" t="s">
        <v>2457</v>
      </c>
      <c r="G18" s="4" t="s">
        <v>2458</v>
      </c>
      <c r="H18" t="s">
        <v>4</v>
      </c>
    </row>
    <row r="19" spans="1:8" x14ac:dyDescent="0.25">
      <c r="A19" t="s">
        <v>156</v>
      </c>
      <c r="B19" s="4">
        <v>322798.55000000005</v>
      </c>
      <c r="C19" s="3">
        <v>3</v>
      </c>
      <c r="D19">
        <v>9</v>
      </c>
      <c r="E19">
        <v>17</v>
      </c>
      <c r="F19" s="4">
        <v>108631.07</v>
      </c>
      <c r="G19" s="4">
        <v>35866.505555555559</v>
      </c>
      <c r="H19" t="s">
        <v>36</v>
      </c>
    </row>
    <row r="20" spans="1:8" x14ac:dyDescent="0.25">
      <c r="A20" t="s">
        <v>1037</v>
      </c>
      <c r="B20" s="4">
        <v>250755.55</v>
      </c>
      <c r="C20" s="3">
        <v>4.2</v>
      </c>
      <c r="D20">
        <v>8</v>
      </c>
      <c r="E20">
        <v>13</v>
      </c>
      <c r="F20" s="4">
        <v>85864.52</v>
      </c>
      <c r="G20" s="4">
        <v>31344.443749999999</v>
      </c>
      <c r="H20" t="s">
        <v>36</v>
      </c>
    </row>
    <row r="21" spans="1:8" x14ac:dyDescent="0.25">
      <c r="A21" t="s">
        <v>282</v>
      </c>
      <c r="B21" s="4">
        <v>352723.69999999995</v>
      </c>
      <c r="C21" s="3">
        <v>3.1428571428571428</v>
      </c>
      <c r="D21">
        <v>8</v>
      </c>
      <c r="E21">
        <v>12</v>
      </c>
      <c r="F21" s="4">
        <v>102231.94</v>
      </c>
      <c r="G21" s="4">
        <v>44090.462499999994</v>
      </c>
      <c r="H21" t="s">
        <v>36</v>
      </c>
    </row>
    <row r="22" spans="1:8" x14ac:dyDescent="0.25">
      <c r="A22" t="s">
        <v>380</v>
      </c>
      <c r="B22" s="4">
        <v>118757.5</v>
      </c>
      <c r="C22" s="3">
        <v>4.1428571428571432</v>
      </c>
      <c r="D22">
        <v>7</v>
      </c>
      <c r="E22">
        <v>10</v>
      </c>
      <c r="F22" s="4">
        <v>40047.279999999999</v>
      </c>
      <c r="G22" s="4">
        <v>16965.357142857141</v>
      </c>
      <c r="H22" t="s">
        <v>36</v>
      </c>
    </row>
    <row r="23" spans="1:8" x14ac:dyDescent="0.25">
      <c r="A23" t="s">
        <v>714</v>
      </c>
      <c r="B23" s="4">
        <v>186674.55</v>
      </c>
      <c r="C23" s="3">
        <v>3</v>
      </c>
      <c r="D23">
        <v>7</v>
      </c>
      <c r="E23">
        <v>9</v>
      </c>
      <c r="F23" s="4">
        <v>60053.389999999992</v>
      </c>
      <c r="G23" s="4">
        <v>26667.792857142857</v>
      </c>
      <c r="H23" t="s">
        <v>36</v>
      </c>
    </row>
    <row r="24" spans="1:8" x14ac:dyDescent="0.25">
      <c r="A24" t="s">
        <v>195</v>
      </c>
      <c r="B24" s="4">
        <v>290976.89999999997</v>
      </c>
      <c r="C24" s="3">
        <v>4.1428571428571432</v>
      </c>
      <c r="D24">
        <v>7</v>
      </c>
      <c r="E24">
        <v>13</v>
      </c>
      <c r="F24" s="4">
        <v>79241.850000000006</v>
      </c>
      <c r="G24" s="4">
        <v>41568.12857142857</v>
      </c>
      <c r="H24" t="s">
        <v>36</v>
      </c>
    </row>
    <row r="25" spans="1:8" x14ac:dyDescent="0.25">
      <c r="A25" t="s">
        <v>595</v>
      </c>
      <c r="B25" s="4">
        <v>294051.20000000001</v>
      </c>
      <c r="C25" s="3">
        <v>3</v>
      </c>
      <c r="D25">
        <v>7</v>
      </c>
      <c r="E25">
        <v>9</v>
      </c>
      <c r="F25" s="4">
        <v>80390.329999999987</v>
      </c>
      <c r="G25" s="4">
        <v>42007.314285714288</v>
      </c>
      <c r="H25" t="s">
        <v>36</v>
      </c>
    </row>
    <row r="26" spans="1:8" x14ac:dyDescent="0.25">
      <c r="A26" t="s">
        <v>109</v>
      </c>
      <c r="B26" s="4">
        <v>306395.7</v>
      </c>
      <c r="C26" s="3">
        <v>3.3333333333333335</v>
      </c>
      <c r="D26">
        <v>7</v>
      </c>
      <c r="E26">
        <v>10</v>
      </c>
      <c r="F26" s="4">
        <v>108365.16</v>
      </c>
      <c r="G26" s="4">
        <v>43770.814285714288</v>
      </c>
      <c r="H26" t="s">
        <v>36</v>
      </c>
    </row>
    <row r="27" spans="1:8" x14ac:dyDescent="0.25">
      <c r="A27" t="s">
        <v>172</v>
      </c>
      <c r="B27" s="4">
        <v>361439.5</v>
      </c>
      <c r="C27" s="3">
        <v>3.8333333333333335</v>
      </c>
      <c r="D27">
        <v>7</v>
      </c>
      <c r="E27">
        <v>12</v>
      </c>
      <c r="F27" s="4">
        <v>126152.53000000001</v>
      </c>
      <c r="G27" s="4">
        <v>51634.214285714283</v>
      </c>
      <c r="H27" t="s">
        <v>36</v>
      </c>
    </row>
    <row r="28" spans="1:8" x14ac:dyDescent="0.25">
      <c r="A28" t="s">
        <v>543</v>
      </c>
      <c r="B28" s="4">
        <v>140588.15</v>
      </c>
      <c r="C28" s="3">
        <v>2.4</v>
      </c>
      <c r="D28">
        <v>6</v>
      </c>
      <c r="E28">
        <v>8</v>
      </c>
      <c r="F28" s="4">
        <v>43327.79</v>
      </c>
      <c r="G28" s="4">
        <v>23431.358333333334</v>
      </c>
      <c r="H28" t="s">
        <v>36</v>
      </c>
    </row>
  </sheetData>
  <mergeCells count="2">
    <mergeCell ref="A1:C1"/>
    <mergeCell ref="A15:E15"/>
  </mergeCells>
  <pageMargins left="0.7" right="0.7" top="0.75" bottom="0.75" header="0.3" footer="0.3"/>
  <pageSetup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4"/>
  <sheetViews>
    <sheetView topLeftCell="I1" zoomScale="80" zoomScaleNormal="80" workbookViewId="0">
      <selection activeCell="P13" sqref="P13"/>
    </sheetView>
  </sheetViews>
  <sheetFormatPr defaultRowHeight="15" x14ac:dyDescent="0.25"/>
  <cols>
    <col min="1" max="1" width="15.28515625" customWidth="1"/>
    <col min="2" max="2" width="13" customWidth="1"/>
    <col min="3" max="4" width="9.140625" style="5"/>
    <col min="5" max="5" width="11.85546875" style="5" customWidth="1"/>
    <col min="6" max="6" width="13.42578125" style="5" customWidth="1"/>
    <col min="7" max="7" width="27.5703125" customWidth="1"/>
    <col min="8" max="8" width="20.5703125" customWidth="1"/>
    <col min="9" max="10" width="9.140625" style="5"/>
    <col min="11" max="11" width="11.85546875" style="5" customWidth="1"/>
    <col min="12" max="12" width="13.42578125" style="5" customWidth="1"/>
    <col min="14" max="14" width="28.140625" customWidth="1"/>
    <col min="15" max="15" width="40.140625" style="3" customWidth="1"/>
    <col min="16" max="16" width="45.140625" style="4" customWidth="1"/>
    <col min="17" max="17" width="36.28515625" style="4" customWidth="1"/>
    <col min="18" max="18" width="21.42578125" customWidth="1"/>
  </cols>
  <sheetData>
    <row r="1" spans="1:18" ht="26.25" x14ac:dyDescent="0.4">
      <c r="A1" s="10" t="s">
        <v>2460</v>
      </c>
      <c r="B1" s="10"/>
      <c r="C1" s="6"/>
      <c r="D1" s="6"/>
      <c r="E1" s="6"/>
      <c r="F1" s="6"/>
      <c r="H1" s="9" t="s">
        <v>2461</v>
      </c>
      <c r="I1" s="8"/>
      <c r="J1" s="8"/>
      <c r="K1" s="8"/>
      <c r="L1" s="7"/>
      <c r="O1" s="10" t="s">
        <v>2464</v>
      </c>
      <c r="P1" s="11"/>
      <c r="Q1" s="12"/>
    </row>
    <row r="3" spans="1:18" x14ac:dyDescent="0.25">
      <c r="A3" t="s">
        <v>3</v>
      </c>
      <c r="B3" s="5" t="s">
        <v>36</v>
      </c>
      <c r="C3" s="5" t="s">
        <v>46</v>
      </c>
      <c r="D3" s="5" t="s">
        <v>26</v>
      </c>
      <c r="E3" s="5" t="s">
        <v>2453</v>
      </c>
      <c r="F3"/>
      <c r="H3" t="s">
        <v>2462</v>
      </c>
      <c r="I3" s="5" t="s">
        <v>36</v>
      </c>
      <c r="J3" s="5" t="s">
        <v>46</v>
      </c>
      <c r="K3" s="5" t="s">
        <v>26</v>
      </c>
      <c r="L3" s="5" t="s">
        <v>2453</v>
      </c>
      <c r="O3" t="s">
        <v>4</v>
      </c>
      <c r="P3" s="3" t="s">
        <v>2463</v>
      </c>
      <c r="Q3" s="4" t="s">
        <v>2458</v>
      </c>
      <c r="R3" s="4" t="s">
        <v>2459</v>
      </c>
    </row>
    <row r="4" spans="1:18" x14ac:dyDescent="0.25">
      <c r="A4" t="s">
        <v>79</v>
      </c>
      <c r="B4" s="22">
        <v>0.15469613259668508</v>
      </c>
      <c r="C4" s="22">
        <v>0.4585635359116022</v>
      </c>
      <c r="D4" s="22">
        <v>0.38674033149171272</v>
      </c>
      <c r="E4" s="22">
        <v>1</v>
      </c>
      <c r="F4"/>
      <c r="H4" t="s">
        <v>39</v>
      </c>
      <c r="I4" s="5">
        <v>0.17499999999999999</v>
      </c>
      <c r="J4" s="5">
        <v>0.47499999999999998</v>
      </c>
      <c r="K4" s="5">
        <v>0.35</v>
      </c>
      <c r="L4" s="5">
        <v>1</v>
      </c>
      <c r="O4" t="s">
        <v>36</v>
      </c>
      <c r="P4" s="3">
        <v>4.9130434782608692</v>
      </c>
      <c r="Q4" s="4">
        <v>51356.792900563603</v>
      </c>
      <c r="R4" s="4">
        <v>253414.59758454116</v>
      </c>
    </row>
    <row r="5" spans="1:18" x14ac:dyDescent="0.25">
      <c r="A5" t="s">
        <v>97</v>
      </c>
      <c r="B5" s="22">
        <v>0.15757575757575756</v>
      </c>
      <c r="C5" s="22">
        <v>0.49090909090909091</v>
      </c>
      <c r="D5" s="22">
        <v>0.3515151515151515</v>
      </c>
      <c r="E5" s="22">
        <v>1</v>
      </c>
      <c r="F5"/>
      <c r="H5" t="s">
        <v>91</v>
      </c>
      <c r="I5" s="5">
        <v>0.18092105263157895</v>
      </c>
      <c r="J5" s="5">
        <v>0.44078947368421051</v>
      </c>
      <c r="K5" s="5">
        <v>0.37828947368421051</v>
      </c>
      <c r="L5" s="5">
        <v>1</v>
      </c>
      <c r="O5" t="s">
        <v>46</v>
      </c>
      <c r="P5" s="3">
        <v>1</v>
      </c>
      <c r="Q5" s="4">
        <v>49245.873456790105</v>
      </c>
      <c r="R5" s="4">
        <v>49245.873456790105</v>
      </c>
    </row>
    <row r="6" spans="1:18" x14ac:dyDescent="0.25">
      <c r="A6" t="s">
        <v>45</v>
      </c>
      <c r="B6" s="22">
        <v>0.1419753086419753</v>
      </c>
      <c r="C6" s="22">
        <v>0.48765432098765432</v>
      </c>
      <c r="D6" s="22">
        <v>0.37037037037037035</v>
      </c>
      <c r="E6" s="22">
        <v>1</v>
      </c>
      <c r="F6"/>
      <c r="H6" t="s">
        <v>55</v>
      </c>
      <c r="I6" s="5">
        <v>0.22108843537414966</v>
      </c>
      <c r="J6" s="5">
        <v>0.48299319727891155</v>
      </c>
      <c r="K6" s="5">
        <v>0.29591836734693877</v>
      </c>
      <c r="L6" s="5">
        <v>1</v>
      </c>
      <c r="O6" t="s">
        <v>26</v>
      </c>
      <c r="P6" s="3">
        <v>2.4982206405693952</v>
      </c>
      <c r="Q6" s="4">
        <v>54483.037129300166</v>
      </c>
      <c r="R6" s="4">
        <v>137083.29234875436</v>
      </c>
    </row>
    <row r="7" spans="1:18" x14ac:dyDescent="0.25">
      <c r="A7" t="s">
        <v>71</v>
      </c>
      <c r="B7" s="22">
        <v>0.22277227722772278</v>
      </c>
      <c r="C7" s="22">
        <v>0.40594059405940597</v>
      </c>
      <c r="D7" s="22">
        <v>0.37128712871287128</v>
      </c>
      <c r="E7" s="22">
        <v>1</v>
      </c>
      <c r="F7"/>
      <c r="H7" t="s">
        <v>49</v>
      </c>
      <c r="I7" s="5">
        <v>0.19032258064516128</v>
      </c>
      <c r="J7" s="5">
        <v>0.40322580645161288</v>
      </c>
      <c r="K7" s="5">
        <v>0.40645161290322579</v>
      </c>
      <c r="L7" s="5">
        <v>1</v>
      </c>
      <c r="O7" t="s">
        <v>2467</v>
      </c>
      <c r="P7" s="3">
        <f>SUBTOTAL(101,Table10[Average Purchase Frequency])</f>
        <v>2.8037547062767545</v>
      </c>
      <c r="Q7" s="20">
        <f>SUBTOTAL(101,Table10[Average Order_Value])</f>
        <v>51695.234495551289</v>
      </c>
      <c r="R7" s="20">
        <f>SUBTOTAL(101,Table10[Average Revenue])</f>
        <v>146581.25446336187</v>
      </c>
    </row>
    <row r="8" spans="1:18" x14ac:dyDescent="0.25">
      <c r="A8" t="s">
        <v>25</v>
      </c>
      <c r="B8" s="22">
        <v>0.2138728323699422</v>
      </c>
      <c r="C8" s="22">
        <v>0.43930635838150289</v>
      </c>
      <c r="D8" s="22">
        <v>0.34682080924855491</v>
      </c>
      <c r="E8" s="22">
        <v>1</v>
      </c>
      <c r="F8"/>
      <c r="H8" t="s">
        <v>29</v>
      </c>
      <c r="I8" s="5">
        <v>0.16176470588235295</v>
      </c>
      <c r="J8" s="5">
        <v>0.4889705882352941</v>
      </c>
      <c r="K8" s="5">
        <v>0.34926470588235292</v>
      </c>
      <c r="L8" s="5">
        <v>1</v>
      </c>
      <c r="N8" s="3"/>
      <c r="O8" s="4"/>
      <c r="Q8"/>
    </row>
    <row r="9" spans="1:18" x14ac:dyDescent="0.25">
      <c r="A9" t="s">
        <v>63</v>
      </c>
      <c r="B9" s="22">
        <v>0.19075144508670519</v>
      </c>
      <c r="C9" s="22">
        <v>0.46242774566473988</v>
      </c>
      <c r="D9" s="22">
        <v>0.34682080924855491</v>
      </c>
      <c r="E9" s="22">
        <v>1</v>
      </c>
      <c r="F9"/>
      <c r="H9" t="s">
        <v>60</v>
      </c>
      <c r="I9" s="5">
        <v>0.18318318318318319</v>
      </c>
      <c r="J9" s="5">
        <v>0.44744744744744747</v>
      </c>
      <c r="K9" s="5">
        <v>0.36936936936936937</v>
      </c>
      <c r="L9" s="5">
        <v>1</v>
      </c>
      <c r="N9" s="3"/>
      <c r="O9" s="4"/>
      <c r="Q9"/>
    </row>
    <row r="10" spans="1:18" x14ac:dyDescent="0.25">
      <c r="A10" t="s">
        <v>90</v>
      </c>
      <c r="B10" s="22">
        <v>0.17525773195876287</v>
      </c>
      <c r="C10" s="22">
        <v>0.50515463917525771</v>
      </c>
      <c r="D10" s="22">
        <v>0.31958762886597936</v>
      </c>
      <c r="E10" s="22">
        <v>1</v>
      </c>
      <c r="F10"/>
      <c r="H10" s="5" t="s">
        <v>2471</v>
      </c>
      <c r="I10" s="5">
        <v>0.2857142857142857</v>
      </c>
      <c r="J10" s="5">
        <v>0.2857142857142857</v>
      </c>
      <c r="K10" s="5">
        <v>0.42857142857142855</v>
      </c>
      <c r="L10" s="5">
        <v>1</v>
      </c>
      <c r="N10" s="3"/>
      <c r="O10" s="4"/>
      <c r="Q10"/>
    </row>
    <row r="11" spans="1:18" x14ac:dyDescent="0.25">
      <c r="A11" t="s">
        <v>67</v>
      </c>
      <c r="B11" s="22">
        <v>0.18817204301075269</v>
      </c>
      <c r="C11" s="22">
        <v>0.39784946236559138</v>
      </c>
      <c r="D11" s="22">
        <v>0.41397849462365593</v>
      </c>
      <c r="E11" s="22">
        <v>1</v>
      </c>
      <c r="F11"/>
      <c r="H11" s="5"/>
      <c r="L11"/>
      <c r="N11" s="3"/>
      <c r="O11" s="4"/>
      <c r="Q11"/>
    </row>
    <row r="12" spans="1:18" x14ac:dyDescent="0.25">
      <c r="A12" t="s">
        <v>124</v>
      </c>
      <c r="B12" s="22">
        <v>0.18404907975460122</v>
      </c>
      <c r="C12" s="22">
        <v>0.44171779141104295</v>
      </c>
      <c r="D12" s="22">
        <v>0.37423312883435583</v>
      </c>
      <c r="E12" s="22">
        <v>1</v>
      </c>
      <c r="F12"/>
      <c r="H12" s="5"/>
      <c r="L12"/>
      <c r="N12" s="3"/>
      <c r="O12" s="4"/>
      <c r="Q12"/>
    </row>
    <row r="13" spans="1:18" x14ac:dyDescent="0.25">
      <c r="A13" t="s">
        <v>154</v>
      </c>
      <c r="B13" s="22">
        <v>0.22513089005235601</v>
      </c>
      <c r="C13" s="22">
        <v>0.46596858638743455</v>
      </c>
      <c r="D13" s="22">
        <v>0.30890052356020942</v>
      </c>
      <c r="E13" s="22">
        <v>1</v>
      </c>
      <c r="F13"/>
      <c r="G13" s="5"/>
      <c r="H13" s="5"/>
      <c r="L13"/>
      <c r="N13" s="3"/>
      <c r="O13" s="4"/>
      <c r="Q13"/>
    </row>
    <row r="14" spans="1:18" x14ac:dyDescent="0.25">
      <c r="A14" t="s">
        <v>2471</v>
      </c>
      <c r="B14" s="22">
        <v>0.1</v>
      </c>
      <c r="C14" s="22">
        <v>0.4</v>
      </c>
      <c r="D14" s="22">
        <v>0.5</v>
      </c>
      <c r="E14" s="22">
        <v>1</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814"/>
  <sheetViews>
    <sheetView topLeftCell="A1460" workbookViewId="0">
      <selection activeCell="I1802" sqref="I1802"/>
    </sheetView>
  </sheetViews>
  <sheetFormatPr defaultRowHeight="15" x14ac:dyDescent="0.25"/>
  <cols>
    <col min="1" max="1" width="11.85546875" customWidth="1"/>
    <col min="2" max="2" width="13.42578125" customWidth="1"/>
    <col min="3" max="3" width="14.5703125" customWidth="1"/>
    <col min="4" max="4" width="9.28515625" customWidth="1"/>
    <col min="5" max="5" width="20.5703125" customWidth="1"/>
    <col min="6" max="6" width="11" customWidth="1"/>
    <col min="7" max="7" width="10" customWidth="1"/>
    <col min="8" max="8" width="10.85546875" customWidth="1"/>
    <col min="9" max="9" width="12.42578125" customWidth="1"/>
    <col min="10" max="10" width="14.5703125" customWidth="1"/>
    <col min="11" max="11" width="19" customWidth="1"/>
    <col min="12" max="12" width="11" customWidth="1"/>
    <col min="14" max="14" width="14.140625" customWidth="1"/>
    <col min="15" max="15" width="21.42578125" customWidth="1"/>
    <col min="16" max="16" width="17.140625" customWidth="1"/>
    <col min="17" max="17" width="19.140625" customWidth="1"/>
    <col min="18" max="18" width="15.85546875" customWidth="1"/>
    <col min="19" max="19" width="16.7109375" customWidth="1"/>
    <col min="20" max="20" width="15.7109375" customWidth="1"/>
    <col min="21" max="21" width="15.28515625" customWidth="1"/>
    <col min="22" max="22" width="14.7109375" customWidth="1"/>
    <col min="23" max="23" width="18.285156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s="1">
        <v>45985</v>
      </c>
      <c r="C2" t="s">
        <v>24</v>
      </c>
      <c r="D2" t="s">
        <v>25</v>
      </c>
      <c r="E2" t="s">
        <v>26</v>
      </c>
      <c r="F2" t="s">
        <v>27</v>
      </c>
      <c r="G2" t="s">
        <v>28</v>
      </c>
      <c r="H2">
        <v>1</v>
      </c>
      <c r="I2">
        <v>14753</v>
      </c>
      <c r="J2">
        <v>25</v>
      </c>
      <c r="K2">
        <v>3688.25</v>
      </c>
      <c r="L2">
        <v>11064.75</v>
      </c>
      <c r="M2">
        <v>8015.91</v>
      </c>
      <c r="N2">
        <v>3048.84</v>
      </c>
      <c r="O2" t="s">
        <v>29</v>
      </c>
      <c r="P2">
        <v>1206.8399999999999</v>
      </c>
      <c r="Q2" t="s">
        <v>30</v>
      </c>
      <c r="R2" t="s">
        <v>31</v>
      </c>
      <c r="S2">
        <v>5</v>
      </c>
      <c r="T2">
        <v>5</v>
      </c>
      <c r="U2" t="s">
        <v>32</v>
      </c>
      <c r="V2" t="s">
        <v>33</v>
      </c>
      <c r="W2">
        <v>5</v>
      </c>
    </row>
    <row r="3" spans="1:23" x14ac:dyDescent="0.25">
      <c r="A3" t="s">
        <v>34</v>
      </c>
      <c r="B3" s="1">
        <v>45715</v>
      </c>
      <c r="C3" t="s">
        <v>35</v>
      </c>
      <c r="D3" t="s">
        <v>25</v>
      </c>
      <c r="E3" t="s">
        <v>36</v>
      </c>
      <c r="F3" t="s">
        <v>37</v>
      </c>
      <c r="G3" t="s">
        <v>38</v>
      </c>
      <c r="H3">
        <v>1</v>
      </c>
      <c r="I3">
        <v>25931</v>
      </c>
      <c r="J3">
        <v>0</v>
      </c>
      <c r="K3">
        <v>0</v>
      </c>
      <c r="L3">
        <v>25931</v>
      </c>
      <c r="M3">
        <v>16570.34</v>
      </c>
      <c r="N3">
        <v>9360.66</v>
      </c>
      <c r="O3" t="s">
        <v>39</v>
      </c>
      <c r="P3">
        <v>779.59</v>
      </c>
      <c r="Q3" t="s">
        <v>40</v>
      </c>
      <c r="R3" t="s">
        <v>41</v>
      </c>
      <c r="S3">
        <v>2</v>
      </c>
      <c r="T3">
        <v>2</v>
      </c>
      <c r="U3" t="s">
        <v>32</v>
      </c>
      <c r="V3" t="s">
        <v>42</v>
      </c>
    </row>
    <row r="4" spans="1:23" x14ac:dyDescent="0.25">
      <c r="A4" t="s">
        <v>43</v>
      </c>
      <c r="B4" s="1">
        <v>45670</v>
      </c>
      <c r="C4" t="s">
        <v>44</v>
      </c>
      <c r="D4" t="s">
        <v>45</v>
      </c>
      <c r="E4" t="s">
        <v>46</v>
      </c>
      <c r="F4" t="s">
        <v>47</v>
      </c>
      <c r="G4" t="s">
        <v>48</v>
      </c>
      <c r="H4">
        <v>1</v>
      </c>
      <c r="I4">
        <v>52775</v>
      </c>
      <c r="J4">
        <v>10</v>
      </c>
      <c r="K4">
        <v>5277.5</v>
      </c>
      <c r="L4">
        <v>47497.5</v>
      </c>
      <c r="M4">
        <v>33291.42</v>
      </c>
      <c r="N4">
        <v>14206.08</v>
      </c>
      <c r="O4" t="s">
        <v>49</v>
      </c>
      <c r="P4">
        <v>351.55</v>
      </c>
      <c r="Q4" t="s">
        <v>40</v>
      </c>
      <c r="R4" t="s">
        <v>41</v>
      </c>
      <c r="S4">
        <v>2</v>
      </c>
      <c r="T4">
        <v>6</v>
      </c>
      <c r="U4" t="s">
        <v>32</v>
      </c>
      <c r="V4" t="s">
        <v>50</v>
      </c>
      <c r="W4">
        <v>2</v>
      </c>
    </row>
    <row r="5" spans="1:23" x14ac:dyDescent="0.25">
      <c r="A5" t="s">
        <v>51</v>
      </c>
      <c r="B5" s="1">
        <v>45798</v>
      </c>
      <c r="C5" t="s">
        <v>52</v>
      </c>
      <c r="D5" t="s">
        <v>25</v>
      </c>
      <c r="E5" t="s">
        <v>46</v>
      </c>
      <c r="F5" t="s">
        <v>53</v>
      </c>
      <c r="G5" t="s">
        <v>54</v>
      </c>
      <c r="H5">
        <v>1</v>
      </c>
      <c r="I5">
        <v>37074</v>
      </c>
      <c r="J5">
        <v>0</v>
      </c>
      <c r="K5">
        <v>0</v>
      </c>
      <c r="L5">
        <v>37074</v>
      </c>
      <c r="M5">
        <v>21941.7</v>
      </c>
      <c r="N5">
        <v>15132.3</v>
      </c>
      <c r="O5" t="s">
        <v>55</v>
      </c>
      <c r="P5">
        <v>1973.01</v>
      </c>
      <c r="Q5" t="s">
        <v>40</v>
      </c>
      <c r="R5" t="s">
        <v>31</v>
      </c>
      <c r="S5">
        <v>5</v>
      </c>
      <c r="T5">
        <v>8</v>
      </c>
      <c r="U5" t="s">
        <v>56</v>
      </c>
      <c r="V5" t="s">
        <v>33</v>
      </c>
      <c r="W5">
        <v>5</v>
      </c>
    </row>
    <row r="6" spans="1:23" x14ac:dyDescent="0.25">
      <c r="A6" t="s">
        <v>57</v>
      </c>
      <c r="B6" s="1">
        <v>45783</v>
      </c>
      <c r="C6" t="s">
        <v>58</v>
      </c>
      <c r="D6" t="s">
        <v>45</v>
      </c>
      <c r="E6" t="s">
        <v>46</v>
      </c>
      <c r="F6" t="s">
        <v>53</v>
      </c>
      <c r="G6" t="s">
        <v>59</v>
      </c>
      <c r="H6">
        <v>1</v>
      </c>
      <c r="I6">
        <v>99812</v>
      </c>
      <c r="J6">
        <v>0</v>
      </c>
      <c r="K6">
        <v>0</v>
      </c>
      <c r="L6">
        <v>99812</v>
      </c>
      <c r="M6">
        <v>65968.929999999993</v>
      </c>
      <c r="N6">
        <v>33843.07</v>
      </c>
      <c r="O6" t="s">
        <v>60</v>
      </c>
      <c r="P6">
        <v>855.33</v>
      </c>
      <c r="Q6" t="s">
        <v>30</v>
      </c>
      <c r="R6" t="s">
        <v>31</v>
      </c>
      <c r="S6">
        <v>5</v>
      </c>
      <c r="T6">
        <v>3</v>
      </c>
      <c r="U6" t="s">
        <v>32</v>
      </c>
      <c r="V6" t="s">
        <v>50</v>
      </c>
      <c r="W6">
        <v>5</v>
      </c>
    </row>
    <row r="7" spans="1:23" x14ac:dyDescent="0.25">
      <c r="A7" t="s">
        <v>61</v>
      </c>
      <c r="B7" s="1">
        <v>45772</v>
      </c>
      <c r="C7" t="s">
        <v>62</v>
      </c>
      <c r="D7" t="s">
        <v>63</v>
      </c>
      <c r="E7" t="s">
        <v>36</v>
      </c>
      <c r="F7" t="s">
        <v>47</v>
      </c>
      <c r="G7" t="s">
        <v>64</v>
      </c>
      <c r="H7">
        <v>1</v>
      </c>
      <c r="I7">
        <v>44383</v>
      </c>
      <c r="J7">
        <v>15</v>
      </c>
      <c r="K7">
        <v>6657.45</v>
      </c>
      <c r="L7">
        <v>37725.550000000003</v>
      </c>
      <c r="M7">
        <v>25871.61</v>
      </c>
      <c r="N7">
        <v>11853.94</v>
      </c>
      <c r="O7" t="s">
        <v>60</v>
      </c>
      <c r="P7">
        <v>659.3</v>
      </c>
      <c r="Q7" t="s">
        <v>40</v>
      </c>
      <c r="R7" t="s">
        <v>31</v>
      </c>
      <c r="S7">
        <v>5</v>
      </c>
      <c r="T7">
        <v>4</v>
      </c>
      <c r="U7" t="s">
        <v>32</v>
      </c>
      <c r="V7" t="s">
        <v>33</v>
      </c>
      <c r="W7">
        <v>5</v>
      </c>
    </row>
    <row r="8" spans="1:23" x14ac:dyDescent="0.25">
      <c r="A8" t="s">
        <v>65</v>
      </c>
      <c r="B8" s="1">
        <v>45729</v>
      </c>
      <c r="C8" t="s">
        <v>66</v>
      </c>
      <c r="D8" t="s">
        <v>67</v>
      </c>
      <c r="E8" t="s">
        <v>26</v>
      </c>
      <c r="F8" t="s">
        <v>47</v>
      </c>
      <c r="G8" t="s">
        <v>48</v>
      </c>
      <c r="H8">
        <v>1</v>
      </c>
      <c r="I8">
        <v>40810</v>
      </c>
      <c r="J8">
        <v>0</v>
      </c>
      <c r="K8">
        <v>0</v>
      </c>
      <c r="L8">
        <v>40810</v>
      </c>
      <c r="M8">
        <v>25451.31</v>
      </c>
      <c r="N8">
        <v>15358.69</v>
      </c>
      <c r="O8" t="s">
        <v>39</v>
      </c>
      <c r="P8">
        <v>1206.19</v>
      </c>
      <c r="Q8" t="s">
        <v>68</v>
      </c>
      <c r="R8" t="s">
        <v>31</v>
      </c>
      <c r="S8">
        <v>5</v>
      </c>
      <c r="T8">
        <v>6</v>
      </c>
      <c r="U8" t="s">
        <v>32</v>
      </c>
      <c r="V8" t="s">
        <v>42</v>
      </c>
    </row>
    <row r="9" spans="1:23" x14ac:dyDescent="0.25">
      <c r="A9" t="s">
        <v>69</v>
      </c>
      <c r="B9" s="1">
        <v>45710</v>
      </c>
      <c r="C9" t="s">
        <v>70</v>
      </c>
      <c r="D9" t="s">
        <v>71</v>
      </c>
      <c r="E9" t="s">
        <v>46</v>
      </c>
      <c r="F9" t="s">
        <v>27</v>
      </c>
      <c r="G9" t="s">
        <v>72</v>
      </c>
      <c r="H9">
        <v>1</v>
      </c>
      <c r="I9">
        <v>10857</v>
      </c>
      <c r="J9">
        <v>10</v>
      </c>
      <c r="K9">
        <v>1085.7</v>
      </c>
      <c r="L9">
        <v>9771.2999999999993</v>
      </c>
      <c r="M9">
        <v>7829.97</v>
      </c>
      <c r="N9">
        <v>1941.33</v>
      </c>
      <c r="O9" t="s">
        <v>55</v>
      </c>
      <c r="P9">
        <v>516.48</v>
      </c>
      <c r="Q9" t="s">
        <v>73</v>
      </c>
      <c r="R9" t="s">
        <v>41</v>
      </c>
      <c r="S9">
        <v>2</v>
      </c>
      <c r="T9">
        <v>6</v>
      </c>
      <c r="U9" t="s">
        <v>32</v>
      </c>
      <c r="V9" t="s">
        <v>50</v>
      </c>
      <c r="W9">
        <v>2</v>
      </c>
    </row>
    <row r="10" spans="1:23" x14ac:dyDescent="0.25">
      <c r="A10" t="s">
        <v>74</v>
      </c>
      <c r="B10" s="1">
        <v>46004</v>
      </c>
      <c r="C10" t="s">
        <v>75</v>
      </c>
      <c r="D10" t="s">
        <v>67</v>
      </c>
      <c r="E10" t="s">
        <v>46</v>
      </c>
      <c r="F10" t="s">
        <v>27</v>
      </c>
      <c r="G10" t="s">
        <v>76</v>
      </c>
      <c r="H10">
        <v>1</v>
      </c>
      <c r="I10">
        <v>21483</v>
      </c>
      <c r="J10">
        <v>15</v>
      </c>
      <c r="K10">
        <v>3222.45</v>
      </c>
      <c r="L10">
        <v>18260.55</v>
      </c>
      <c r="M10">
        <v>10591.49</v>
      </c>
      <c r="N10">
        <v>7669.06</v>
      </c>
      <c r="O10" t="s">
        <v>29</v>
      </c>
      <c r="P10">
        <v>480.25</v>
      </c>
      <c r="Q10" t="s">
        <v>68</v>
      </c>
      <c r="R10" t="s">
        <v>31</v>
      </c>
      <c r="S10">
        <v>5</v>
      </c>
      <c r="T10">
        <v>4</v>
      </c>
      <c r="U10" t="s">
        <v>32</v>
      </c>
      <c r="V10" t="s">
        <v>33</v>
      </c>
      <c r="W10">
        <v>3</v>
      </c>
    </row>
    <row r="11" spans="1:23" x14ac:dyDescent="0.25">
      <c r="A11" t="s">
        <v>77</v>
      </c>
      <c r="B11" s="1">
        <v>45937</v>
      </c>
      <c r="C11" t="s">
        <v>78</v>
      </c>
      <c r="D11" t="s">
        <v>79</v>
      </c>
      <c r="E11" t="s">
        <v>36</v>
      </c>
      <c r="F11" t="s">
        <v>27</v>
      </c>
      <c r="G11" t="s">
        <v>28</v>
      </c>
      <c r="H11">
        <v>1</v>
      </c>
      <c r="I11">
        <v>22343</v>
      </c>
      <c r="J11">
        <v>0</v>
      </c>
      <c r="K11">
        <v>0</v>
      </c>
      <c r="L11">
        <v>22343</v>
      </c>
      <c r="M11">
        <v>14045.78</v>
      </c>
      <c r="N11">
        <v>8297.2199999999993</v>
      </c>
      <c r="O11" t="s">
        <v>55</v>
      </c>
      <c r="P11">
        <v>1512.53</v>
      </c>
      <c r="Q11" t="s">
        <v>68</v>
      </c>
      <c r="R11" t="s">
        <v>41</v>
      </c>
      <c r="S11">
        <v>2</v>
      </c>
      <c r="T11">
        <v>3</v>
      </c>
      <c r="U11" t="s">
        <v>56</v>
      </c>
      <c r="V11" t="s">
        <v>33</v>
      </c>
      <c r="W11">
        <v>2</v>
      </c>
    </row>
    <row r="12" spans="1:23" x14ac:dyDescent="0.25">
      <c r="A12" t="s">
        <v>80</v>
      </c>
      <c r="B12" s="1">
        <v>45702</v>
      </c>
      <c r="C12" t="s">
        <v>81</v>
      </c>
      <c r="D12" t="s">
        <v>79</v>
      </c>
      <c r="E12" t="s">
        <v>26</v>
      </c>
      <c r="F12" t="s">
        <v>53</v>
      </c>
      <c r="G12" t="s">
        <v>82</v>
      </c>
      <c r="H12">
        <v>2</v>
      </c>
      <c r="I12">
        <v>75535</v>
      </c>
      <c r="J12">
        <v>0</v>
      </c>
      <c r="K12">
        <v>0</v>
      </c>
      <c r="L12">
        <v>151070</v>
      </c>
      <c r="M12">
        <v>109016.81</v>
      </c>
      <c r="N12">
        <v>42053.19</v>
      </c>
      <c r="O12" t="s">
        <v>29</v>
      </c>
      <c r="P12">
        <v>237.36</v>
      </c>
      <c r="Q12" t="s">
        <v>83</v>
      </c>
      <c r="R12" t="s">
        <v>41</v>
      </c>
      <c r="S12">
        <v>2</v>
      </c>
      <c r="T12">
        <v>1</v>
      </c>
      <c r="U12" t="s">
        <v>32</v>
      </c>
      <c r="V12" t="s">
        <v>33</v>
      </c>
      <c r="W12">
        <v>5</v>
      </c>
    </row>
    <row r="13" spans="1:23" x14ac:dyDescent="0.25">
      <c r="A13" t="s">
        <v>84</v>
      </c>
      <c r="B13" s="1">
        <v>45960</v>
      </c>
      <c r="C13" t="s">
        <v>85</v>
      </c>
      <c r="D13" t="s">
        <v>45</v>
      </c>
      <c r="E13" t="s">
        <v>26</v>
      </c>
      <c r="F13" t="s">
        <v>86</v>
      </c>
      <c r="G13" t="s">
        <v>87</v>
      </c>
      <c r="H13">
        <v>1</v>
      </c>
      <c r="I13">
        <v>50374</v>
      </c>
      <c r="J13">
        <v>20</v>
      </c>
      <c r="K13">
        <v>10074.799999999999</v>
      </c>
      <c r="L13">
        <v>40299.199999999997</v>
      </c>
      <c r="M13">
        <v>32836.639999999999</v>
      </c>
      <c r="N13">
        <v>7462.56</v>
      </c>
      <c r="O13" t="s">
        <v>49</v>
      </c>
      <c r="P13">
        <v>110.68</v>
      </c>
      <c r="Q13" t="s">
        <v>30</v>
      </c>
      <c r="R13" t="s">
        <v>31</v>
      </c>
      <c r="S13">
        <v>5</v>
      </c>
      <c r="T13">
        <v>4</v>
      </c>
      <c r="U13" t="s">
        <v>32</v>
      </c>
      <c r="V13" t="s">
        <v>33</v>
      </c>
      <c r="W13">
        <v>5</v>
      </c>
    </row>
    <row r="14" spans="1:23" x14ac:dyDescent="0.25">
      <c r="A14" t="s">
        <v>88</v>
      </c>
      <c r="B14" s="1">
        <v>45874</v>
      </c>
      <c r="C14" t="s">
        <v>89</v>
      </c>
      <c r="D14" t="s">
        <v>90</v>
      </c>
      <c r="E14" t="s">
        <v>36</v>
      </c>
      <c r="F14" t="s">
        <v>53</v>
      </c>
      <c r="G14" t="s">
        <v>59</v>
      </c>
      <c r="H14">
        <v>1</v>
      </c>
      <c r="I14">
        <v>49642</v>
      </c>
      <c r="J14">
        <v>10</v>
      </c>
      <c r="K14">
        <v>4964.2</v>
      </c>
      <c r="L14">
        <v>44677.8</v>
      </c>
      <c r="M14">
        <v>25014.55</v>
      </c>
      <c r="N14">
        <v>19663.25</v>
      </c>
      <c r="O14" t="s">
        <v>91</v>
      </c>
      <c r="P14">
        <v>2182.92</v>
      </c>
      <c r="Q14" t="s">
        <v>83</v>
      </c>
      <c r="R14" t="s">
        <v>31</v>
      </c>
      <c r="S14">
        <v>5</v>
      </c>
      <c r="T14">
        <v>2</v>
      </c>
      <c r="U14" t="s">
        <v>32</v>
      </c>
      <c r="V14" t="s">
        <v>50</v>
      </c>
      <c r="W14">
        <v>3</v>
      </c>
    </row>
    <row r="15" spans="1:23" x14ac:dyDescent="0.25">
      <c r="A15" t="s">
        <v>92</v>
      </c>
      <c r="B15" s="1">
        <v>45674</v>
      </c>
      <c r="C15" t="s">
        <v>93</v>
      </c>
      <c r="D15" t="s">
        <v>25</v>
      </c>
      <c r="E15" t="s">
        <v>36</v>
      </c>
      <c r="F15" t="s">
        <v>86</v>
      </c>
      <c r="G15" t="s">
        <v>94</v>
      </c>
      <c r="H15">
        <v>2</v>
      </c>
      <c r="I15">
        <v>30486</v>
      </c>
      <c r="J15">
        <v>10</v>
      </c>
      <c r="K15">
        <v>6097.2</v>
      </c>
      <c r="L15">
        <v>54874.8</v>
      </c>
      <c r="M15">
        <v>43875.91</v>
      </c>
      <c r="N15">
        <v>10998.89</v>
      </c>
      <c r="O15" t="s">
        <v>60</v>
      </c>
      <c r="P15">
        <v>390.01</v>
      </c>
      <c r="Q15" t="s">
        <v>30</v>
      </c>
      <c r="R15" t="s">
        <v>41</v>
      </c>
      <c r="S15">
        <v>2</v>
      </c>
      <c r="T15">
        <v>6</v>
      </c>
      <c r="U15" t="s">
        <v>32</v>
      </c>
      <c r="V15" t="s">
        <v>42</v>
      </c>
    </row>
    <row r="16" spans="1:23" x14ac:dyDescent="0.25">
      <c r="A16" t="s">
        <v>95</v>
      </c>
      <c r="B16" s="1">
        <v>45673</v>
      </c>
      <c r="C16" t="s">
        <v>96</v>
      </c>
      <c r="D16" t="s">
        <v>97</v>
      </c>
      <c r="E16" t="s">
        <v>46</v>
      </c>
      <c r="F16" t="s">
        <v>53</v>
      </c>
      <c r="G16" t="s">
        <v>54</v>
      </c>
      <c r="H16">
        <v>1</v>
      </c>
      <c r="I16">
        <v>95628</v>
      </c>
      <c r="J16">
        <v>0</v>
      </c>
      <c r="K16">
        <v>0</v>
      </c>
      <c r="L16">
        <v>95628</v>
      </c>
      <c r="M16">
        <v>70404.820000000007</v>
      </c>
      <c r="N16">
        <v>25223.18</v>
      </c>
      <c r="O16" t="s">
        <v>39</v>
      </c>
      <c r="P16">
        <v>1871.67</v>
      </c>
      <c r="Q16" t="s">
        <v>73</v>
      </c>
      <c r="R16" t="s">
        <v>41</v>
      </c>
      <c r="S16">
        <v>2</v>
      </c>
      <c r="T16">
        <v>1</v>
      </c>
      <c r="U16" t="s">
        <v>32</v>
      </c>
      <c r="V16" t="s">
        <v>33</v>
      </c>
      <c r="W16">
        <v>1</v>
      </c>
    </row>
    <row r="17" spans="1:23" x14ac:dyDescent="0.25">
      <c r="A17" t="s">
        <v>98</v>
      </c>
      <c r="B17" s="1">
        <v>45705</v>
      </c>
      <c r="C17" t="s">
        <v>99</v>
      </c>
      <c r="D17" t="s">
        <v>90</v>
      </c>
      <c r="E17" t="s">
        <v>26</v>
      </c>
      <c r="F17" t="s">
        <v>37</v>
      </c>
      <c r="G17" t="s">
        <v>100</v>
      </c>
      <c r="H17">
        <v>1</v>
      </c>
      <c r="I17">
        <v>13357</v>
      </c>
      <c r="J17">
        <v>20</v>
      </c>
      <c r="K17">
        <v>2671.4</v>
      </c>
      <c r="L17">
        <v>10685.6</v>
      </c>
      <c r="M17">
        <v>5977.48</v>
      </c>
      <c r="N17">
        <v>4708.12</v>
      </c>
      <c r="O17" t="s">
        <v>55</v>
      </c>
      <c r="P17">
        <v>1683.87</v>
      </c>
      <c r="Q17" t="s">
        <v>73</v>
      </c>
      <c r="R17" t="s">
        <v>31</v>
      </c>
      <c r="S17">
        <v>5</v>
      </c>
      <c r="T17">
        <v>3</v>
      </c>
      <c r="U17" t="s">
        <v>32</v>
      </c>
      <c r="V17" t="s">
        <v>33</v>
      </c>
      <c r="W17">
        <v>5</v>
      </c>
    </row>
    <row r="18" spans="1:23" x14ac:dyDescent="0.25">
      <c r="A18" t="s">
        <v>101</v>
      </c>
      <c r="B18" s="1">
        <v>45769</v>
      </c>
      <c r="C18" t="s">
        <v>102</v>
      </c>
      <c r="D18" t="s">
        <v>45</v>
      </c>
      <c r="E18" t="s">
        <v>26</v>
      </c>
      <c r="F18" t="s">
        <v>27</v>
      </c>
      <c r="G18" t="s">
        <v>28</v>
      </c>
      <c r="H18">
        <v>3</v>
      </c>
      <c r="I18">
        <v>22306</v>
      </c>
      <c r="J18">
        <v>25</v>
      </c>
      <c r="K18">
        <v>16729.5</v>
      </c>
      <c r="L18">
        <v>50188.5</v>
      </c>
      <c r="M18">
        <v>32576.18</v>
      </c>
      <c r="N18">
        <v>17612.32</v>
      </c>
      <c r="O18" t="s">
        <v>91</v>
      </c>
      <c r="P18">
        <v>2409.1999999999998</v>
      </c>
      <c r="Q18" t="s">
        <v>83</v>
      </c>
      <c r="R18" t="s">
        <v>41</v>
      </c>
      <c r="S18">
        <v>2</v>
      </c>
      <c r="T18">
        <v>1</v>
      </c>
      <c r="U18" t="s">
        <v>32</v>
      </c>
      <c r="V18" t="s">
        <v>33</v>
      </c>
      <c r="W18">
        <v>2</v>
      </c>
    </row>
    <row r="19" spans="1:23" x14ac:dyDescent="0.25">
      <c r="A19" t="s">
        <v>103</v>
      </c>
      <c r="B19" s="1">
        <v>45777</v>
      </c>
      <c r="C19" t="s">
        <v>104</v>
      </c>
      <c r="D19" t="s">
        <v>71</v>
      </c>
      <c r="E19" t="s">
        <v>46</v>
      </c>
      <c r="F19" t="s">
        <v>47</v>
      </c>
      <c r="G19" t="s">
        <v>105</v>
      </c>
      <c r="H19">
        <v>2</v>
      </c>
      <c r="I19">
        <v>36246</v>
      </c>
      <c r="J19">
        <v>20</v>
      </c>
      <c r="K19">
        <v>14498.4</v>
      </c>
      <c r="L19">
        <v>57993.599999999999</v>
      </c>
      <c r="M19">
        <v>35030.93</v>
      </c>
      <c r="N19">
        <v>22962.67</v>
      </c>
      <c r="O19" t="s">
        <v>29</v>
      </c>
      <c r="P19">
        <v>597.11</v>
      </c>
      <c r="Q19" t="s">
        <v>30</v>
      </c>
      <c r="R19" t="s">
        <v>31</v>
      </c>
      <c r="S19">
        <v>5</v>
      </c>
      <c r="T19">
        <v>5</v>
      </c>
      <c r="U19" t="s">
        <v>32</v>
      </c>
      <c r="V19" t="s">
        <v>33</v>
      </c>
      <c r="W19">
        <v>4</v>
      </c>
    </row>
    <row r="20" spans="1:23" x14ac:dyDescent="0.25">
      <c r="A20" t="s">
        <v>106</v>
      </c>
      <c r="B20" s="1">
        <v>45916</v>
      </c>
      <c r="C20" t="s">
        <v>107</v>
      </c>
      <c r="D20" t="s">
        <v>79</v>
      </c>
      <c r="E20" t="s">
        <v>26</v>
      </c>
      <c r="F20" t="s">
        <v>53</v>
      </c>
      <c r="G20" t="s">
        <v>59</v>
      </c>
      <c r="H20">
        <v>3</v>
      </c>
      <c r="I20">
        <v>29644</v>
      </c>
      <c r="J20">
        <v>25</v>
      </c>
      <c r="K20">
        <v>22233</v>
      </c>
      <c r="L20">
        <v>66699</v>
      </c>
      <c r="M20">
        <v>40722.76</v>
      </c>
      <c r="N20">
        <v>25976.240000000002</v>
      </c>
      <c r="O20" t="s">
        <v>29</v>
      </c>
      <c r="P20">
        <v>2017.86</v>
      </c>
      <c r="Q20" t="s">
        <v>83</v>
      </c>
      <c r="R20" t="s">
        <v>31</v>
      </c>
      <c r="S20">
        <v>5</v>
      </c>
      <c r="T20">
        <v>3</v>
      </c>
      <c r="U20" t="s">
        <v>32</v>
      </c>
      <c r="V20" t="s">
        <v>33</v>
      </c>
      <c r="W20">
        <v>2</v>
      </c>
    </row>
    <row r="21" spans="1:23" x14ac:dyDescent="0.25">
      <c r="A21" t="s">
        <v>108</v>
      </c>
      <c r="B21" s="1">
        <v>45966</v>
      </c>
      <c r="C21" t="s">
        <v>109</v>
      </c>
      <c r="D21" t="s">
        <v>25</v>
      </c>
      <c r="E21" t="s">
        <v>36</v>
      </c>
      <c r="F21" t="s">
        <v>86</v>
      </c>
      <c r="G21" t="s">
        <v>110</v>
      </c>
      <c r="H21">
        <v>2</v>
      </c>
      <c r="I21">
        <v>14617</v>
      </c>
      <c r="J21">
        <v>20</v>
      </c>
      <c r="K21">
        <v>5846.8</v>
      </c>
      <c r="L21">
        <v>23387.200000000001</v>
      </c>
      <c r="M21">
        <v>16182.49</v>
      </c>
      <c r="N21">
        <v>7204.71</v>
      </c>
      <c r="O21" t="s">
        <v>60</v>
      </c>
      <c r="P21">
        <v>2436.4699999999998</v>
      </c>
      <c r="Q21" t="s">
        <v>83</v>
      </c>
      <c r="R21" t="s">
        <v>31</v>
      </c>
      <c r="S21">
        <v>5</v>
      </c>
      <c r="T21">
        <v>2</v>
      </c>
      <c r="U21" t="s">
        <v>32</v>
      </c>
      <c r="V21" t="s">
        <v>33</v>
      </c>
      <c r="W21">
        <v>2</v>
      </c>
    </row>
    <row r="22" spans="1:23" x14ac:dyDescent="0.25">
      <c r="A22" t="s">
        <v>111</v>
      </c>
      <c r="B22" s="1">
        <v>45671</v>
      </c>
      <c r="C22" t="s">
        <v>112</v>
      </c>
      <c r="D22" t="s">
        <v>25</v>
      </c>
      <c r="E22" t="s">
        <v>36</v>
      </c>
      <c r="F22" t="s">
        <v>27</v>
      </c>
      <c r="G22" t="s">
        <v>113</v>
      </c>
      <c r="H22">
        <v>2</v>
      </c>
      <c r="I22">
        <v>28658</v>
      </c>
      <c r="J22">
        <v>15</v>
      </c>
      <c r="K22">
        <v>8597.4</v>
      </c>
      <c r="L22">
        <v>48718.6</v>
      </c>
      <c r="M22">
        <v>33409.910000000003</v>
      </c>
      <c r="N22">
        <v>15308.69</v>
      </c>
      <c r="O22" t="s">
        <v>91</v>
      </c>
      <c r="P22">
        <v>551.94000000000005</v>
      </c>
      <c r="Q22" t="s">
        <v>68</v>
      </c>
      <c r="R22" t="s">
        <v>31</v>
      </c>
      <c r="S22">
        <v>5</v>
      </c>
      <c r="T22">
        <v>7</v>
      </c>
      <c r="U22" t="s">
        <v>56</v>
      </c>
      <c r="V22" t="s">
        <v>33</v>
      </c>
      <c r="W22">
        <v>5</v>
      </c>
    </row>
    <row r="23" spans="1:23" x14ac:dyDescent="0.25">
      <c r="A23" t="s">
        <v>114</v>
      </c>
      <c r="B23" s="1">
        <v>45945</v>
      </c>
      <c r="C23" t="s">
        <v>115</v>
      </c>
      <c r="D23" t="s">
        <v>25</v>
      </c>
      <c r="E23" t="s">
        <v>36</v>
      </c>
      <c r="F23" t="s">
        <v>47</v>
      </c>
      <c r="G23" t="s">
        <v>48</v>
      </c>
      <c r="H23">
        <v>2</v>
      </c>
      <c r="I23">
        <v>19864</v>
      </c>
      <c r="J23">
        <v>10</v>
      </c>
      <c r="K23">
        <v>3972.8</v>
      </c>
      <c r="L23">
        <v>35755.199999999997</v>
      </c>
      <c r="M23">
        <v>25596.99</v>
      </c>
      <c r="N23">
        <v>10158.209999999999</v>
      </c>
      <c r="O23" t="s">
        <v>29</v>
      </c>
      <c r="P23">
        <v>2365.6999999999998</v>
      </c>
      <c r="Q23" t="s">
        <v>68</v>
      </c>
      <c r="R23" t="s">
        <v>31</v>
      </c>
      <c r="S23">
        <v>5</v>
      </c>
      <c r="T23">
        <v>4</v>
      </c>
      <c r="U23" t="s">
        <v>32</v>
      </c>
      <c r="V23" t="s">
        <v>33</v>
      </c>
      <c r="W23">
        <v>5</v>
      </c>
    </row>
    <row r="24" spans="1:23" x14ac:dyDescent="0.25">
      <c r="A24" t="s">
        <v>116</v>
      </c>
      <c r="B24" s="1">
        <v>45759</v>
      </c>
      <c r="C24" t="s">
        <v>117</v>
      </c>
      <c r="D24" t="s">
        <v>45</v>
      </c>
      <c r="E24" t="s">
        <v>36</v>
      </c>
      <c r="F24" t="s">
        <v>47</v>
      </c>
      <c r="G24" t="s">
        <v>64</v>
      </c>
      <c r="H24">
        <v>1</v>
      </c>
      <c r="I24">
        <v>49038</v>
      </c>
      <c r="J24">
        <v>15</v>
      </c>
      <c r="K24">
        <v>7355.7</v>
      </c>
      <c r="L24">
        <v>41682.300000000003</v>
      </c>
      <c r="M24">
        <v>29881.59</v>
      </c>
      <c r="N24">
        <v>11800.71</v>
      </c>
      <c r="O24" t="s">
        <v>55</v>
      </c>
      <c r="P24">
        <v>1454.83</v>
      </c>
      <c r="Q24" t="s">
        <v>73</v>
      </c>
      <c r="R24" t="s">
        <v>41</v>
      </c>
      <c r="S24">
        <v>2</v>
      </c>
      <c r="T24">
        <v>2</v>
      </c>
      <c r="U24" t="s">
        <v>32</v>
      </c>
      <c r="V24" t="s">
        <v>33</v>
      </c>
      <c r="W24">
        <v>5</v>
      </c>
    </row>
    <row r="25" spans="1:23" x14ac:dyDescent="0.25">
      <c r="A25" t="s">
        <v>118</v>
      </c>
      <c r="B25" s="1">
        <v>45990</v>
      </c>
      <c r="C25" t="s">
        <v>119</v>
      </c>
      <c r="D25" t="s">
        <v>63</v>
      </c>
      <c r="E25" t="s">
        <v>46</v>
      </c>
      <c r="F25" t="s">
        <v>27</v>
      </c>
      <c r="G25" t="s">
        <v>76</v>
      </c>
      <c r="H25">
        <v>1</v>
      </c>
      <c r="I25">
        <v>18718</v>
      </c>
      <c r="J25">
        <v>10</v>
      </c>
      <c r="K25">
        <v>1871.8</v>
      </c>
      <c r="L25">
        <v>16846.2</v>
      </c>
      <c r="M25">
        <v>12024.79</v>
      </c>
      <c r="N25">
        <v>4821.41</v>
      </c>
      <c r="O25" t="s">
        <v>60</v>
      </c>
      <c r="P25">
        <v>2472.4499999999998</v>
      </c>
      <c r="Q25" t="s">
        <v>73</v>
      </c>
      <c r="R25" t="s">
        <v>41</v>
      </c>
      <c r="S25">
        <v>2</v>
      </c>
      <c r="T25">
        <v>1</v>
      </c>
      <c r="U25" t="s">
        <v>32</v>
      </c>
      <c r="V25" t="s">
        <v>33</v>
      </c>
      <c r="W25">
        <v>5</v>
      </c>
    </row>
    <row r="26" spans="1:23" x14ac:dyDescent="0.25">
      <c r="A26" t="s">
        <v>120</v>
      </c>
      <c r="B26" s="1">
        <v>46017</v>
      </c>
      <c r="C26" t="s">
        <v>121</v>
      </c>
      <c r="D26" t="s">
        <v>97</v>
      </c>
      <c r="E26" t="s">
        <v>46</v>
      </c>
      <c r="F26" t="s">
        <v>27</v>
      </c>
      <c r="G26" t="s">
        <v>76</v>
      </c>
      <c r="H26">
        <v>1</v>
      </c>
      <c r="I26">
        <v>11623</v>
      </c>
      <c r="J26">
        <v>0</v>
      </c>
      <c r="K26">
        <v>0</v>
      </c>
      <c r="L26">
        <v>11623</v>
      </c>
      <c r="M26">
        <v>6551.46</v>
      </c>
      <c r="N26">
        <v>5071.54</v>
      </c>
      <c r="O26" t="s">
        <v>29</v>
      </c>
      <c r="P26">
        <v>2414.1799999999998</v>
      </c>
      <c r="Q26" t="s">
        <v>68</v>
      </c>
      <c r="R26" t="s">
        <v>41</v>
      </c>
      <c r="S26">
        <v>2</v>
      </c>
      <c r="T26">
        <v>1</v>
      </c>
      <c r="U26" t="s">
        <v>32</v>
      </c>
      <c r="V26" t="s">
        <v>33</v>
      </c>
      <c r="W26">
        <v>2</v>
      </c>
    </row>
    <row r="27" spans="1:23" x14ac:dyDescent="0.25">
      <c r="A27" t="s">
        <v>122</v>
      </c>
      <c r="B27" s="1">
        <v>45937</v>
      </c>
      <c r="C27" t="s">
        <v>123</v>
      </c>
      <c r="D27" t="s">
        <v>124</v>
      </c>
      <c r="E27" t="s">
        <v>26</v>
      </c>
      <c r="F27" t="s">
        <v>86</v>
      </c>
      <c r="G27" t="s">
        <v>110</v>
      </c>
      <c r="H27">
        <v>1</v>
      </c>
      <c r="I27">
        <v>71191</v>
      </c>
      <c r="J27">
        <v>15</v>
      </c>
      <c r="K27">
        <v>10678.65</v>
      </c>
      <c r="L27">
        <v>60512.35</v>
      </c>
      <c r="M27">
        <v>41539.910000000003</v>
      </c>
      <c r="N27">
        <v>18972.439999999999</v>
      </c>
      <c r="O27" t="s">
        <v>91</v>
      </c>
      <c r="P27">
        <v>1011.66</v>
      </c>
      <c r="Q27" t="s">
        <v>83</v>
      </c>
      <c r="R27" t="s">
        <v>31</v>
      </c>
      <c r="S27">
        <v>5</v>
      </c>
      <c r="T27">
        <v>5</v>
      </c>
      <c r="U27" t="s">
        <v>32</v>
      </c>
      <c r="V27" t="s">
        <v>33</v>
      </c>
      <c r="W27">
        <v>5</v>
      </c>
    </row>
    <row r="28" spans="1:23" x14ac:dyDescent="0.25">
      <c r="A28" t="s">
        <v>125</v>
      </c>
      <c r="B28" s="1">
        <v>45872</v>
      </c>
      <c r="C28" t="s">
        <v>126</v>
      </c>
      <c r="D28" t="s">
        <v>63</v>
      </c>
      <c r="E28" t="s">
        <v>46</v>
      </c>
      <c r="F28" t="s">
        <v>86</v>
      </c>
      <c r="G28" t="s">
        <v>127</v>
      </c>
      <c r="H28">
        <v>1</v>
      </c>
      <c r="I28">
        <v>53943</v>
      </c>
      <c r="J28">
        <v>10</v>
      </c>
      <c r="K28">
        <v>5394.3</v>
      </c>
      <c r="L28">
        <v>48548.7</v>
      </c>
      <c r="M28">
        <v>27294.83</v>
      </c>
      <c r="N28">
        <v>21253.87</v>
      </c>
      <c r="O28" t="s">
        <v>29</v>
      </c>
      <c r="P28">
        <v>1472.41</v>
      </c>
      <c r="Q28" t="s">
        <v>83</v>
      </c>
      <c r="R28" t="s">
        <v>31</v>
      </c>
      <c r="S28">
        <v>5</v>
      </c>
      <c r="T28">
        <v>2</v>
      </c>
      <c r="U28" t="s">
        <v>32</v>
      </c>
      <c r="V28" t="s">
        <v>33</v>
      </c>
      <c r="W28">
        <v>3</v>
      </c>
    </row>
    <row r="29" spans="1:23" x14ac:dyDescent="0.25">
      <c r="A29" t="s">
        <v>128</v>
      </c>
      <c r="B29" s="1">
        <v>45770</v>
      </c>
      <c r="C29" t="s">
        <v>129</v>
      </c>
      <c r="D29" t="s">
        <v>97</v>
      </c>
      <c r="E29" t="s">
        <v>36</v>
      </c>
      <c r="F29" t="s">
        <v>27</v>
      </c>
      <c r="G29" t="s">
        <v>28</v>
      </c>
      <c r="H29">
        <v>2</v>
      </c>
      <c r="I29">
        <v>6668</v>
      </c>
      <c r="J29">
        <v>10</v>
      </c>
      <c r="K29">
        <v>1333.6</v>
      </c>
      <c r="L29">
        <v>12002.4</v>
      </c>
      <c r="M29">
        <v>9177.2999999999993</v>
      </c>
      <c r="N29">
        <v>2825.1</v>
      </c>
      <c r="O29" t="s">
        <v>39</v>
      </c>
      <c r="P29">
        <v>531.80999999999995</v>
      </c>
      <c r="Q29" t="s">
        <v>40</v>
      </c>
      <c r="R29" t="s">
        <v>41</v>
      </c>
      <c r="S29">
        <v>2</v>
      </c>
      <c r="T29">
        <v>2</v>
      </c>
      <c r="U29" t="s">
        <v>32</v>
      </c>
      <c r="V29" t="s">
        <v>33</v>
      </c>
      <c r="W29">
        <v>5</v>
      </c>
    </row>
    <row r="30" spans="1:23" x14ac:dyDescent="0.25">
      <c r="A30" t="s">
        <v>130</v>
      </c>
      <c r="B30" s="1">
        <v>45887</v>
      </c>
      <c r="C30" t="s">
        <v>131</v>
      </c>
      <c r="D30" t="s">
        <v>90</v>
      </c>
      <c r="E30" t="s">
        <v>46</v>
      </c>
      <c r="F30" t="s">
        <v>37</v>
      </c>
      <c r="G30" t="s">
        <v>100</v>
      </c>
      <c r="H30">
        <v>2</v>
      </c>
      <c r="I30">
        <v>13760</v>
      </c>
      <c r="J30">
        <v>25</v>
      </c>
      <c r="K30">
        <v>6880</v>
      </c>
      <c r="L30">
        <v>20640</v>
      </c>
      <c r="M30">
        <v>12130.97</v>
      </c>
      <c r="N30">
        <v>8509.0300000000007</v>
      </c>
      <c r="O30" t="s">
        <v>55</v>
      </c>
      <c r="P30">
        <v>1103.8</v>
      </c>
      <c r="Q30" t="s">
        <v>40</v>
      </c>
      <c r="R30" t="s">
        <v>41</v>
      </c>
      <c r="S30">
        <v>2</v>
      </c>
      <c r="T30">
        <v>1</v>
      </c>
      <c r="U30" t="s">
        <v>32</v>
      </c>
      <c r="V30" t="s">
        <v>42</v>
      </c>
    </row>
    <row r="31" spans="1:23" x14ac:dyDescent="0.25">
      <c r="A31" t="s">
        <v>132</v>
      </c>
      <c r="B31" s="1">
        <v>45959</v>
      </c>
      <c r="C31" t="s">
        <v>133</v>
      </c>
      <c r="D31" t="s">
        <v>97</v>
      </c>
      <c r="E31" t="s">
        <v>26</v>
      </c>
      <c r="F31" t="s">
        <v>86</v>
      </c>
      <c r="G31" t="s">
        <v>110</v>
      </c>
      <c r="H31">
        <v>2</v>
      </c>
      <c r="I31">
        <v>8180</v>
      </c>
      <c r="J31">
        <v>0</v>
      </c>
      <c r="K31">
        <v>0</v>
      </c>
      <c r="L31">
        <v>16360</v>
      </c>
      <c r="M31">
        <v>13326.41</v>
      </c>
      <c r="N31">
        <v>3033.59</v>
      </c>
      <c r="O31" t="s">
        <v>29</v>
      </c>
      <c r="P31">
        <v>2267.16</v>
      </c>
      <c r="Q31" t="s">
        <v>83</v>
      </c>
      <c r="R31" t="s">
        <v>41</v>
      </c>
      <c r="S31">
        <v>2</v>
      </c>
      <c r="T31">
        <v>6</v>
      </c>
      <c r="U31" t="s">
        <v>32</v>
      </c>
      <c r="V31" t="s">
        <v>42</v>
      </c>
    </row>
    <row r="32" spans="1:23" x14ac:dyDescent="0.25">
      <c r="A32" t="s">
        <v>134</v>
      </c>
      <c r="B32" s="1">
        <v>45800</v>
      </c>
      <c r="C32" t="s">
        <v>135</v>
      </c>
      <c r="D32" t="s">
        <v>45</v>
      </c>
      <c r="E32" t="s">
        <v>46</v>
      </c>
      <c r="F32" t="s">
        <v>37</v>
      </c>
      <c r="G32" t="s">
        <v>100</v>
      </c>
      <c r="H32">
        <v>1</v>
      </c>
      <c r="I32">
        <v>28916</v>
      </c>
      <c r="J32">
        <v>0</v>
      </c>
      <c r="K32">
        <v>0</v>
      </c>
      <c r="L32">
        <v>28916</v>
      </c>
      <c r="M32">
        <v>22318.77</v>
      </c>
      <c r="N32">
        <v>6597.23</v>
      </c>
      <c r="O32" t="s">
        <v>29</v>
      </c>
      <c r="P32">
        <v>2380.87</v>
      </c>
      <c r="Q32" t="s">
        <v>83</v>
      </c>
      <c r="R32" t="s">
        <v>31</v>
      </c>
      <c r="S32">
        <v>5</v>
      </c>
      <c r="T32">
        <v>3</v>
      </c>
      <c r="U32" t="s">
        <v>32</v>
      </c>
      <c r="V32" t="s">
        <v>33</v>
      </c>
      <c r="W32">
        <v>5</v>
      </c>
    </row>
    <row r="33" spans="1:23" x14ac:dyDescent="0.25">
      <c r="A33" t="s">
        <v>136</v>
      </c>
      <c r="B33" s="1">
        <v>45661</v>
      </c>
      <c r="C33" t="s">
        <v>137</v>
      </c>
      <c r="D33" t="s">
        <v>25</v>
      </c>
      <c r="E33" t="s">
        <v>46</v>
      </c>
      <c r="F33" t="s">
        <v>47</v>
      </c>
      <c r="G33" t="s">
        <v>138</v>
      </c>
      <c r="H33">
        <v>2</v>
      </c>
      <c r="I33">
        <v>39887</v>
      </c>
      <c r="J33">
        <v>0</v>
      </c>
      <c r="K33">
        <v>0</v>
      </c>
      <c r="L33">
        <v>79774</v>
      </c>
      <c r="M33">
        <v>55047.61</v>
      </c>
      <c r="N33">
        <v>24726.39</v>
      </c>
      <c r="O33" t="s">
        <v>60</v>
      </c>
      <c r="P33">
        <v>1300.25</v>
      </c>
      <c r="Q33" t="s">
        <v>30</v>
      </c>
      <c r="R33" t="s">
        <v>41</v>
      </c>
      <c r="S33">
        <v>2</v>
      </c>
      <c r="T33">
        <v>5</v>
      </c>
      <c r="U33" t="s">
        <v>32</v>
      </c>
      <c r="V33" t="s">
        <v>42</v>
      </c>
    </row>
    <row r="34" spans="1:23" x14ac:dyDescent="0.25">
      <c r="A34" t="s">
        <v>139</v>
      </c>
      <c r="B34" s="1">
        <v>45739</v>
      </c>
      <c r="C34" t="s">
        <v>140</v>
      </c>
      <c r="D34" t="s">
        <v>97</v>
      </c>
      <c r="E34" t="s">
        <v>26</v>
      </c>
      <c r="F34" t="s">
        <v>86</v>
      </c>
      <c r="G34" t="s">
        <v>87</v>
      </c>
      <c r="H34">
        <v>2</v>
      </c>
      <c r="I34">
        <v>40650</v>
      </c>
      <c r="J34">
        <v>5</v>
      </c>
      <c r="K34">
        <v>4065</v>
      </c>
      <c r="L34">
        <v>77235</v>
      </c>
      <c r="M34">
        <v>62443.040000000001</v>
      </c>
      <c r="N34">
        <v>14791.96</v>
      </c>
      <c r="O34" t="s">
        <v>39</v>
      </c>
      <c r="P34">
        <v>2365.42</v>
      </c>
      <c r="Q34" t="s">
        <v>73</v>
      </c>
      <c r="R34" t="s">
        <v>41</v>
      </c>
      <c r="S34">
        <v>2</v>
      </c>
      <c r="T34">
        <v>1</v>
      </c>
      <c r="U34" t="s">
        <v>32</v>
      </c>
      <c r="V34" t="s">
        <v>33</v>
      </c>
      <c r="W34">
        <v>2</v>
      </c>
    </row>
    <row r="35" spans="1:23" x14ac:dyDescent="0.25">
      <c r="A35" t="s">
        <v>141</v>
      </c>
      <c r="B35" s="1">
        <v>46015</v>
      </c>
      <c r="C35" t="s">
        <v>142</v>
      </c>
      <c r="D35" t="s">
        <v>25</v>
      </c>
      <c r="E35" t="s">
        <v>46</v>
      </c>
      <c r="F35" t="s">
        <v>86</v>
      </c>
      <c r="G35" t="s">
        <v>87</v>
      </c>
      <c r="H35">
        <v>3</v>
      </c>
      <c r="I35">
        <v>41842</v>
      </c>
      <c r="J35">
        <v>25</v>
      </c>
      <c r="K35">
        <v>31381.5</v>
      </c>
      <c r="L35">
        <v>94144.5</v>
      </c>
      <c r="M35">
        <v>61430.93</v>
      </c>
      <c r="N35">
        <v>32713.57</v>
      </c>
      <c r="O35" t="s">
        <v>60</v>
      </c>
      <c r="P35">
        <v>2050.62</v>
      </c>
      <c r="Q35" t="s">
        <v>73</v>
      </c>
      <c r="R35" t="s">
        <v>41</v>
      </c>
      <c r="S35">
        <v>2</v>
      </c>
      <c r="T35">
        <v>1</v>
      </c>
      <c r="U35" t="s">
        <v>32</v>
      </c>
      <c r="V35" t="s">
        <v>33</v>
      </c>
      <c r="W35">
        <v>5</v>
      </c>
    </row>
    <row r="36" spans="1:23" x14ac:dyDescent="0.25">
      <c r="A36" t="s">
        <v>143</v>
      </c>
      <c r="B36" s="1">
        <v>45874</v>
      </c>
      <c r="C36" t="s">
        <v>144</v>
      </c>
      <c r="D36" t="s">
        <v>25</v>
      </c>
      <c r="E36" t="s">
        <v>26</v>
      </c>
      <c r="F36" t="s">
        <v>53</v>
      </c>
      <c r="G36" t="s">
        <v>59</v>
      </c>
      <c r="H36">
        <v>2</v>
      </c>
      <c r="I36">
        <v>37047</v>
      </c>
      <c r="J36">
        <v>0</v>
      </c>
      <c r="K36">
        <v>0</v>
      </c>
      <c r="L36">
        <v>74094</v>
      </c>
      <c r="M36">
        <v>42936.82</v>
      </c>
      <c r="N36">
        <v>31157.18</v>
      </c>
      <c r="O36" t="s">
        <v>60</v>
      </c>
      <c r="P36">
        <v>1740.62</v>
      </c>
      <c r="Q36" t="s">
        <v>40</v>
      </c>
      <c r="R36" t="s">
        <v>31</v>
      </c>
      <c r="S36">
        <v>5</v>
      </c>
      <c r="T36">
        <v>1</v>
      </c>
      <c r="U36" t="s">
        <v>32</v>
      </c>
      <c r="V36" t="s">
        <v>50</v>
      </c>
      <c r="W36">
        <v>1</v>
      </c>
    </row>
    <row r="37" spans="1:23" x14ac:dyDescent="0.25">
      <c r="A37" t="s">
        <v>145</v>
      </c>
      <c r="B37" s="1">
        <v>45832</v>
      </c>
      <c r="C37" t="s">
        <v>66</v>
      </c>
      <c r="D37" t="s">
        <v>79</v>
      </c>
      <c r="E37" t="s">
        <v>46</v>
      </c>
      <c r="F37" t="s">
        <v>47</v>
      </c>
      <c r="G37" t="s">
        <v>146</v>
      </c>
      <c r="H37">
        <v>1</v>
      </c>
      <c r="I37">
        <v>16009</v>
      </c>
      <c r="J37">
        <v>15</v>
      </c>
      <c r="K37">
        <v>2401.35</v>
      </c>
      <c r="L37">
        <v>13607.65</v>
      </c>
      <c r="M37">
        <v>9882.98</v>
      </c>
      <c r="N37">
        <v>3724.67</v>
      </c>
      <c r="O37" t="s">
        <v>60</v>
      </c>
      <c r="P37">
        <v>658.75</v>
      </c>
      <c r="Q37" t="s">
        <v>73</v>
      </c>
      <c r="R37" t="s">
        <v>41</v>
      </c>
      <c r="S37">
        <v>2</v>
      </c>
      <c r="T37">
        <v>1</v>
      </c>
      <c r="U37" t="s">
        <v>32</v>
      </c>
      <c r="V37" t="s">
        <v>33</v>
      </c>
      <c r="W37">
        <v>5</v>
      </c>
    </row>
    <row r="38" spans="1:23" x14ac:dyDescent="0.25">
      <c r="A38" t="s">
        <v>147</v>
      </c>
      <c r="B38" s="1">
        <v>45800</v>
      </c>
      <c r="C38" t="s">
        <v>148</v>
      </c>
      <c r="D38" t="s">
        <v>79</v>
      </c>
      <c r="E38" t="s">
        <v>26</v>
      </c>
      <c r="F38" t="s">
        <v>86</v>
      </c>
      <c r="G38" t="s">
        <v>94</v>
      </c>
      <c r="H38">
        <v>1</v>
      </c>
      <c r="I38">
        <v>28946</v>
      </c>
      <c r="J38">
        <v>0</v>
      </c>
      <c r="K38">
        <v>0</v>
      </c>
      <c r="L38">
        <v>28946</v>
      </c>
      <c r="M38">
        <v>23713.62</v>
      </c>
      <c r="N38">
        <v>5232.38</v>
      </c>
      <c r="O38" t="s">
        <v>49</v>
      </c>
      <c r="P38">
        <v>471.47</v>
      </c>
      <c r="Q38" t="s">
        <v>73</v>
      </c>
      <c r="R38" t="s">
        <v>41</v>
      </c>
      <c r="S38">
        <v>2</v>
      </c>
      <c r="T38">
        <v>2</v>
      </c>
      <c r="U38" t="s">
        <v>32</v>
      </c>
      <c r="V38" t="s">
        <v>33</v>
      </c>
      <c r="W38">
        <v>2</v>
      </c>
    </row>
    <row r="39" spans="1:23" x14ac:dyDescent="0.25">
      <c r="A39" t="s">
        <v>149</v>
      </c>
      <c r="B39" s="1">
        <v>45737</v>
      </c>
      <c r="C39" t="s">
        <v>150</v>
      </c>
      <c r="D39" t="s">
        <v>45</v>
      </c>
      <c r="E39" t="s">
        <v>46</v>
      </c>
      <c r="F39" t="s">
        <v>53</v>
      </c>
      <c r="G39" t="s">
        <v>151</v>
      </c>
      <c r="H39">
        <v>4</v>
      </c>
      <c r="I39">
        <v>46298</v>
      </c>
      <c r="J39">
        <v>0</v>
      </c>
      <c r="K39">
        <v>0</v>
      </c>
      <c r="L39">
        <v>185192</v>
      </c>
      <c r="M39">
        <v>144410.15</v>
      </c>
      <c r="N39">
        <v>40781.85</v>
      </c>
      <c r="O39" t="s">
        <v>29</v>
      </c>
      <c r="P39">
        <v>2060.27</v>
      </c>
      <c r="Q39" t="s">
        <v>73</v>
      </c>
      <c r="R39" t="s">
        <v>41</v>
      </c>
      <c r="S39">
        <v>2</v>
      </c>
      <c r="T39">
        <v>1</v>
      </c>
      <c r="U39" t="s">
        <v>32</v>
      </c>
      <c r="V39" t="s">
        <v>33</v>
      </c>
      <c r="W39">
        <v>2</v>
      </c>
    </row>
    <row r="40" spans="1:23" x14ac:dyDescent="0.25">
      <c r="A40" t="s">
        <v>152</v>
      </c>
      <c r="B40" s="1">
        <v>45768</v>
      </c>
      <c r="C40" t="s">
        <v>153</v>
      </c>
      <c r="D40" t="s">
        <v>154</v>
      </c>
      <c r="E40" t="s">
        <v>26</v>
      </c>
      <c r="F40" t="s">
        <v>47</v>
      </c>
      <c r="G40" t="s">
        <v>105</v>
      </c>
      <c r="H40">
        <v>2</v>
      </c>
      <c r="I40">
        <v>51197</v>
      </c>
      <c r="J40">
        <v>15</v>
      </c>
      <c r="K40">
        <v>15359.1</v>
      </c>
      <c r="L40">
        <v>87034.9</v>
      </c>
      <c r="M40">
        <v>59977.99</v>
      </c>
      <c r="N40">
        <v>27056.91</v>
      </c>
      <c r="O40" t="s">
        <v>55</v>
      </c>
      <c r="P40">
        <v>419.39</v>
      </c>
      <c r="Q40" t="s">
        <v>68</v>
      </c>
      <c r="R40" t="s">
        <v>41</v>
      </c>
      <c r="S40">
        <v>2</v>
      </c>
      <c r="T40">
        <v>1</v>
      </c>
      <c r="U40" t="s">
        <v>32</v>
      </c>
      <c r="V40" t="s">
        <v>33</v>
      </c>
      <c r="W40">
        <v>5</v>
      </c>
    </row>
    <row r="41" spans="1:23" x14ac:dyDescent="0.25">
      <c r="A41" t="s">
        <v>155</v>
      </c>
      <c r="B41" s="1">
        <v>45830</v>
      </c>
      <c r="C41" t="s">
        <v>156</v>
      </c>
      <c r="D41" t="s">
        <v>90</v>
      </c>
      <c r="E41" t="s">
        <v>46</v>
      </c>
      <c r="F41" t="s">
        <v>27</v>
      </c>
      <c r="G41" t="s">
        <v>72</v>
      </c>
      <c r="H41">
        <v>1</v>
      </c>
      <c r="I41">
        <v>22586</v>
      </c>
      <c r="J41">
        <v>10</v>
      </c>
      <c r="K41">
        <v>2258.6</v>
      </c>
      <c r="L41">
        <v>20327.400000000001</v>
      </c>
      <c r="M41">
        <v>14767.74</v>
      </c>
      <c r="N41">
        <v>5559.66</v>
      </c>
      <c r="O41" t="s">
        <v>39</v>
      </c>
      <c r="P41">
        <v>471.92</v>
      </c>
      <c r="Q41" t="s">
        <v>73</v>
      </c>
      <c r="R41" t="s">
        <v>31</v>
      </c>
      <c r="S41">
        <v>5</v>
      </c>
      <c r="T41">
        <v>0</v>
      </c>
      <c r="U41" t="s">
        <v>32</v>
      </c>
      <c r="V41" t="s">
        <v>50</v>
      </c>
      <c r="W41">
        <v>5</v>
      </c>
    </row>
    <row r="42" spans="1:23" x14ac:dyDescent="0.25">
      <c r="A42" t="s">
        <v>157</v>
      </c>
      <c r="B42" s="1">
        <v>45710</v>
      </c>
      <c r="C42" t="s">
        <v>158</v>
      </c>
      <c r="D42" t="s">
        <v>63</v>
      </c>
      <c r="E42" t="s">
        <v>46</v>
      </c>
      <c r="F42" t="s">
        <v>47</v>
      </c>
      <c r="G42" t="s">
        <v>105</v>
      </c>
      <c r="H42">
        <v>3</v>
      </c>
      <c r="I42">
        <v>31087</v>
      </c>
      <c r="J42">
        <v>20</v>
      </c>
      <c r="K42">
        <v>18652.2</v>
      </c>
      <c r="L42">
        <v>74608.800000000003</v>
      </c>
      <c r="M42">
        <v>44120.67</v>
      </c>
      <c r="N42">
        <v>30488.13</v>
      </c>
      <c r="O42" t="s">
        <v>49</v>
      </c>
      <c r="P42">
        <v>297.16000000000003</v>
      </c>
      <c r="Q42" t="s">
        <v>30</v>
      </c>
      <c r="R42" t="s">
        <v>41</v>
      </c>
      <c r="S42">
        <v>2</v>
      </c>
      <c r="T42">
        <v>3</v>
      </c>
      <c r="U42" t="s">
        <v>32</v>
      </c>
      <c r="V42" t="s">
        <v>50</v>
      </c>
      <c r="W42">
        <v>5</v>
      </c>
    </row>
    <row r="43" spans="1:23" x14ac:dyDescent="0.25">
      <c r="A43" t="s">
        <v>159</v>
      </c>
      <c r="B43" s="1">
        <v>45705</v>
      </c>
      <c r="C43" t="s">
        <v>160</v>
      </c>
      <c r="D43" t="s">
        <v>45</v>
      </c>
      <c r="E43" t="s">
        <v>26</v>
      </c>
      <c r="F43" t="s">
        <v>37</v>
      </c>
      <c r="G43" t="s">
        <v>161</v>
      </c>
      <c r="H43">
        <v>1</v>
      </c>
      <c r="I43">
        <v>8047</v>
      </c>
      <c r="J43">
        <v>25</v>
      </c>
      <c r="K43">
        <v>2011.75</v>
      </c>
      <c r="L43">
        <v>6035.25</v>
      </c>
      <c r="M43">
        <v>4790.66</v>
      </c>
      <c r="N43">
        <v>1244.5899999999999</v>
      </c>
      <c r="O43" t="s">
        <v>55</v>
      </c>
      <c r="P43">
        <v>954.67</v>
      </c>
      <c r="Q43" t="s">
        <v>40</v>
      </c>
      <c r="R43" t="s">
        <v>31</v>
      </c>
      <c r="S43">
        <v>5</v>
      </c>
      <c r="T43">
        <v>5</v>
      </c>
      <c r="U43" t="s">
        <v>32</v>
      </c>
      <c r="V43" t="s">
        <v>33</v>
      </c>
      <c r="W43">
        <v>2</v>
      </c>
    </row>
    <row r="44" spans="1:23" x14ac:dyDescent="0.25">
      <c r="A44" t="s">
        <v>162</v>
      </c>
      <c r="B44" s="1">
        <v>45852</v>
      </c>
      <c r="C44" t="s">
        <v>163</v>
      </c>
      <c r="D44" t="s">
        <v>45</v>
      </c>
      <c r="E44" t="s">
        <v>46</v>
      </c>
      <c r="F44" t="s">
        <v>27</v>
      </c>
      <c r="G44" t="s">
        <v>164</v>
      </c>
      <c r="H44">
        <v>1</v>
      </c>
      <c r="I44">
        <v>7823</v>
      </c>
      <c r="J44">
        <v>15</v>
      </c>
      <c r="K44">
        <v>1173.45</v>
      </c>
      <c r="L44">
        <v>6649.55</v>
      </c>
      <c r="M44">
        <v>4477.38</v>
      </c>
      <c r="N44">
        <v>2172.17</v>
      </c>
      <c r="O44" t="s">
        <v>60</v>
      </c>
      <c r="P44">
        <v>2055.91</v>
      </c>
      <c r="Q44" t="s">
        <v>83</v>
      </c>
      <c r="R44" t="s">
        <v>41</v>
      </c>
      <c r="S44">
        <v>2</v>
      </c>
      <c r="T44">
        <v>1</v>
      </c>
      <c r="U44" t="s">
        <v>32</v>
      </c>
      <c r="V44" t="s">
        <v>33</v>
      </c>
      <c r="W44">
        <v>5</v>
      </c>
    </row>
    <row r="45" spans="1:23" x14ac:dyDescent="0.25">
      <c r="A45" t="s">
        <v>165</v>
      </c>
      <c r="B45" s="1">
        <v>45707</v>
      </c>
      <c r="C45" t="s">
        <v>166</v>
      </c>
      <c r="D45" t="s">
        <v>124</v>
      </c>
      <c r="E45" t="s">
        <v>46</v>
      </c>
      <c r="F45" t="s">
        <v>27</v>
      </c>
      <c r="G45" t="s">
        <v>72</v>
      </c>
      <c r="H45">
        <v>1</v>
      </c>
      <c r="I45">
        <v>5474</v>
      </c>
      <c r="J45">
        <v>20</v>
      </c>
      <c r="K45">
        <v>1094.8</v>
      </c>
      <c r="L45">
        <v>4379.2</v>
      </c>
      <c r="M45">
        <v>2446.08</v>
      </c>
      <c r="N45">
        <v>1933.12</v>
      </c>
      <c r="O45" t="s">
        <v>29</v>
      </c>
      <c r="P45">
        <v>511.49</v>
      </c>
      <c r="Q45" t="s">
        <v>30</v>
      </c>
      <c r="R45" t="s">
        <v>31</v>
      </c>
      <c r="S45">
        <v>5</v>
      </c>
      <c r="T45">
        <v>4</v>
      </c>
      <c r="U45" t="s">
        <v>32</v>
      </c>
      <c r="V45" t="s">
        <v>33</v>
      </c>
      <c r="W45">
        <v>5</v>
      </c>
    </row>
    <row r="46" spans="1:23" x14ac:dyDescent="0.25">
      <c r="A46" t="s">
        <v>167</v>
      </c>
      <c r="B46" s="1">
        <v>45841</v>
      </c>
      <c r="C46" t="s">
        <v>168</v>
      </c>
      <c r="D46" t="s">
        <v>71</v>
      </c>
      <c r="E46" t="s">
        <v>46</v>
      </c>
      <c r="F46" t="s">
        <v>86</v>
      </c>
      <c r="G46" t="s">
        <v>127</v>
      </c>
      <c r="H46">
        <v>3</v>
      </c>
      <c r="I46">
        <v>51582</v>
      </c>
      <c r="J46">
        <v>25</v>
      </c>
      <c r="K46">
        <v>38686.5</v>
      </c>
      <c r="L46">
        <v>116059.5</v>
      </c>
      <c r="M46">
        <v>76149.64</v>
      </c>
      <c r="N46">
        <v>39909.86</v>
      </c>
      <c r="O46" t="s">
        <v>60</v>
      </c>
      <c r="P46">
        <v>207.99</v>
      </c>
      <c r="Q46" t="s">
        <v>83</v>
      </c>
      <c r="R46" t="s">
        <v>31</v>
      </c>
      <c r="S46">
        <v>5</v>
      </c>
      <c r="T46">
        <v>2</v>
      </c>
      <c r="U46" t="s">
        <v>32</v>
      </c>
      <c r="V46" t="s">
        <v>33</v>
      </c>
      <c r="W46">
        <v>5</v>
      </c>
    </row>
    <row r="47" spans="1:23" x14ac:dyDescent="0.25">
      <c r="A47" t="s">
        <v>169</v>
      </c>
      <c r="B47" s="1">
        <v>45834</v>
      </c>
      <c r="C47" t="s">
        <v>170</v>
      </c>
      <c r="D47" t="s">
        <v>71</v>
      </c>
      <c r="E47" t="s">
        <v>46</v>
      </c>
      <c r="F47" t="s">
        <v>86</v>
      </c>
      <c r="G47" t="s">
        <v>127</v>
      </c>
      <c r="H47">
        <v>1</v>
      </c>
      <c r="I47">
        <v>26332</v>
      </c>
      <c r="J47">
        <v>0</v>
      </c>
      <c r="K47">
        <v>0</v>
      </c>
      <c r="L47">
        <v>26332</v>
      </c>
      <c r="M47">
        <v>14711.65</v>
      </c>
      <c r="N47">
        <v>11620.35</v>
      </c>
      <c r="O47" t="s">
        <v>29</v>
      </c>
      <c r="P47">
        <v>2353.35</v>
      </c>
      <c r="Q47" t="s">
        <v>83</v>
      </c>
      <c r="R47" t="s">
        <v>41</v>
      </c>
      <c r="S47">
        <v>2</v>
      </c>
      <c r="T47">
        <v>4</v>
      </c>
      <c r="U47" t="s">
        <v>32</v>
      </c>
      <c r="V47" t="s">
        <v>50</v>
      </c>
      <c r="W47">
        <v>5</v>
      </c>
    </row>
    <row r="48" spans="1:23" x14ac:dyDescent="0.25">
      <c r="A48" t="s">
        <v>171</v>
      </c>
      <c r="B48" s="1">
        <v>45967</v>
      </c>
      <c r="C48" t="s">
        <v>172</v>
      </c>
      <c r="D48" t="s">
        <v>79</v>
      </c>
      <c r="E48" t="s">
        <v>46</v>
      </c>
      <c r="F48" t="s">
        <v>47</v>
      </c>
      <c r="G48" t="s">
        <v>146</v>
      </c>
      <c r="H48">
        <v>2</v>
      </c>
      <c r="I48">
        <v>10190</v>
      </c>
      <c r="J48">
        <v>15</v>
      </c>
      <c r="K48">
        <v>3057</v>
      </c>
      <c r="L48">
        <v>17323</v>
      </c>
      <c r="M48">
        <v>11580.77</v>
      </c>
      <c r="N48">
        <v>5742.23</v>
      </c>
      <c r="O48" t="s">
        <v>29</v>
      </c>
      <c r="P48">
        <v>2186.58</v>
      </c>
      <c r="Q48" t="s">
        <v>83</v>
      </c>
      <c r="R48" t="s">
        <v>31</v>
      </c>
      <c r="S48">
        <v>5</v>
      </c>
      <c r="T48">
        <v>6</v>
      </c>
      <c r="U48" t="s">
        <v>32</v>
      </c>
      <c r="V48" t="s">
        <v>42</v>
      </c>
    </row>
    <row r="49" spans="1:23" x14ac:dyDescent="0.25">
      <c r="A49" t="s">
        <v>173</v>
      </c>
      <c r="B49" s="1">
        <v>45793</v>
      </c>
      <c r="C49" t="s">
        <v>174</v>
      </c>
      <c r="D49" t="s">
        <v>124</v>
      </c>
      <c r="E49" t="s">
        <v>26</v>
      </c>
      <c r="F49" t="s">
        <v>47</v>
      </c>
      <c r="G49" t="s">
        <v>64</v>
      </c>
      <c r="H49">
        <v>2</v>
      </c>
      <c r="I49">
        <v>51075</v>
      </c>
      <c r="J49">
        <v>0</v>
      </c>
      <c r="K49">
        <v>0</v>
      </c>
      <c r="L49">
        <v>102150</v>
      </c>
      <c r="M49">
        <v>83368.479999999996</v>
      </c>
      <c r="N49">
        <v>18781.52</v>
      </c>
      <c r="O49" t="s">
        <v>49</v>
      </c>
      <c r="P49">
        <v>185.23</v>
      </c>
      <c r="Q49" t="s">
        <v>83</v>
      </c>
      <c r="R49" t="s">
        <v>31</v>
      </c>
      <c r="S49">
        <v>5</v>
      </c>
      <c r="T49">
        <v>3</v>
      </c>
      <c r="U49" t="s">
        <v>32</v>
      </c>
      <c r="V49" t="s">
        <v>42</v>
      </c>
    </row>
    <row r="50" spans="1:23" x14ac:dyDescent="0.25">
      <c r="A50" t="s">
        <v>175</v>
      </c>
      <c r="B50" s="1">
        <v>45680</v>
      </c>
      <c r="C50" t="s">
        <v>176</v>
      </c>
      <c r="D50" t="s">
        <v>71</v>
      </c>
      <c r="E50" t="s">
        <v>26</v>
      </c>
      <c r="F50" t="s">
        <v>37</v>
      </c>
      <c r="G50" t="s">
        <v>38</v>
      </c>
      <c r="H50">
        <v>4</v>
      </c>
      <c r="I50">
        <v>38371</v>
      </c>
      <c r="J50">
        <v>10</v>
      </c>
      <c r="K50">
        <v>15348.4</v>
      </c>
      <c r="L50">
        <v>138135.6</v>
      </c>
      <c r="M50">
        <v>101944.52</v>
      </c>
      <c r="N50">
        <v>36191.08</v>
      </c>
      <c r="O50" t="s">
        <v>29</v>
      </c>
      <c r="P50">
        <v>1065.8599999999999</v>
      </c>
      <c r="Q50" t="s">
        <v>40</v>
      </c>
      <c r="R50" t="s">
        <v>31</v>
      </c>
      <c r="S50">
        <v>5</v>
      </c>
      <c r="T50">
        <v>5</v>
      </c>
      <c r="U50" t="s">
        <v>32</v>
      </c>
      <c r="V50" t="s">
        <v>33</v>
      </c>
      <c r="W50">
        <v>3</v>
      </c>
    </row>
    <row r="51" spans="1:23" x14ac:dyDescent="0.25">
      <c r="A51" t="s">
        <v>177</v>
      </c>
      <c r="B51" s="1">
        <v>45893</v>
      </c>
      <c r="C51" t="s">
        <v>115</v>
      </c>
      <c r="D51" t="s">
        <v>63</v>
      </c>
      <c r="E51" t="s">
        <v>46</v>
      </c>
      <c r="F51" t="s">
        <v>27</v>
      </c>
      <c r="G51" t="s">
        <v>76</v>
      </c>
      <c r="H51">
        <v>1</v>
      </c>
      <c r="I51">
        <v>17148</v>
      </c>
      <c r="J51">
        <v>0</v>
      </c>
      <c r="K51">
        <v>0</v>
      </c>
      <c r="L51">
        <v>17148</v>
      </c>
      <c r="M51">
        <v>11229.76</v>
      </c>
      <c r="N51">
        <v>5918.24</v>
      </c>
      <c r="O51" t="s">
        <v>49</v>
      </c>
      <c r="P51">
        <v>341.02</v>
      </c>
      <c r="Q51" t="s">
        <v>30</v>
      </c>
      <c r="R51" t="s">
        <v>31</v>
      </c>
      <c r="S51">
        <v>5</v>
      </c>
      <c r="T51">
        <v>1</v>
      </c>
      <c r="U51" t="s">
        <v>32</v>
      </c>
      <c r="V51" t="s">
        <v>33</v>
      </c>
      <c r="W51">
        <v>3</v>
      </c>
    </row>
    <row r="52" spans="1:23" x14ac:dyDescent="0.25">
      <c r="A52" t="s">
        <v>178</v>
      </c>
      <c r="B52" s="1">
        <v>45932</v>
      </c>
      <c r="C52" t="s">
        <v>179</v>
      </c>
      <c r="D52" t="s">
        <v>124</v>
      </c>
      <c r="E52" t="s">
        <v>46</v>
      </c>
      <c r="F52" t="s">
        <v>86</v>
      </c>
      <c r="G52" t="s">
        <v>180</v>
      </c>
      <c r="H52">
        <v>2</v>
      </c>
      <c r="I52">
        <v>15539</v>
      </c>
      <c r="J52">
        <v>20</v>
      </c>
      <c r="K52">
        <v>6215.6</v>
      </c>
      <c r="L52">
        <v>24862.400000000001</v>
      </c>
      <c r="M52">
        <v>15076.56</v>
      </c>
      <c r="N52">
        <v>9785.84</v>
      </c>
      <c r="O52" t="s">
        <v>55</v>
      </c>
      <c r="P52">
        <v>687.16</v>
      </c>
      <c r="Q52" t="s">
        <v>68</v>
      </c>
      <c r="R52" t="s">
        <v>41</v>
      </c>
      <c r="S52">
        <v>2</v>
      </c>
      <c r="T52">
        <v>2</v>
      </c>
      <c r="U52" t="s">
        <v>32</v>
      </c>
      <c r="V52" t="s">
        <v>33</v>
      </c>
      <c r="W52">
        <v>1</v>
      </c>
    </row>
    <row r="53" spans="1:23" x14ac:dyDescent="0.25">
      <c r="A53" t="s">
        <v>181</v>
      </c>
      <c r="B53" s="1">
        <v>45721</v>
      </c>
      <c r="C53" t="s">
        <v>182</v>
      </c>
      <c r="D53" t="s">
        <v>45</v>
      </c>
      <c r="E53" t="s">
        <v>46</v>
      </c>
      <c r="F53" t="s">
        <v>53</v>
      </c>
      <c r="G53" t="s">
        <v>54</v>
      </c>
      <c r="H53">
        <v>3</v>
      </c>
      <c r="I53">
        <v>81362</v>
      </c>
      <c r="J53">
        <v>25</v>
      </c>
      <c r="K53">
        <v>61021.5</v>
      </c>
      <c r="L53">
        <v>183064.5</v>
      </c>
      <c r="M53">
        <v>132750.09</v>
      </c>
      <c r="N53">
        <v>50314.41</v>
      </c>
      <c r="O53" t="s">
        <v>49</v>
      </c>
      <c r="P53">
        <v>280.77</v>
      </c>
      <c r="Q53" t="s">
        <v>30</v>
      </c>
      <c r="R53" t="s">
        <v>41</v>
      </c>
      <c r="S53">
        <v>2</v>
      </c>
      <c r="T53">
        <v>1</v>
      </c>
      <c r="U53" t="s">
        <v>32</v>
      </c>
      <c r="V53" t="s">
        <v>33</v>
      </c>
      <c r="W53">
        <v>3</v>
      </c>
    </row>
    <row r="54" spans="1:23" x14ac:dyDescent="0.25">
      <c r="A54" t="s">
        <v>183</v>
      </c>
      <c r="B54" s="1">
        <v>45851</v>
      </c>
      <c r="C54" t="s">
        <v>75</v>
      </c>
      <c r="D54" t="s">
        <v>25</v>
      </c>
      <c r="E54" t="s">
        <v>46</v>
      </c>
      <c r="F54" t="s">
        <v>27</v>
      </c>
      <c r="G54" t="s">
        <v>164</v>
      </c>
      <c r="H54">
        <v>1</v>
      </c>
      <c r="I54">
        <v>4031</v>
      </c>
      <c r="J54">
        <v>25</v>
      </c>
      <c r="K54">
        <v>1007.75</v>
      </c>
      <c r="L54">
        <v>3023.25</v>
      </c>
      <c r="M54">
        <v>2425.81</v>
      </c>
      <c r="N54">
        <v>597.44000000000005</v>
      </c>
      <c r="O54" t="s">
        <v>91</v>
      </c>
      <c r="P54">
        <v>550.54999999999995</v>
      </c>
      <c r="Q54" t="s">
        <v>73</v>
      </c>
      <c r="R54" t="s">
        <v>41</v>
      </c>
      <c r="S54">
        <v>2</v>
      </c>
      <c r="T54">
        <v>2</v>
      </c>
      <c r="U54" t="s">
        <v>32</v>
      </c>
      <c r="V54" t="s">
        <v>42</v>
      </c>
    </row>
    <row r="55" spans="1:23" x14ac:dyDescent="0.25">
      <c r="A55" t="s">
        <v>184</v>
      </c>
      <c r="B55" s="1">
        <v>45698</v>
      </c>
      <c r="C55" t="s">
        <v>185</v>
      </c>
      <c r="D55" t="s">
        <v>124</v>
      </c>
      <c r="E55" t="s">
        <v>26</v>
      </c>
      <c r="F55" t="s">
        <v>47</v>
      </c>
      <c r="G55" t="s">
        <v>105</v>
      </c>
      <c r="H55">
        <v>3</v>
      </c>
      <c r="I55">
        <v>23864</v>
      </c>
      <c r="J55">
        <v>20</v>
      </c>
      <c r="K55">
        <v>14318.4</v>
      </c>
      <c r="L55">
        <v>57273.599999999999</v>
      </c>
      <c r="M55">
        <v>34102.019999999997</v>
      </c>
      <c r="N55">
        <v>23171.58</v>
      </c>
      <c r="O55" t="s">
        <v>60</v>
      </c>
      <c r="P55">
        <v>1856.72</v>
      </c>
      <c r="Q55" t="s">
        <v>30</v>
      </c>
      <c r="R55" t="s">
        <v>31</v>
      </c>
      <c r="S55">
        <v>5</v>
      </c>
      <c r="T55">
        <v>6</v>
      </c>
      <c r="U55" t="s">
        <v>56</v>
      </c>
      <c r="V55" t="s">
        <v>33</v>
      </c>
      <c r="W55">
        <v>2</v>
      </c>
    </row>
    <row r="56" spans="1:23" x14ac:dyDescent="0.25">
      <c r="A56" t="s">
        <v>186</v>
      </c>
      <c r="B56" s="1">
        <v>45940</v>
      </c>
      <c r="C56" t="s">
        <v>148</v>
      </c>
      <c r="D56" t="s">
        <v>97</v>
      </c>
      <c r="E56" t="s">
        <v>36</v>
      </c>
      <c r="F56" t="s">
        <v>47</v>
      </c>
      <c r="G56" t="s">
        <v>64</v>
      </c>
      <c r="H56">
        <v>1</v>
      </c>
      <c r="I56">
        <v>50792</v>
      </c>
      <c r="J56">
        <v>15</v>
      </c>
      <c r="K56">
        <v>7618.8</v>
      </c>
      <c r="L56">
        <v>43173.2</v>
      </c>
      <c r="M56">
        <v>25347.97</v>
      </c>
      <c r="N56">
        <v>17825.23</v>
      </c>
      <c r="O56" t="s">
        <v>55</v>
      </c>
      <c r="P56">
        <v>547.37</v>
      </c>
      <c r="Q56" t="s">
        <v>68</v>
      </c>
      <c r="R56" t="s">
        <v>31</v>
      </c>
      <c r="S56">
        <v>5</v>
      </c>
      <c r="T56">
        <v>0</v>
      </c>
      <c r="U56" t="s">
        <v>32</v>
      </c>
      <c r="V56" t="s">
        <v>50</v>
      </c>
      <c r="W56">
        <v>5</v>
      </c>
    </row>
    <row r="57" spans="1:23" x14ac:dyDescent="0.25">
      <c r="A57" t="s">
        <v>187</v>
      </c>
      <c r="B57" s="1">
        <v>45808</v>
      </c>
      <c r="C57" t="s">
        <v>188</v>
      </c>
      <c r="D57" t="s">
        <v>90</v>
      </c>
      <c r="E57" t="s">
        <v>26</v>
      </c>
      <c r="F57" t="s">
        <v>37</v>
      </c>
      <c r="G57" t="s">
        <v>100</v>
      </c>
      <c r="H57">
        <v>3</v>
      </c>
      <c r="I57">
        <v>4433</v>
      </c>
      <c r="J57">
        <v>25</v>
      </c>
      <c r="K57">
        <v>3324.75</v>
      </c>
      <c r="L57">
        <v>9974.25</v>
      </c>
      <c r="M57">
        <v>6971.44</v>
      </c>
      <c r="N57">
        <v>3002.81</v>
      </c>
      <c r="O57" t="s">
        <v>29</v>
      </c>
      <c r="P57">
        <v>1861.04</v>
      </c>
      <c r="Q57" t="s">
        <v>40</v>
      </c>
      <c r="R57" t="s">
        <v>31</v>
      </c>
      <c r="S57">
        <v>5</v>
      </c>
      <c r="T57">
        <v>6</v>
      </c>
      <c r="U57" t="s">
        <v>56</v>
      </c>
      <c r="V57" t="s">
        <v>33</v>
      </c>
      <c r="W57">
        <v>5</v>
      </c>
    </row>
    <row r="58" spans="1:23" x14ac:dyDescent="0.25">
      <c r="A58" t="s">
        <v>189</v>
      </c>
      <c r="B58" s="1">
        <v>45979</v>
      </c>
      <c r="C58" t="s">
        <v>158</v>
      </c>
      <c r="D58" t="s">
        <v>71</v>
      </c>
      <c r="E58" t="s">
        <v>46</v>
      </c>
      <c r="F58" t="s">
        <v>86</v>
      </c>
      <c r="G58" t="s">
        <v>180</v>
      </c>
      <c r="H58">
        <v>1</v>
      </c>
      <c r="I58">
        <v>31156</v>
      </c>
      <c r="J58">
        <v>10</v>
      </c>
      <c r="K58">
        <v>3115.6</v>
      </c>
      <c r="L58">
        <v>28040.400000000001</v>
      </c>
      <c r="M58">
        <v>21594.13</v>
      </c>
      <c r="N58">
        <v>6446.27</v>
      </c>
      <c r="O58" t="s">
        <v>91</v>
      </c>
      <c r="P58">
        <v>1058.02</v>
      </c>
      <c r="Q58" t="s">
        <v>30</v>
      </c>
      <c r="R58" t="s">
        <v>41</v>
      </c>
      <c r="S58">
        <v>2</v>
      </c>
      <c r="T58">
        <v>1</v>
      </c>
      <c r="U58" t="s">
        <v>32</v>
      </c>
      <c r="V58" t="s">
        <v>33</v>
      </c>
      <c r="W58">
        <v>1</v>
      </c>
    </row>
    <row r="59" spans="1:23" x14ac:dyDescent="0.25">
      <c r="A59" t="s">
        <v>190</v>
      </c>
      <c r="B59" s="1">
        <v>45974</v>
      </c>
      <c r="C59" t="s">
        <v>191</v>
      </c>
      <c r="D59" t="s">
        <v>124</v>
      </c>
      <c r="E59" t="s">
        <v>26</v>
      </c>
      <c r="F59" t="s">
        <v>27</v>
      </c>
      <c r="G59" t="s">
        <v>28</v>
      </c>
      <c r="H59">
        <v>2</v>
      </c>
      <c r="I59">
        <v>6563</v>
      </c>
      <c r="J59">
        <v>15</v>
      </c>
      <c r="K59">
        <v>1968.9</v>
      </c>
      <c r="L59">
        <v>11157.1</v>
      </c>
      <c r="M59">
        <v>7272.6</v>
      </c>
      <c r="N59">
        <v>3884.5</v>
      </c>
      <c r="O59" t="s">
        <v>39</v>
      </c>
      <c r="P59">
        <v>221.74</v>
      </c>
      <c r="Q59" t="s">
        <v>68</v>
      </c>
      <c r="R59" t="s">
        <v>31</v>
      </c>
      <c r="S59">
        <v>5</v>
      </c>
      <c r="T59">
        <v>4</v>
      </c>
      <c r="U59" t="s">
        <v>32</v>
      </c>
      <c r="V59" t="s">
        <v>33</v>
      </c>
      <c r="W59">
        <v>5</v>
      </c>
    </row>
    <row r="60" spans="1:23" x14ac:dyDescent="0.25">
      <c r="A60" t="s">
        <v>192</v>
      </c>
      <c r="B60" s="1">
        <v>45843</v>
      </c>
      <c r="C60" t="s">
        <v>193</v>
      </c>
      <c r="D60" t="s">
        <v>25</v>
      </c>
      <c r="E60" t="s">
        <v>36</v>
      </c>
      <c r="F60" t="s">
        <v>53</v>
      </c>
      <c r="G60" t="s">
        <v>54</v>
      </c>
      <c r="H60">
        <v>4</v>
      </c>
      <c r="I60">
        <v>78226</v>
      </c>
      <c r="J60">
        <v>10</v>
      </c>
      <c r="K60">
        <v>31290.400000000001</v>
      </c>
      <c r="L60">
        <v>281613.59999999998</v>
      </c>
      <c r="M60">
        <v>158427.85</v>
      </c>
      <c r="N60">
        <v>123185.75</v>
      </c>
      <c r="O60" t="s">
        <v>29</v>
      </c>
      <c r="P60">
        <v>1496.07</v>
      </c>
      <c r="Q60" t="s">
        <v>83</v>
      </c>
      <c r="R60" t="s">
        <v>41</v>
      </c>
      <c r="S60">
        <v>2</v>
      </c>
      <c r="T60">
        <v>2</v>
      </c>
      <c r="U60" t="s">
        <v>32</v>
      </c>
      <c r="V60" t="s">
        <v>33</v>
      </c>
      <c r="W60">
        <v>5</v>
      </c>
    </row>
    <row r="61" spans="1:23" x14ac:dyDescent="0.25">
      <c r="A61" t="s">
        <v>194</v>
      </c>
      <c r="B61" s="1">
        <v>45953</v>
      </c>
      <c r="C61" t="s">
        <v>195</v>
      </c>
      <c r="D61" t="s">
        <v>124</v>
      </c>
      <c r="E61" t="s">
        <v>46</v>
      </c>
      <c r="F61" t="s">
        <v>47</v>
      </c>
      <c r="G61" t="s">
        <v>48</v>
      </c>
      <c r="H61">
        <v>2</v>
      </c>
      <c r="I61">
        <v>33102</v>
      </c>
      <c r="J61">
        <v>5</v>
      </c>
      <c r="K61">
        <v>3310.2</v>
      </c>
      <c r="L61">
        <v>62893.8</v>
      </c>
      <c r="M61">
        <v>44214.84</v>
      </c>
      <c r="N61">
        <v>18678.96</v>
      </c>
      <c r="O61" t="s">
        <v>29</v>
      </c>
      <c r="P61">
        <v>1937.9</v>
      </c>
      <c r="Q61" t="s">
        <v>68</v>
      </c>
      <c r="R61" t="s">
        <v>41</v>
      </c>
      <c r="S61">
        <v>2</v>
      </c>
      <c r="T61">
        <v>3</v>
      </c>
      <c r="U61" t="s">
        <v>56</v>
      </c>
      <c r="V61" t="s">
        <v>33</v>
      </c>
      <c r="W61">
        <v>4</v>
      </c>
    </row>
    <row r="62" spans="1:23" x14ac:dyDescent="0.25">
      <c r="A62" t="s">
        <v>196</v>
      </c>
      <c r="B62" s="1">
        <v>45756</v>
      </c>
      <c r="C62" t="s">
        <v>197</v>
      </c>
      <c r="D62" t="s">
        <v>90</v>
      </c>
      <c r="E62" t="s">
        <v>46</v>
      </c>
      <c r="F62" t="s">
        <v>53</v>
      </c>
      <c r="G62" t="s">
        <v>82</v>
      </c>
      <c r="H62">
        <v>2</v>
      </c>
      <c r="I62">
        <v>53642</v>
      </c>
      <c r="J62">
        <v>0</v>
      </c>
      <c r="K62">
        <v>0</v>
      </c>
      <c r="L62">
        <v>107284</v>
      </c>
      <c r="M62">
        <v>77374.64</v>
      </c>
      <c r="N62">
        <v>29909.360000000001</v>
      </c>
      <c r="O62" t="s">
        <v>55</v>
      </c>
      <c r="P62">
        <v>1018.37</v>
      </c>
      <c r="Q62" t="s">
        <v>30</v>
      </c>
      <c r="R62" t="s">
        <v>41</v>
      </c>
      <c r="S62">
        <v>2</v>
      </c>
      <c r="T62">
        <v>1</v>
      </c>
      <c r="U62" t="s">
        <v>32</v>
      </c>
      <c r="V62" t="s">
        <v>33</v>
      </c>
      <c r="W62">
        <v>2</v>
      </c>
    </row>
    <row r="63" spans="1:23" x14ac:dyDescent="0.25">
      <c r="A63" t="s">
        <v>198</v>
      </c>
      <c r="B63" s="1">
        <v>46018</v>
      </c>
      <c r="C63" t="s">
        <v>199</v>
      </c>
      <c r="D63" t="s">
        <v>71</v>
      </c>
      <c r="E63" t="s">
        <v>26</v>
      </c>
      <c r="F63" t="s">
        <v>27</v>
      </c>
      <c r="G63" t="s">
        <v>76</v>
      </c>
      <c r="H63">
        <v>1</v>
      </c>
      <c r="I63">
        <v>6188</v>
      </c>
      <c r="J63">
        <v>0</v>
      </c>
      <c r="K63">
        <v>0</v>
      </c>
      <c r="L63">
        <v>6188</v>
      </c>
      <c r="M63">
        <v>4038.29</v>
      </c>
      <c r="N63">
        <v>2149.71</v>
      </c>
      <c r="O63" t="s">
        <v>55</v>
      </c>
      <c r="P63">
        <v>928.36</v>
      </c>
      <c r="Q63" t="s">
        <v>83</v>
      </c>
      <c r="R63" t="s">
        <v>31</v>
      </c>
      <c r="S63">
        <v>5</v>
      </c>
      <c r="T63">
        <v>5</v>
      </c>
      <c r="U63" t="s">
        <v>32</v>
      </c>
      <c r="V63" t="s">
        <v>50</v>
      </c>
      <c r="W63">
        <v>4</v>
      </c>
    </row>
    <row r="64" spans="1:23" x14ac:dyDescent="0.25">
      <c r="A64" t="s">
        <v>200</v>
      </c>
      <c r="B64" s="1">
        <v>45693</v>
      </c>
      <c r="C64" t="s">
        <v>201</v>
      </c>
      <c r="D64" t="s">
        <v>67</v>
      </c>
      <c r="E64" t="s">
        <v>26</v>
      </c>
      <c r="F64" t="s">
        <v>53</v>
      </c>
      <c r="G64" t="s">
        <v>151</v>
      </c>
      <c r="H64">
        <v>1</v>
      </c>
      <c r="I64">
        <v>20442</v>
      </c>
      <c r="J64">
        <v>15</v>
      </c>
      <c r="K64">
        <v>3066.3</v>
      </c>
      <c r="L64">
        <v>17375.7</v>
      </c>
      <c r="M64">
        <v>10041.23</v>
      </c>
      <c r="N64">
        <v>7334.47</v>
      </c>
      <c r="O64" t="s">
        <v>39</v>
      </c>
      <c r="P64">
        <v>414.05</v>
      </c>
      <c r="Q64" t="s">
        <v>40</v>
      </c>
      <c r="R64" t="s">
        <v>41</v>
      </c>
      <c r="S64">
        <v>2</v>
      </c>
      <c r="T64">
        <v>1</v>
      </c>
      <c r="U64" t="s">
        <v>32</v>
      </c>
      <c r="V64" t="s">
        <v>33</v>
      </c>
      <c r="W64">
        <v>5</v>
      </c>
    </row>
    <row r="65" spans="1:23" x14ac:dyDescent="0.25">
      <c r="A65" t="s">
        <v>202</v>
      </c>
      <c r="B65" s="1">
        <v>45681</v>
      </c>
      <c r="C65" t="s">
        <v>203</v>
      </c>
      <c r="D65" t="s">
        <v>63</v>
      </c>
      <c r="E65" t="s">
        <v>46</v>
      </c>
      <c r="F65" t="s">
        <v>86</v>
      </c>
      <c r="G65" t="s">
        <v>127</v>
      </c>
      <c r="H65">
        <v>1</v>
      </c>
      <c r="I65">
        <v>80967</v>
      </c>
      <c r="J65">
        <v>15</v>
      </c>
      <c r="K65">
        <v>12145.05</v>
      </c>
      <c r="L65">
        <v>68821.95</v>
      </c>
      <c r="M65">
        <v>41001.74</v>
      </c>
      <c r="N65">
        <v>27820.21</v>
      </c>
      <c r="O65" t="s">
        <v>60</v>
      </c>
      <c r="P65">
        <v>1334.19</v>
      </c>
      <c r="Q65" t="s">
        <v>83</v>
      </c>
      <c r="R65" t="s">
        <v>41</v>
      </c>
      <c r="S65">
        <v>2</v>
      </c>
      <c r="T65">
        <v>1</v>
      </c>
      <c r="U65" t="s">
        <v>32</v>
      </c>
      <c r="V65" t="s">
        <v>33</v>
      </c>
      <c r="W65">
        <v>3</v>
      </c>
    </row>
    <row r="66" spans="1:23" x14ac:dyDescent="0.25">
      <c r="A66" t="s">
        <v>204</v>
      </c>
      <c r="B66" s="1">
        <v>45996</v>
      </c>
      <c r="C66" t="s">
        <v>205</v>
      </c>
      <c r="D66" t="s">
        <v>71</v>
      </c>
      <c r="E66" t="s">
        <v>26</v>
      </c>
      <c r="F66" t="s">
        <v>47</v>
      </c>
      <c r="G66" t="s">
        <v>105</v>
      </c>
      <c r="H66">
        <v>1</v>
      </c>
      <c r="I66">
        <v>23160</v>
      </c>
      <c r="J66">
        <v>20</v>
      </c>
      <c r="K66">
        <v>4632</v>
      </c>
      <c r="L66">
        <v>18528</v>
      </c>
      <c r="M66">
        <v>10725.54</v>
      </c>
      <c r="N66">
        <v>7802.46</v>
      </c>
      <c r="O66" t="s">
        <v>39</v>
      </c>
      <c r="P66">
        <v>964.1</v>
      </c>
      <c r="Q66" t="s">
        <v>40</v>
      </c>
      <c r="R66" t="s">
        <v>31</v>
      </c>
      <c r="S66">
        <v>5</v>
      </c>
      <c r="T66">
        <v>6</v>
      </c>
      <c r="U66" t="s">
        <v>56</v>
      </c>
      <c r="V66" t="s">
        <v>33</v>
      </c>
      <c r="W66">
        <v>4</v>
      </c>
    </row>
    <row r="67" spans="1:23" x14ac:dyDescent="0.25">
      <c r="A67" t="s">
        <v>206</v>
      </c>
      <c r="B67" s="1">
        <v>45774</v>
      </c>
      <c r="C67" t="s">
        <v>207</v>
      </c>
      <c r="D67" t="s">
        <v>25</v>
      </c>
      <c r="E67" t="s">
        <v>36</v>
      </c>
      <c r="F67" t="s">
        <v>27</v>
      </c>
      <c r="G67" t="s">
        <v>72</v>
      </c>
      <c r="H67">
        <v>3</v>
      </c>
      <c r="I67">
        <v>14007</v>
      </c>
      <c r="J67">
        <v>20</v>
      </c>
      <c r="K67">
        <v>8404.2000000000007</v>
      </c>
      <c r="L67">
        <v>33616.800000000003</v>
      </c>
      <c r="M67">
        <v>21340.94</v>
      </c>
      <c r="N67">
        <v>12275.86</v>
      </c>
      <c r="O67" t="s">
        <v>60</v>
      </c>
      <c r="P67">
        <v>1890.21</v>
      </c>
      <c r="Q67" t="s">
        <v>30</v>
      </c>
      <c r="R67" t="s">
        <v>41</v>
      </c>
      <c r="S67">
        <v>2</v>
      </c>
      <c r="T67">
        <v>4</v>
      </c>
      <c r="U67" t="s">
        <v>56</v>
      </c>
      <c r="V67" t="s">
        <v>33</v>
      </c>
      <c r="W67">
        <v>3</v>
      </c>
    </row>
    <row r="68" spans="1:23" x14ac:dyDescent="0.25">
      <c r="A68" t="s">
        <v>208</v>
      </c>
      <c r="B68" s="1">
        <v>45806</v>
      </c>
      <c r="C68" t="s">
        <v>209</v>
      </c>
      <c r="D68" t="s">
        <v>71</v>
      </c>
      <c r="E68" t="s">
        <v>36</v>
      </c>
      <c r="F68" t="s">
        <v>37</v>
      </c>
      <c r="G68" t="s">
        <v>161</v>
      </c>
      <c r="H68">
        <v>1</v>
      </c>
      <c r="I68">
        <v>39758</v>
      </c>
      <c r="J68">
        <v>0</v>
      </c>
      <c r="K68">
        <v>0</v>
      </c>
      <c r="L68">
        <v>39758</v>
      </c>
      <c r="M68">
        <v>29184.85</v>
      </c>
      <c r="N68">
        <v>10573.15</v>
      </c>
      <c r="O68" t="s">
        <v>39</v>
      </c>
      <c r="P68">
        <v>1261.73</v>
      </c>
      <c r="Q68" t="s">
        <v>68</v>
      </c>
      <c r="R68" t="s">
        <v>31</v>
      </c>
      <c r="S68">
        <v>5</v>
      </c>
      <c r="T68">
        <v>5</v>
      </c>
      <c r="U68" t="s">
        <v>32</v>
      </c>
      <c r="V68" t="s">
        <v>42</v>
      </c>
    </row>
    <row r="69" spans="1:23" x14ac:dyDescent="0.25">
      <c r="A69" t="s">
        <v>210</v>
      </c>
      <c r="B69" s="1">
        <v>45698</v>
      </c>
      <c r="C69" t="s">
        <v>211</v>
      </c>
      <c r="D69" t="s">
        <v>71</v>
      </c>
      <c r="E69" t="s">
        <v>26</v>
      </c>
      <c r="F69" t="s">
        <v>27</v>
      </c>
      <c r="G69" t="s">
        <v>72</v>
      </c>
      <c r="H69">
        <v>2</v>
      </c>
      <c r="I69">
        <v>26936</v>
      </c>
      <c r="J69">
        <v>15</v>
      </c>
      <c r="K69">
        <v>8080.8</v>
      </c>
      <c r="L69">
        <v>45791.199999999997</v>
      </c>
      <c r="M69">
        <v>26099.64</v>
      </c>
      <c r="N69">
        <v>19691.560000000001</v>
      </c>
      <c r="O69" t="s">
        <v>49</v>
      </c>
      <c r="P69">
        <v>230.36</v>
      </c>
      <c r="Q69" t="s">
        <v>40</v>
      </c>
      <c r="R69" t="s">
        <v>41</v>
      </c>
      <c r="S69">
        <v>2</v>
      </c>
      <c r="T69">
        <v>4</v>
      </c>
      <c r="U69" t="s">
        <v>32</v>
      </c>
      <c r="V69" t="s">
        <v>42</v>
      </c>
    </row>
    <row r="70" spans="1:23" x14ac:dyDescent="0.25">
      <c r="A70" t="s">
        <v>212</v>
      </c>
      <c r="B70" s="1">
        <v>45777</v>
      </c>
      <c r="C70" t="s">
        <v>213</v>
      </c>
      <c r="D70" t="s">
        <v>25</v>
      </c>
      <c r="E70" t="s">
        <v>36</v>
      </c>
      <c r="F70" t="s">
        <v>27</v>
      </c>
      <c r="G70" t="s">
        <v>28</v>
      </c>
      <c r="H70">
        <v>1</v>
      </c>
      <c r="I70">
        <v>28697</v>
      </c>
      <c r="J70">
        <v>10</v>
      </c>
      <c r="K70">
        <v>2869.7</v>
      </c>
      <c r="L70">
        <v>25827.3</v>
      </c>
      <c r="M70">
        <v>15364.96</v>
      </c>
      <c r="N70">
        <v>10462.34</v>
      </c>
      <c r="O70" t="s">
        <v>49</v>
      </c>
      <c r="P70">
        <v>492.62</v>
      </c>
      <c r="Q70" t="s">
        <v>30</v>
      </c>
      <c r="R70" t="s">
        <v>31</v>
      </c>
      <c r="S70">
        <v>5</v>
      </c>
      <c r="T70">
        <v>4</v>
      </c>
      <c r="U70" t="s">
        <v>32</v>
      </c>
      <c r="V70" t="s">
        <v>42</v>
      </c>
    </row>
    <row r="71" spans="1:23" x14ac:dyDescent="0.25">
      <c r="A71" t="s">
        <v>214</v>
      </c>
      <c r="B71" s="1">
        <v>45709</v>
      </c>
      <c r="C71" t="s">
        <v>215</v>
      </c>
      <c r="D71" t="s">
        <v>90</v>
      </c>
      <c r="E71" t="s">
        <v>46</v>
      </c>
      <c r="F71" t="s">
        <v>86</v>
      </c>
      <c r="G71" t="s">
        <v>127</v>
      </c>
      <c r="H71">
        <v>1</v>
      </c>
      <c r="I71">
        <v>82089</v>
      </c>
      <c r="J71">
        <v>20</v>
      </c>
      <c r="K71">
        <v>16417.8</v>
      </c>
      <c r="L71">
        <v>65671.199999999997</v>
      </c>
      <c r="M71">
        <v>42752.76</v>
      </c>
      <c r="N71">
        <v>22918.44</v>
      </c>
      <c r="O71" t="s">
        <v>55</v>
      </c>
      <c r="P71">
        <v>2494.7199999999998</v>
      </c>
      <c r="Q71" t="s">
        <v>30</v>
      </c>
      <c r="R71" t="s">
        <v>31</v>
      </c>
      <c r="S71">
        <v>5</v>
      </c>
      <c r="T71">
        <v>3</v>
      </c>
      <c r="U71" t="s">
        <v>32</v>
      </c>
      <c r="V71" t="s">
        <v>33</v>
      </c>
      <c r="W71">
        <v>3</v>
      </c>
    </row>
    <row r="72" spans="1:23" x14ac:dyDescent="0.25">
      <c r="A72" t="s">
        <v>216</v>
      </c>
      <c r="B72" s="1">
        <v>45852</v>
      </c>
      <c r="C72" t="s">
        <v>217</v>
      </c>
      <c r="D72" t="s">
        <v>79</v>
      </c>
      <c r="E72" t="s">
        <v>36</v>
      </c>
      <c r="F72" t="s">
        <v>53</v>
      </c>
      <c r="G72" t="s">
        <v>59</v>
      </c>
      <c r="H72">
        <v>2</v>
      </c>
      <c r="I72">
        <v>54656</v>
      </c>
      <c r="J72">
        <v>25</v>
      </c>
      <c r="K72">
        <v>27328</v>
      </c>
      <c r="L72">
        <v>81984</v>
      </c>
      <c r="M72">
        <v>55781.1</v>
      </c>
      <c r="N72">
        <v>26202.9</v>
      </c>
      <c r="O72" t="s">
        <v>55</v>
      </c>
      <c r="P72">
        <v>1860.59</v>
      </c>
      <c r="Q72" t="s">
        <v>30</v>
      </c>
      <c r="R72" t="s">
        <v>31</v>
      </c>
      <c r="S72">
        <v>5</v>
      </c>
      <c r="T72">
        <v>5</v>
      </c>
      <c r="U72" t="s">
        <v>32</v>
      </c>
      <c r="V72" t="s">
        <v>33</v>
      </c>
      <c r="W72">
        <v>4</v>
      </c>
    </row>
    <row r="73" spans="1:23" x14ac:dyDescent="0.25">
      <c r="A73" t="s">
        <v>218</v>
      </c>
      <c r="B73" s="1">
        <v>45800</v>
      </c>
      <c r="C73" t="s">
        <v>219</v>
      </c>
      <c r="D73" t="s">
        <v>90</v>
      </c>
      <c r="E73" t="s">
        <v>46</v>
      </c>
      <c r="F73" t="s">
        <v>86</v>
      </c>
      <c r="G73" t="s">
        <v>180</v>
      </c>
      <c r="H73">
        <v>2</v>
      </c>
      <c r="I73">
        <v>27542</v>
      </c>
      <c r="J73">
        <v>25</v>
      </c>
      <c r="K73">
        <v>13771</v>
      </c>
      <c r="L73">
        <v>41313</v>
      </c>
      <c r="M73">
        <v>24668.09</v>
      </c>
      <c r="N73">
        <v>16644.91</v>
      </c>
      <c r="O73" t="s">
        <v>49</v>
      </c>
      <c r="P73">
        <v>241.87</v>
      </c>
      <c r="Q73" t="s">
        <v>30</v>
      </c>
      <c r="R73" t="s">
        <v>41</v>
      </c>
      <c r="S73">
        <v>2</v>
      </c>
      <c r="T73">
        <v>5</v>
      </c>
      <c r="U73" t="s">
        <v>56</v>
      </c>
      <c r="V73" t="s">
        <v>33</v>
      </c>
      <c r="W73">
        <v>5</v>
      </c>
    </row>
    <row r="74" spans="1:23" x14ac:dyDescent="0.25">
      <c r="A74" t="s">
        <v>220</v>
      </c>
      <c r="B74" s="1">
        <v>45890</v>
      </c>
      <c r="C74" t="s">
        <v>221</v>
      </c>
      <c r="D74" t="s">
        <v>154</v>
      </c>
      <c r="E74" t="s">
        <v>26</v>
      </c>
      <c r="F74" t="s">
        <v>47</v>
      </c>
      <c r="G74" t="s">
        <v>105</v>
      </c>
      <c r="H74">
        <v>1</v>
      </c>
      <c r="I74">
        <v>47246</v>
      </c>
      <c r="J74">
        <v>15</v>
      </c>
      <c r="K74">
        <v>7086.9</v>
      </c>
      <c r="L74">
        <v>40159.1</v>
      </c>
      <c r="M74">
        <v>22135.759999999998</v>
      </c>
      <c r="N74">
        <v>18023.34</v>
      </c>
      <c r="O74" t="s">
        <v>49</v>
      </c>
      <c r="P74">
        <v>388.55</v>
      </c>
      <c r="Q74" t="s">
        <v>83</v>
      </c>
      <c r="R74" t="s">
        <v>31</v>
      </c>
      <c r="S74">
        <v>5</v>
      </c>
      <c r="T74">
        <v>4</v>
      </c>
      <c r="U74" t="s">
        <v>32</v>
      </c>
      <c r="V74" t="s">
        <v>33</v>
      </c>
      <c r="W74">
        <v>3</v>
      </c>
    </row>
    <row r="75" spans="1:23" x14ac:dyDescent="0.25">
      <c r="A75" t="s">
        <v>222</v>
      </c>
      <c r="B75" s="1">
        <v>45983</v>
      </c>
      <c r="C75" t="s">
        <v>223</v>
      </c>
      <c r="D75" t="s">
        <v>154</v>
      </c>
      <c r="E75" t="s">
        <v>46</v>
      </c>
      <c r="F75" t="s">
        <v>37</v>
      </c>
      <c r="G75" t="s">
        <v>224</v>
      </c>
      <c r="H75">
        <v>1</v>
      </c>
      <c r="I75">
        <v>24539</v>
      </c>
      <c r="J75">
        <v>15</v>
      </c>
      <c r="K75">
        <v>3680.85</v>
      </c>
      <c r="L75">
        <v>20858.150000000001</v>
      </c>
      <c r="M75">
        <v>14914.69</v>
      </c>
      <c r="N75">
        <v>5943.46</v>
      </c>
      <c r="O75" t="s">
        <v>39</v>
      </c>
      <c r="P75">
        <v>1009.57</v>
      </c>
      <c r="Q75" t="s">
        <v>30</v>
      </c>
      <c r="R75" t="s">
        <v>31</v>
      </c>
      <c r="S75">
        <v>5</v>
      </c>
      <c r="T75">
        <v>2</v>
      </c>
      <c r="U75" t="s">
        <v>32</v>
      </c>
      <c r="V75" t="s">
        <v>42</v>
      </c>
    </row>
    <row r="76" spans="1:23" x14ac:dyDescent="0.25">
      <c r="A76" t="s">
        <v>225</v>
      </c>
      <c r="B76" s="1">
        <v>45844</v>
      </c>
      <c r="C76" t="s">
        <v>226</v>
      </c>
      <c r="D76" t="s">
        <v>45</v>
      </c>
      <c r="E76" t="s">
        <v>46</v>
      </c>
      <c r="F76" t="s">
        <v>37</v>
      </c>
      <c r="G76" t="s">
        <v>161</v>
      </c>
      <c r="H76">
        <v>1</v>
      </c>
      <c r="I76">
        <v>15996</v>
      </c>
      <c r="J76">
        <v>10</v>
      </c>
      <c r="K76">
        <v>1599.6</v>
      </c>
      <c r="L76">
        <v>14396.4</v>
      </c>
      <c r="M76">
        <v>10613.43</v>
      </c>
      <c r="N76">
        <v>3782.97</v>
      </c>
      <c r="O76" t="s">
        <v>29</v>
      </c>
      <c r="P76">
        <v>1571.78</v>
      </c>
      <c r="Q76" t="s">
        <v>40</v>
      </c>
      <c r="R76" t="s">
        <v>41</v>
      </c>
      <c r="S76">
        <v>2</v>
      </c>
      <c r="T76">
        <v>3</v>
      </c>
      <c r="U76" t="s">
        <v>32</v>
      </c>
      <c r="V76" t="s">
        <v>42</v>
      </c>
    </row>
    <row r="77" spans="1:23" x14ac:dyDescent="0.25">
      <c r="A77" t="s">
        <v>227</v>
      </c>
      <c r="B77" s="1">
        <v>45741</v>
      </c>
      <c r="C77" t="s">
        <v>228</v>
      </c>
      <c r="D77" t="s">
        <v>67</v>
      </c>
      <c r="E77" t="s">
        <v>26</v>
      </c>
      <c r="F77" t="s">
        <v>27</v>
      </c>
      <c r="G77" t="s">
        <v>113</v>
      </c>
      <c r="H77">
        <v>3</v>
      </c>
      <c r="I77">
        <v>19544</v>
      </c>
      <c r="J77">
        <v>0</v>
      </c>
      <c r="K77">
        <v>0</v>
      </c>
      <c r="L77">
        <v>58632</v>
      </c>
      <c r="M77">
        <v>35209.49</v>
      </c>
      <c r="N77">
        <v>23422.51</v>
      </c>
      <c r="O77" t="s">
        <v>49</v>
      </c>
      <c r="P77">
        <v>211.57</v>
      </c>
      <c r="Q77" t="s">
        <v>83</v>
      </c>
      <c r="R77" t="s">
        <v>31</v>
      </c>
      <c r="S77">
        <v>5</v>
      </c>
      <c r="T77">
        <v>6</v>
      </c>
      <c r="U77" t="s">
        <v>56</v>
      </c>
      <c r="V77" t="s">
        <v>33</v>
      </c>
      <c r="W77">
        <v>5</v>
      </c>
    </row>
    <row r="78" spans="1:23" x14ac:dyDescent="0.25">
      <c r="A78" t="s">
        <v>229</v>
      </c>
      <c r="B78" s="1">
        <v>45847</v>
      </c>
      <c r="C78" t="s">
        <v>230</v>
      </c>
      <c r="D78" t="s">
        <v>71</v>
      </c>
      <c r="E78" t="s">
        <v>26</v>
      </c>
      <c r="F78" t="s">
        <v>27</v>
      </c>
      <c r="G78" t="s">
        <v>76</v>
      </c>
      <c r="H78">
        <v>1</v>
      </c>
      <c r="I78">
        <v>26769</v>
      </c>
      <c r="J78">
        <v>20</v>
      </c>
      <c r="K78">
        <v>5353.8</v>
      </c>
      <c r="L78">
        <v>21415.200000000001</v>
      </c>
      <c r="M78">
        <v>12745.44</v>
      </c>
      <c r="N78">
        <v>8669.76</v>
      </c>
      <c r="O78" t="s">
        <v>29</v>
      </c>
      <c r="P78">
        <v>1950.43</v>
      </c>
      <c r="Q78" t="s">
        <v>73</v>
      </c>
      <c r="R78" t="s">
        <v>31</v>
      </c>
      <c r="S78">
        <v>5</v>
      </c>
      <c r="T78">
        <v>6</v>
      </c>
      <c r="U78" t="s">
        <v>32</v>
      </c>
      <c r="V78" t="s">
        <v>42</v>
      </c>
    </row>
    <row r="79" spans="1:23" x14ac:dyDescent="0.25">
      <c r="A79" t="s">
        <v>231</v>
      </c>
      <c r="B79" s="1">
        <v>45839</v>
      </c>
      <c r="C79" t="s">
        <v>115</v>
      </c>
      <c r="D79" t="s">
        <v>97</v>
      </c>
      <c r="E79" t="s">
        <v>46</v>
      </c>
      <c r="F79" t="s">
        <v>53</v>
      </c>
      <c r="G79" t="s">
        <v>59</v>
      </c>
      <c r="H79">
        <v>1</v>
      </c>
      <c r="I79">
        <v>106323</v>
      </c>
      <c r="J79">
        <v>0</v>
      </c>
      <c r="K79">
        <v>0</v>
      </c>
      <c r="L79">
        <v>106323</v>
      </c>
      <c r="M79">
        <v>66167.990000000005</v>
      </c>
      <c r="N79">
        <v>40155.01</v>
      </c>
      <c r="O79" t="s">
        <v>39</v>
      </c>
      <c r="P79">
        <v>2092.0100000000002</v>
      </c>
      <c r="Q79" t="s">
        <v>83</v>
      </c>
      <c r="R79" t="s">
        <v>41</v>
      </c>
      <c r="S79">
        <v>2</v>
      </c>
      <c r="T79">
        <v>4</v>
      </c>
      <c r="U79" t="s">
        <v>32</v>
      </c>
      <c r="V79" t="s">
        <v>42</v>
      </c>
    </row>
    <row r="80" spans="1:23" x14ac:dyDescent="0.25">
      <c r="A80" t="s">
        <v>232</v>
      </c>
      <c r="B80" s="1">
        <v>45765</v>
      </c>
      <c r="C80" t="s">
        <v>233</v>
      </c>
      <c r="D80" t="s">
        <v>71</v>
      </c>
      <c r="E80" t="s">
        <v>26</v>
      </c>
      <c r="F80" t="s">
        <v>27</v>
      </c>
      <c r="G80" t="s">
        <v>28</v>
      </c>
      <c r="H80">
        <v>2</v>
      </c>
      <c r="I80">
        <v>18236</v>
      </c>
      <c r="J80">
        <v>10</v>
      </c>
      <c r="K80">
        <v>3647.2</v>
      </c>
      <c r="L80">
        <v>32824.800000000003</v>
      </c>
      <c r="M80">
        <v>25695.05</v>
      </c>
      <c r="N80">
        <v>7129.75</v>
      </c>
      <c r="O80" t="s">
        <v>55</v>
      </c>
      <c r="P80">
        <v>2486.1</v>
      </c>
      <c r="Q80" t="s">
        <v>68</v>
      </c>
      <c r="R80" t="s">
        <v>41</v>
      </c>
      <c r="S80">
        <v>2</v>
      </c>
      <c r="T80">
        <v>2</v>
      </c>
      <c r="U80" t="s">
        <v>32</v>
      </c>
      <c r="V80" t="s">
        <v>33</v>
      </c>
      <c r="W80">
        <v>5</v>
      </c>
    </row>
    <row r="81" spans="1:23" x14ac:dyDescent="0.25">
      <c r="A81" t="s">
        <v>234</v>
      </c>
      <c r="B81" s="1">
        <v>46001</v>
      </c>
      <c r="C81" t="s">
        <v>235</v>
      </c>
      <c r="E81" t="s">
        <v>46</v>
      </c>
      <c r="F81" t="s">
        <v>47</v>
      </c>
      <c r="G81" t="s">
        <v>64</v>
      </c>
      <c r="H81">
        <v>2</v>
      </c>
      <c r="I81">
        <v>20541</v>
      </c>
      <c r="J81">
        <v>10</v>
      </c>
      <c r="K81">
        <v>4108.2</v>
      </c>
      <c r="L81">
        <v>36973.800000000003</v>
      </c>
      <c r="M81">
        <v>25649.31</v>
      </c>
      <c r="N81">
        <v>11324.49</v>
      </c>
      <c r="O81" t="s">
        <v>49</v>
      </c>
      <c r="P81">
        <v>490.55</v>
      </c>
      <c r="Q81" t="s">
        <v>73</v>
      </c>
      <c r="R81" t="s">
        <v>31</v>
      </c>
      <c r="S81">
        <v>5</v>
      </c>
      <c r="T81">
        <v>2</v>
      </c>
      <c r="U81" t="s">
        <v>32</v>
      </c>
      <c r="V81" t="s">
        <v>42</v>
      </c>
    </row>
    <row r="82" spans="1:23" x14ac:dyDescent="0.25">
      <c r="A82" t="s">
        <v>236</v>
      </c>
      <c r="B82" s="1">
        <v>45794</v>
      </c>
      <c r="C82" t="s">
        <v>237</v>
      </c>
      <c r="D82" t="s">
        <v>97</v>
      </c>
      <c r="E82" t="s">
        <v>36</v>
      </c>
      <c r="F82" t="s">
        <v>86</v>
      </c>
      <c r="G82" t="s">
        <v>110</v>
      </c>
      <c r="H82">
        <v>1</v>
      </c>
      <c r="I82">
        <v>13770</v>
      </c>
      <c r="J82">
        <v>0</v>
      </c>
      <c r="K82">
        <v>0</v>
      </c>
      <c r="L82">
        <v>13770</v>
      </c>
      <c r="M82">
        <v>8501.7800000000007</v>
      </c>
      <c r="N82">
        <v>5268.22</v>
      </c>
      <c r="O82" t="s">
        <v>49</v>
      </c>
      <c r="P82">
        <v>392.66</v>
      </c>
      <c r="Q82" t="s">
        <v>30</v>
      </c>
      <c r="R82" t="s">
        <v>41</v>
      </c>
      <c r="S82">
        <v>2</v>
      </c>
      <c r="T82">
        <v>6</v>
      </c>
      <c r="U82" t="s">
        <v>32</v>
      </c>
      <c r="V82" t="s">
        <v>50</v>
      </c>
      <c r="W82">
        <v>2</v>
      </c>
    </row>
    <row r="83" spans="1:23" x14ac:dyDescent="0.25">
      <c r="A83" t="s">
        <v>238</v>
      </c>
      <c r="B83" s="1">
        <v>46017</v>
      </c>
      <c r="C83" t="s">
        <v>239</v>
      </c>
      <c r="D83" t="s">
        <v>63</v>
      </c>
      <c r="E83" t="s">
        <v>46</v>
      </c>
      <c r="F83" t="s">
        <v>27</v>
      </c>
      <c r="G83" t="s">
        <v>76</v>
      </c>
      <c r="H83">
        <v>1</v>
      </c>
      <c r="I83">
        <v>20395</v>
      </c>
      <c r="J83">
        <v>10</v>
      </c>
      <c r="K83">
        <v>2039.5</v>
      </c>
      <c r="L83">
        <v>18355.5</v>
      </c>
      <c r="M83">
        <v>12348.99</v>
      </c>
      <c r="N83">
        <v>6006.51</v>
      </c>
      <c r="O83" t="s">
        <v>49</v>
      </c>
      <c r="P83">
        <v>51.11</v>
      </c>
      <c r="Q83" t="s">
        <v>83</v>
      </c>
      <c r="R83" t="s">
        <v>41</v>
      </c>
      <c r="S83">
        <v>2</v>
      </c>
      <c r="T83">
        <v>2</v>
      </c>
      <c r="U83" t="s">
        <v>32</v>
      </c>
      <c r="V83" t="s">
        <v>33</v>
      </c>
      <c r="W83">
        <v>5</v>
      </c>
    </row>
    <row r="84" spans="1:23" x14ac:dyDescent="0.25">
      <c r="A84" t="s">
        <v>240</v>
      </c>
      <c r="B84" s="1">
        <v>46007</v>
      </c>
      <c r="C84" t="s">
        <v>241</v>
      </c>
      <c r="D84" t="s">
        <v>97</v>
      </c>
      <c r="E84" t="s">
        <v>46</v>
      </c>
      <c r="F84" t="s">
        <v>27</v>
      </c>
      <c r="G84" t="s">
        <v>72</v>
      </c>
      <c r="H84">
        <v>1</v>
      </c>
      <c r="I84">
        <v>14079</v>
      </c>
      <c r="J84">
        <v>10</v>
      </c>
      <c r="K84">
        <v>1407.9</v>
      </c>
      <c r="L84">
        <v>12671.1</v>
      </c>
      <c r="M84">
        <v>8841.56</v>
      </c>
      <c r="N84">
        <v>3829.54</v>
      </c>
      <c r="O84" t="s">
        <v>60</v>
      </c>
      <c r="P84">
        <v>990.6</v>
      </c>
      <c r="Q84" t="s">
        <v>83</v>
      </c>
      <c r="R84" t="s">
        <v>41</v>
      </c>
      <c r="S84">
        <v>2</v>
      </c>
      <c r="T84">
        <v>4</v>
      </c>
      <c r="U84" t="s">
        <v>56</v>
      </c>
      <c r="V84" t="s">
        <v>33</v>
      </c>
      <c r="W84">
        <v>5</v>
      </c>
    </row>
    <row r="85" spans="1:23" x14ac:dyDescent="0.25">
      <c r="A85" t="s">
        <v>242</v>
      </c>
      <c r="B85" s="1">
        <v>45989</v>
      </c>
      <c r="C85" t="s">
        <v>140</v>
      </c>
      <c r="D85" t="s">
        <v>90</v>
      </c>
      <c r="E85" t="s">
        <v>36</v>
      </c>
      <c r="F85" t="s">
        <v>53</v>
      </c>
      <c r="G85" t="s">
        <v>151</v>
      </c>
      <c r="H85">
        <v>1</v>
      </c>
      <c r="I85">
        <v>68836</v>
      </c>
      <c r="J85">
        <v>10</v>
      </c>
      <c r="K85">
        <v>6883.6</v>
      </c>
      <c r="L85">
        <v>61952.4</v>
      </c>
      <c r="M85">
        <v>36733.06</v>
      </c>
      <c r="N85">
        <v>25219.34</v>
      </c>
      <c r="O85" t="s">
        <v>55</v>
      </c>
      <c r="P85">
        <v>1029</v>
      </c>
      <c r="Q85" t="s">
        <v>83</v>
      </c>
      <c r="R85" t="s">
        <v>31</v>
      </c>
      <c r="S85">
        <v>5</v>
      </c>
      <c r="T85">
        <v>3</v>
      </c>
      <c r="U85" t="s">
        <v>32</v>
      </c>
      <c r="V85" t="s">
        <v>33</v>
      </c>
      <c r="W85">
        <v>5</v>
      </c>
    </row>
    <row r="86" spans="1:23" x14ac:dyDescent="0.25">
      <c r="A86" t="s">
        <v>243</v>
      </c>
      <c r="B86" s="1">
        <v>45694</v>
      </c>
      <c r="C86" t="s">
        <v>66</v>
      </c>
      <c r="D86" t="s">
        <v>71</v>
      </c>
      <c r="E86" t="s">
        <v>46</v>
      </c>
      <c r="F86" t="s">
        <v>86</v>
      </c>
      <c r="G86" t="s">
        <v>87</v>
      </c>
      <c r="H86">
        <v>2</v>
      </c>
      <c r="I86">
        <v>17953</v>
      </c>
      <c r="J86">
        <v>0</v>
      </c>
      <c r="K86">
        <v>0</v>
      </c>
      <c r="L86">
        <v>35906</v>
      </c>
      <c r="M86">
        <v>21817.34</v>
      </c>
      <c r="N86">
        <v>14088.66</v>
      </c>
      <c r="O86" t="s">
        <v>49</v>
      </c>
      <c r="P86">
        <v>151.79</v>
      </c>
      <c r="Q86" t="s">
        <v>30</v>
      </c>
      <c r="R86" t="s">
        <v>31</v>
      </c>
      <c r="S86">
        <v>5</v>
      </c>
      <c r="T86">
        <v>3</v>
      </c>
      <c r="U86" t="s">
        <v>32</v>
      </c>
      <c r="V86" t="s">
        <v>33</v>
      </c>
      <c r="W86">
        <v>5</v>
      </c>
    </row>
    <row r="87" spans="1:23" x14ac:dyDescent="0.25">
      <c r="A87" t="s">
        <v>244</v>
      </c>
      <c r="B87" s="1">
        <v>45969</v>
      </c>
      <c r="C87" t="s">
        <v>245</v>
      </c>
      <c r="D87" t="s">
        <v>79</v>
      </c>
      <c r="E87" t="s">
        <v>26</v>
      </c>
      <c r="F87" t="s">
        <v>53</v>
      </c>
      <c r="G87" t="s">
        <v>151</v>
      </c>
      <c r="H87">
        <v>1</v>
      </c>
      <c r="I87">
        <v>39008</v>
      </c>
      <c r="J87">
        <v>0</v>
      </c>
      <c r="K87">
        <v>0</v>
      </c>
      <c r="L87">
        <v>39008</v>
      </c>
      <c r="M87">
        <v>24754.67</v>
      </c>
      <c r="N87">
        <v>14253.33</v>
      </c>
      <c r="O87" t="s">
        <v>60</v>
      </c>
      <c r="P87">
        <v>1978.96</v>
      </c>
      <c r="Q87" t="s">
        <v>68</v>
      </c>
      <c r="R87" t="s">
        <v>31</v>
      </c>
      <c r="S87">
        <v>5</v>
      </c>
      <c r="T87">
        <v>3</v>
      </c>
      <c r="U87" t="s">
        <v>32</v>
      </c>
      <c r="V87" t="s">
        <v>33</v>
      </c>
      <c r="W87">
        <v>4</v>
      </c>
    </row>
    <row r="88" spans="1:23" x14ac:dyDescent="0.25">
      <c r="A88" t="s">
        <v>246</v>
      </c>
      <c r="B88" s="1">
        <v>45983</v>
      </c>
      <c r="C88" t="s">
        <v>247</v>
      </c>
      <c r="D88" t="s">
        <v>45</v>
      </c>
      <c r="E88" t="s">
        <v>26</v>
      </c>
      <c r="F88" t="s">
        <v>47</v>
      </c>
      <c r="G88" t="s">
        <v>138</v>
      </c>
      <c r="H88">
        <v>1</v>
      </c>
      <c r="I88">
        <v>54345</v>
      </c>
      <c r="J88">
        <v>15</v>
      </c>
      <c r="K88">
        <v>8151.75</v>
      </c>
      <c r="L88">
        <v>46193.25</v>
      </c>
      <c r="M88">
        <v>33090.1</v>
      </c>
      <c r="N88">
        <v>13103.15</v>
      </c>
      <c r="O88" t="s">
        <v>55</v>
      </c>
      <c r="P88">
        <v>2262.16</v>
      </c>
      <c r="Q88" t="s">
        <v>68</v>
      </c>
      <c r="R88" t="s">
        <v>31</v>
      </c>
      <c r="S88">
        <v>5</v>
      </c>
      <c r="T88">
        <v>6</v>
      </c>
      <c r="U88" t="s">
        <v>56</v>
      </c>
      <c r="V88" t="s">
        <v>33</v>
      </c>
      <c r="W88">
        <v>1</v>
      </c>
    </row>
    <row r="89" spans="1:23" x14ac:dyDescent="0.25">
      <c r="A89" t="s">
        <v>248</v>
      </c>
      <c r="B89" s="1">
        <v>45745</v>
      </c>
      <c r="C89" t="s">
        <v>249</v>
      </c>
      <c r="D89" t="s">
        <v>25</v>
      </c>
      <c r="E89" t="s">
        <v>46</v>
      </c>
      <c r="F89" t="s">
        <v>53</v>
      </c>
      <c r="G89" t="s">
        <v>82</v>
      </c>
      <c r="H89">
        <v>1</v>
      </c>
      <c r="I89">
        <v>45302</v>
      </c>
      <c r="J89">
        <v>0</v>
      </c>
      <c r="K89">
        <v>0</v>
      </c>
      <c r="L89">
        <v>45302</v>
      </c>
      <c r="M89">
        <v>35287.129999999997</v>
      </c>
      <c r="N89">
        <v>10014.870000000001</v>
      </c>
      <c r="O89" t="s">
        <v>60</v>
      </c>
      <c r="P89">
        <v>1595.93</v>
      </c>
      <c r="Q89" t="s">
        <v>68</v>
      </c>
      <c r="R89" t="s">
        <v>41</v>
      </c>
      <c r="S89">
        <v>2</v>
      </c>
      <c r="T89">
        <v>1</v>
      </c>
      <c r="U89" t="s">
        <v>32</v>
      </c>
      <c r="V89" t="s">
        <v>50</v>
      </c>
      <c r="W89">
        <v>5</v>
      </c>
    </row>
    <row r="90" spans="1:23" x14ac:dyDescent="0.25">
      <c r="A90" t="s">
        <v>250</v>
      </c>
      <c r="B90" s="1">
        <v>45931</v>
      </c>
      <c r="C90" t="s">
        <v>251</v>
      </c>
      <c r="D90" t="s">
        <v>124</v>
      </c>
      <c r="E90" t="s">
        <v>46</v>
      </c>
      <c r="F90" t="s">
        <v>27</v>
      </c>
      <c r="G90" t="s">
        <v>72</v>
      </c>
      <c r="H90">
        <v>1</v>
      </c>
      <c r="I90">
        <v>20810</v>
      </c>
      <c r="J90">
        <v>10</v>
      </c>
      <c r="K90">
        <v>2081</v>
      </c>
      <c r="L90">
        <v>18729</v>
      </c>
      <c r="M90">
        <v>15023.65</v>
      </c>
      <c r="N90">
        <v>3705.35</v>
      </c>
      <c r="O90" t="s">
        <v>60</v>
      </c>
      <c r="P90">
        <v>2129.64</v>
      </c>
      <c r="Q90" t="s">
        <v>30</v>
      </c>
      <c r="R90" t="s">
        <v>41</v>
      </c>
      <c r="S90">
        <v>2</v>
      </c>
      <c r="T90">
        <v>1</v>
      </c>
      <c r="U90" t="s">
        <v>32</v>
      </c>
      <c r="V90" t="s">
        <v>33</v>
      </c>
      <c r="W90">
        <v>5</v>
      </c>
    </row>
    <row r="91" spans="1:23" x14ac:dyDescent="0.25">
      <c r="A91" t="s">
        <v>252</v>
      </c>
      <c r="B91" s="1">
        <v>45783</v>
      </c>
      <c r="C91" t="s">
        <v>253</v>
      </c>
      <c r="D91" t="s">
        <v>67</v>
      </c>
      <c r="E91" t="s">
        <v>46</v>
      </c>
      <c r="F91" t="s">
        <v>86</v>
      </c>
      <c r="G91" t="s">
        <v>110</v>
      </c>
      <c r="H91">
        <v>1</v>
      </c>
      <c r="I91">
        <v>11220</v>
      </c>
      <c r="J91">
        <v>25</v>
      </c>
      <c r="K91">
        <v>2805</v>
      </c>
      <c r="L91">
        <v>8415</v>
      </c>
      <c r="M91">
        <v>5279.16</v>
      </c>
      <c r="N91">
        <v>3135.84</v>
      </c>
      <c r="O91" t="s">
        <v>55</v>
      </c>
      <c r="P91">
        <v>1125.24</v>
      </c>
      <c r="Q91" t="s">
        <v>40</v>
      </c>
      <c r="R91" t="s">
        <v>41</v>
      </c>
      <c r="S91">
        <v>2</v>
      </c>
      <c r="T91">
        <v>3</v>
      </c>
      <c r="U91" t="s">
        <v>32</v>
      </c>
      <c r="V91" t="s">
        <v>50</v>
      </c>
      <c r="W91">
        <v>5</v>
      </c>
    </row>
    <row r="92" spans="1:23" x14ac:dyDescent="0.25">
      <c r="A92" t="s">
        <v>254</v>
      </c>
      <c r="B92" s="1">
        <v>45741</v>
      </c>
      <c r="C92" t="s">
        <v>255</v>
      </c>
      <c r="D92" t="s">
        <v>63</v>
      </c>
      <c r="E92" t="s">
        <v>46</v>
      </c>
      <c r="F92" t="s">
        <v>37</v>
      </c>
      <c r="G92" t="s">
        <v>38</v>
      </c>
      <c r="H92">
        <v>1</v>
      </c>
      <c r="I92">
        <v>29606</v>
      </c>
      <c r="J92">
        <v>0</v>
      </c>
      <c r="K92">
        <v>0</v>
      </c>
      <c r="L92">
        <v>29606</v>
      </c>
      <c r="M92">
        <v>18762.68</v>
      </c>
      <c r="N92">
        <v>10843.32</v>
      </c>
      <c r="O92" t="s">
        <v>55</v>
      </c>
      <c r="P92">
        <v>762.3</v>
      </c>
      <c r="Q92" t="s">
        <v>30</v>
      </c>
      <c r="R92" t="s">
        <v>31</v>
      </c>
      <c r="S92">
        <v>5</v>
      </c>
      <c r="T92">
        <v>5</v>
      </c>
      <c r="U92" t="s">
        <v>32</v>
      </c>
      <c r="V92" t="s">
        <v>33</v>
      </c>
      <c r="W92">
        <v>1</v>
      </c>
    </row>
    <row r="93" spans="1:23" x14ac:dyDescent="0.25">
      <c r="A93" t="s">
        <v>256</v>
      </c>
      <c r="B93" s="1">
        <v>45894</v>
      </c>
      <c r="C93" t="s">
        <v>257</v>
      </c>
      <c r="D93" t="s">
        <v>63</v>
      </c>
      <c r="E93" t="s">
        <v>26</v>
      </c>
      <c r="F93" t="s">
        <v>53</v>
      </c>
      <c r="G93" t="s">
        <v>54</v>
      </c>
      <c r="H93">
        <v>2</v>
      </c>
      <c r="I93">
        <v>24655</v>
      </c>
      <c r="J93">
        <v>0</v>
      </c>
      <c r="K93">
        <v>0</v>
      </c>
      <c r="L93">
        <v>49310</v>
      </c>
      <c r="M93">
        <v>33729.589999999997</v>
      </c>
      <c r="N93">
        <v>15580.41</v>
      </c>
      <c r="O93" t="s">
        <v>49</v>
      </c>
      <c r="P93">
        <v>217.34</v>
      </c>
      <c r="Q93" t="s">
        <v>73</v>
      </c>
      <c r="R93" t="s">
        <v>41</v>
      </c>
      <c r="S93">
        <v>2</v>
      </c>
      <c r="T93">
        <v>3</v>
      </c>
      <c r="U93" t="s">
        <v>56</v>
      </c>
      <c r="V93" t="s">
        <v>33</v>
      </c>
      <c r="W93">
        <v>2</v>
      </c>
    </row>
    <row r="94" spans="1:23" x14ac:dyDescent="0.25">
      <c r="A94" t="s">
        <v>258</v>
      </c>
      <c r="B94" s="1">
        <v>45852</v>
      </c>
      <c r="C94" t="s">
        <v>259</v>
      </c>
      <c r="D94" t="s">
        <v>71</v>
      </c>
      <c r="E94" t="s">
        <v>26</v>
      </c>
      <c r="F94" t="s">
        <v>53</v>
      </c>
      <c r="G94" t="s">
        <v>151</v>
      </c>
      <c r="H94">
        <v>1</v>
      </c>
      <c r="I94">
        <v>84582</v>
      </c>
      <c r="J94">
        <v>25</v>
      </c>
      <c r="K94">
        <v>21145.5</v>
      </c>
      <c r="L94">
        <v>63436.5</v>
      </c>
      <c r="M94">
        <v>41058.22</v>
      </c>
      <c r="N94">
        <v>22378.28</v>
      </c>
      <c r="O94" t="s">
        <v>39</v>
      </c>
      <c r="P94">
        <v>561.80999999999995</v>
      </c>
      <c r="Q94" t="s">
        <v>83</v>
      </c>
      <c r="R94" t="s">
        <v>31</v>
      </c>
      <c r="S94">
        <v>5</v>
      </c>
      <c r="T94">
        <v>3</v>
      </c>
      <c r="U94" t="s">
        <v>32</v>
      </c>
      <c r="V94" t="s">
        <v>33</v>
      </c>
      <c r="W94">
        <v>3</v>
      </c>
    </row>
    <row r="95" spans="1:23" x14ac:dyDescent="0.25">
      <c r="A95" t="s">
        <v>260</v>
      </c>
      <c r="B95" s="1">
        <v>45796</v>
      </c>
      <c r="C95" t="s">
        <v>261</v>
      </c>
      <c r="D95" t="s">
        <v>97</v>
      </c>
      <c r="E95" t="s">
        <v>46</v>
      </c>
      <c r="F95" t="s">
        <v>37</v>
      </c>
      <c r="G95" t="s">
        <v>224</v>
      </c>
      <c r="H95">
        <v>3</v>
      </c>
      <c r="I95">
        <v>29098</v>
      </c>
      <c r="J95">
        <v>0</v>
      </c>
      <c r="K95">
        <v>0</v>
      </c>
      <c r="L95">
        <v>87294</v>
      </c>
      <c r="M95">
        <v>52229.7</v>
      </c>
      <c r="N95">
        <v>35064.300000000003</v>
      </c>
      <c r="O95" t="s">
        <v>55</v>
      </c>
      <c r="P95">
        <v>940.14</v>
      </c>
      <c r="Q95" t="s">
        <v>30</v>
      </c>
      <c r="R95" t="s">
        <v>41</v>
      </c>
      <c r="S95">
        <v>2</v>
      </c>
      <c r="T95">
        <v>1</v>
      </c>
      <c r="U95" t="s">
        <v>32</v>
      </c>
      <c r="V95" t="s">
        <v>33</v>
      </c>
      <c r="W95">
        <v>2</v>
      </c>
    </row>
    <row r="96" spans="1:23" x14ac:dyDescent="0.25">
      <c r="A96" t="s">
        <v>262</v>
      </c>
      <c r="B96" s="1">
        <v>45985</v>
      </c>
      <c r="C96" t="s">
        <v>263</v>
      </c>
      <c r="D96" t="s">
        <v>45</v>
      </c>
      <c r="E96" t="s">
        <v>46</v>
      </c>
      <c r="F96" t="s">
        <v>86</v>
      </c>
      <c r="G96" t="s">
        <v>94</v>
      </c>
      <c r="H96">
        <v>2</v>
      </c>
      <c r="I96">
        <v>35253</v>
      </c>
      <c r="J96">
        <v>0</v>
      </c>
      <c r="K96">
        <v>0</v>
      </c>
      <c r="L96">
        <v>70506</v>
      </c>
      <c r="M96">
        <v>56940.75</v>
      </c>
      <c r="N96">
        <v>13565.25</v>
      </c>
      <c r="O96" t="s">
        <v>39</v>
      </c>
      <c r="P96">
        <v>849.31</v>
      </c>
      <c r="Q96" t="s">
        <v>73</v>
      </c>
      <c r="R96" t="s">
        <v>41</v>
      </c>
      <c r="S96">
        <v>2</v>
      </c>
      <c r="T96">
        <v>1</v>
      </c>
      <c r="U96" t="s">
        <v>32</v>
      </c>
      <c r="V96" t="s">
        <v>33</v>
      </c>
      <c r="W96">
        <v>5</v>
      </c>
    </row>
    <row r="97" spans="1:23" x14ac:dyDescent="0.25">
      <c r="A97" t="s">
        <v>264</v>
      </c>
      <c r="B97" s="1">
        <v>46010</v>
      </c>
      <c r="C97" t="s">
        <v>265</v>
      </c>
      <c r="D97" t="s">
        <v>67</v>
      </c>
      <c r="E97" t="s">
        <v>46</v>
      </c>
      <c r="F97" t="s">
        <v>86</v>
      </c>
      <c r="G97" t="s">
        <v>180</v>
      </c>
      <c r="H97">
        <v>1</v>
      </c>
      <c r="I97">
        <v>37795</v>
      </c>
      <c r="J97">
        <v>20</v>
      </c>
      <c r="K97">
        <v>7559</v>
      </c>
      <c r="L97">
        <v>30236</v>
      </c>
      <c r="M97">
        <v>24775.45</v>
      </c>
      <c r="N97">
        <v>5460.55</v>
      </c>
      <c r="O97" t="s">
        <v>55</v>
      </c>
      <c r="P97">
        <v>214.67</v>
      </c>
      <c r="Q97" t="s">
        <v>30</v>
      </c>
      <c r="R97" t="s">
        <v>31</v>
      </c>
      <c r="S97">
        <v>5</v>
      </c>
      <c r="T97">
        <v>2</v>
      </c>
      <c r="U97" t="s">
        <v>32</v>
      </c>
      <c r="V97" t="s">
        <v>33</v>
      </c>
      <c r="W97">
        <v>2</v>
      </c>
    </row>
    <row r="98" spans="1:23" x14ac:dyDescent="0.25">
      <c r="A98" t="s">
        <v>266</v>
      </c>
      <c r="B98" s="1">
        <v>45943</v>
      </c>
      <c r="C98" t="s">
        <v>267</v>
      </c>
      <c r="D98" t="s">
        <v>25</v>
      </c>
      <c r="E98" t="s">
        <v>36</v>
      </c>
      <c r="F98" t="s">
        <v>53</v>
      </c>
      <c r="G98" t="s">
        <v>268</v>
      </c>
      <c r="H98">
        <v>3</v>
      </c>
      <c r="I98">
        <v>52911</v>
      </c>
      <c r="J98">
        <v>0</v>
      </c>
      <c r="K98">
        <v>0</v>
      </c>
      <c r="L98">
        <v>158733</v>
      </c>
      <c r="M98">
        <v>96097.35</v>
      </c>
      <c r="N98">
        <v>62635.65</v>
      </c>
      <c r="O98" t="s">
        <v>49</v>
      </c>
      <c r="P98">
        <v>482.53</v>
      </c>
      <c r="Q98" t="s">
        <v>68</v>
      </c>
      <c r="R98" t="s">
        <v>41</v>
      </c>
      <c r="S98">
        <v>2</v>
      </c>
      <c r="T98">
        <v>2</v>
      </c>
      <c r="U98" t="s">
        <v>32</v>
      </c>
      <c r="V98" t="s">
        <v>33</v>
      </c>
      <c r="W98">
        <v>4</v>
      </c>
    </row>
    <row r="99" spans="1:23" x14ac:dyDescent="0.25">
      <c r="A99" t="s">
        <v>269</v>
      </c>
      <c r="B99" s="1">
        <v>45770</v>
      </c>
      <c r="C99" t="s">
        <v>270</v>
      </c>
      <c r="D99" t="s">
        <v>124</v>
      </c>
      <c r="E99" t="s">
        <v>46</v>
      </c>
      <c r="F99" t="s">
        <v>86</v>
      </c>
      <c r="G99" t="s">
        <v>180</v>
      </c>
      <c r="H99">
        <v>3</v>
      </c>
      <c r="I99">
        <v>82122</v>
      </c>
      <c r="J99">
        <v>0</v>
      </c>
      <c r="K99">
        <v>0</v>
      </c>
      <c r="L99">
        <v>246366</v>
      </c>
      <c r="M99">
        <v>177888.14</v>
      </c>
      <c r="N99">
        <v>68477.86</v>
      </c>
      <c r="O99" t="s">
        <v>29</v>
      </c>
      <c r="P99">
        <v>1505.99</v>
      </c>
      <c r="Q99" t="s">
        <v>30</v>
      </c>
      <c r="R99" t="s">
        <v>31</v>
      </c>
      <c r="S99">
        <v>5</v>
      </c>
      <c r="T99">
        <v>5</v>
      </c>
      <c r="U99" t="s">
        <v>32</v>
      </c>
      <c r="V99" t="s">
        <v>33</v>
      </c>
      <c r="W99">
        <v>5</v>
      </c>
    </row>
    <row r="100" spans="1:23" x14ac:dyDescent="0.25">
      <c r="A100" t="s">
        <v>271</v>
      </c>
      <c r="B100" s="1">
        <v>46008</v>
      </c>
      <c r="C100" t="s">
        <v>272</v>
      </c>
      <c r="D100" t="s">
        <v>63</v>
      </c>
      <c r="E100" t="s">
        <v>36</v>
      </c>
      <c r="F100" t="s">
        <v>47</v>
      </c>
      <c r="G100" t="s">
        <v>146</v>
      </c>
      <c r="H100">
        <v>1</v>
      </c>
      <c r="I100">
        <v>28381</v>
      </c>
      <c r="J100">
        <v>5</v>
      </c>
      <c r="K100">
        <v>1419.05</v>
      </c>
      <c r="L100">
        <v>26961.95</v>
      </c>
      <c r="M100">
        <v>15372.78</v>
      </c>
      <c r="N100">
        <v>11589.17</v>
      </c>
      <c r="O100" t="s">
        <v>39</v>
      </c>
      <c r="P100">
        <v>1971.34</v>
      </c>
      <c r="Q100" t="s">
        <v>83</v>
      </c>
      <c r="R100" t="s">
        <v>31</v>
      </c>
      <c r="S100">
        <v>5</v>
      </c>
      <c r="T100">
        <v>5</v>
      </c>
      <c r="U100" t="s">
        <v>32</v>
      </c>
      <c r="V100" t="s">
        <v>33</v>
      </c>
      <c r="W100">
        <v>5</v>
      </c>
    </row>
    <row r="101" spans="1:23" x14ac:dyDescent="0.25">
      <c r="A101" t="s">
        <v>273</v>
      </c>
      <c r="B101" s="1">
        <v>45824</v>
      </c>
      <c r="C101" t="s">
        <v>274</v>
      </c>
      <c r="D101" t="s">
        <v>67</v>
      </c>
      <c r="E101" t="s">
        <v>46</v>
      </c>
      <c r="F101" t="s">
        <v>47</v>
      </c>
      <c r="G101" t="s">
        <v>138</v>
      </c>
      <c r="H101">
        <v>1</v>
      </c>
      <c r="I101">
        <v>20607</v>
      </c>
      <c r="J101">
        <v>10</v>
      </c>
      <c r="K101">
        <v>2060.6999999999998</v>
      </c>
      <c r="L101">
        <v>18546.3</v>
      </c>
      <c r="M101">
        <v>14469.27</v>
      </c>
      <c r="N101">
        <v>4077.03</v>
      </c>
      <c r="O101" t="s">
        <v>60</v>
      </c>
      <c r="P101">
        <v>1777.93</v>
      </c>
      <c r="Q101" t="s">
        <v>40</v>
      </c>
      <c r="R101" t="s">
        <v>31</v>
      </c>
      <c r="S101">
        <v>5</v>
      </c>
      <c r="T101">
        <v>4</v>
      </c>
      <c r="U101" t="s">
        <v>32</v>
      </c>
      <c r="V101" t="s">
        <v>33</v>
      </c>
      <c r="W101">
        <v>5</v>
      </c>
    </row>
    <row r="102" spans="1:23" x14ac:dyDescent="0.25">
      <c r="A102" t="s">
        <v>275</v>
      </c>
      <c r="B102" s="1">
        <v>45686</v>
      </c>
      <c r="C102" t="s">
        <v>276</v>
      </c>
      <c r="D102" t="s">
        <v>154</v>
      </c>
      <c r="E102" t="s">
        <v>26</v>
      </c>
      <c r="F102" t="s">
        <v>53</v>
      </c>
      <c r="G102" t="s">
        <v>268</v>
      </c>
      <c r="H102">
        <v>3</v>
      </c>
      <c r="I102">
        <v>60936</v>
      </c>
      <c r="J102">
        <v>10</v>
      </c>
      <c r="K102">
        <v>18280.8</v>
      </c>
      <c r="L102">
        <v>164527.20000000001</v>
      </c>
      <c r="M102">
        <v>126920.26</v>
      </c>
      <c r="N102">
        <v>37606.94</v>
      </c>
      <c r="O102" t="s">
        <v>55</v>
      </c>
      <c r="P102">
        <v>2165.58</v>
      </c>
      <c r="Q102" t="s">
        <v>40</v>
      </c>
      <c r="R102" t="s">
        <v>31</v>
      </c>
      <c r="S102">
        <v>5</v>
      </c>
      <c r="T102">
        <v>2</v>
      </c>
      <c r="U102" t="s">
        <v>32</v>
      </c>
      <c r="V102" t="s">
        <v>33</v>
      </c>
      <c r="W102">
        <v>4</v>
      </c>
    </row>
    <row r="103" spans="1:23" x14ac:dyDescent="0.25">
      <c r="A103" t="s">
        <v>277</v>
      </c>
      <c r="B103" s="1">
        <v>45775</v>
      </c>
      <c r="C103" t="s">
        <v>278</v>
      </c>
      <c r="D103" t="s">
        <v>67</v>
      </c>
      <c r="E103" t="s">
        <v>36</v>
      </c>
      <c r="F103" t="s">
        <v>37</v>
      </c>
      <c r="G103" t="s">
        <v>161</v>
      </c>
      <c r="H103">
        <v>1</v>
      </c>
      <c r="I103">
        <v>16984</v>
      </c>
      <c r="J103">
        <v>15</v>
      </c>
      <c r="K103">
        <v>2547.6</v>
      </c>
      <c r="L103">
        <v>14436.4</v>
      </c>
      <c r="M103">
        <v>9390.9500000000007</v>
      </c>
      <c r="N103">
        <v>5045.45</v>
      </c>
      <c r="O103" t="s">
        <v>55</v>
      </c>
      <c r="P103">
        <v>795.29</v>
      </c>
      <c r="Q103" t="s">
        <v>83</v>
      </c>
      <c r="R103" t="s">
        <v>31</v>
      </c>
      <c r="S103">
        <v>5</v>
      </c>
      <c r="T103">
        <v>4</v>
      </c>
      <c r="U103" t="s">
        <v>32</v>
      </c>
      <c r="V103" t="s">
        <v>50</v>
      </c>
      <c r="W103">
        <v>5</v>
      </c>
    </row>
    <row r="104" spans="1:23" x14ac:dyDescent="0.25">
      <c r="A104" t="s">
        <v>279</v>
      </c>
      <c r="B104" s="1">
        <v>45674</v>
      </c>
      <c r="C104" t="s">
        <v>280</v>
      </c>
      <c r="D104" t="s">
        <v>67</v>
      </c>
      <c r="E104" t="s">
        <v>46</v>
      </c>
      <c r="F104" t="s">
        <v>53</v>
      </c>
      <c r="G104" t="s">
        <v>151</v>
      </c>
      <c r="H104">
        <v>2</v>
      </c>
      <c r="I104">
        <v>115022</v>
      </c>
      <c r="J104">
        <v>0</v>
      </c>
      <c r="K104">
        <v>0</v>
      </c>
      <c r="L104">
        <v>230044</v>
      </c>
      <c r="M104">
        <v>136958.32999999999</v>
      </c>
      <c r="N104">
        <v>93085.67</v>
      </c>
      <c r="O104" t="s">
        <v>91</v>
      </c>
      <c r="P104">
        <v>1866.19</v>
      </c>
      <c r="Q104" t="s">
        <v>30</v>
      </c>
      <c r="R104" t="s">
        <v>41</v>
      </c>
      <c r="S104">
        <v>2</v>
      </c>
      <c r="T104">
        <v>6</v>
      </c>
      <c r="U104" t="s">
        <v>32</v>
      </c>
      <c r="V104" t="s">
        <v>42</v>
      </c>
    </row>
    <row r="105" spans="1:23" x14ac:dyDescent="0.25">
      <c r="A105" t="s">
        <v>281</v>
      </c>
      <c r="B105" s="1">
        <v>45819</v>
      </c>
      <c r="C105" t="s">
        <v>282</v>
      </c>
      <c r="D105" t="s">
        <v>154</v>
      </c>
      <c r="E105" t="s">
        <v>46</v>
      </c>
      <c r="F105" t="s">
        <v>53</v>
      </c>
      <c r="G105" t="s">
        <v>54</v>
      </c>
      <c r="H105">
        <v>1</v>
      </c>
      <c r="I105">
        <v>45681</v>
      </c>
      <c r="J105">
        <v>10</v>
      </c>
      <c r="K105">
        <v>4568.1000000000004</v>
      </c>
      <c r="L105">
        <v>41112.9</v>
      </c>
      <c r="M105">
        <v>28150.03</v>
      </c>
      <c r="N105">
        <v>12962.87</v>
      </c>
      <c r="O105" t="s">
        <v>39</v>
      </c>
      <c r="P105">
        <v>401.76</v>
      </c>
      <c r="Q105" t="s">
        <v>30</v>
      </c>
      <c r="R105" t="s">
        <v>41</v>
      </c>
      <c r="S105">
        <v>2</v>
      </c>
      <c r="T105">
        <v>0</v>
      </c>
      <c r="U105" t="s">
        <v>32</v>
      </c>
      <c r="V105" t="s">
        <v>42</v>
      </c>
    </row>
    <row r="106" spans="1:23" x14ac:dyDescent="0.25">
      <c r="A106" t="s">
        <v>283</v>
      </c>
      <c r="B106" s="1">
        <v>45863</v>
      </c>
      <c r="C106" t="s">
        <v>284</v>
      </c>
      <c r="D106" t="s">
        <v>97</v>
      </c>
      <c r="E106" t="s">
        <v>26</v>
      </c>
      <c r="F106" t="s">
        <v>47</v>
      </c>
      <c r="G106" t="s">
        <v>105</v>
      </c>
      <c r="H106">
        <v>2</v>
      </c>
      <c r="I106">
        <v>8279</v>
      </c>
      <c r="J106">
        <v>20</v>
      </c>
      <c r="K106">
        <v>3311.6</v>
      </c>
      <c r="L106">
        <v>13246.4</v>
      </c>
      <c r="M106">
        <v>9233</v>
      </c>
      <c r="N106">
        <v>4013.4</v>
      </c>
      <c r="O106" t="s">
        <v>91</v>
      </c>
      <c r="P106">
        <v>1355.5</v>
      </c>
      <c r="Q106" t="s">
        <v>30</v>
      </c>
      <c r="R106" t="s">
        <v>41</v>
      </c>
      <c r="S106">
        <v>2</v>
      </c>
      <c r="T106">
        <v>1</v>
      </c>
      <c r="U106" t="s">
        <v>32</v>
      </c>
      <c r="V106" t="s">
        <v>33</v>
      </c>
      <c r="W106">
        <v>5</v>
      </c>
    </row>
    <row r="107" spans="1:23" x14ac:dyDescent="0.25">
      <c r="A107" t="s">
        <v>285</v>
      </c>
      <c r="B107" s="1">
        <v>45795</v>
      </c>
      <c r="C107" t="s">
        <v>286</v>
      </c>
      <c r="D107" t="s">
        <v>25</v>
      </c>
      <c r="E107" t="s">
        <v>46</v>
      </c>
      <c r="F107" t="s">
        <v>86</v>
      </c>
      <c r="G107" t="s">
        <v>87</v>
      </c>
      <c r="H107">
        <v>3</v>
      </c>
      <c r="I107">
        <v>13679</v>
      </c>
      <c r="J107">
        <v>25</v>
      </c>
      <c r="K107">
        <v>10259.25</v>
      </c>
      <c r="L107">
        <v>30777.75</v>
      </c>
      <c r="M107">
        <v>19898.03</v>
      </c>
      <c r="N107">
        <v>10879.72</v>
      </c>
      <c r="O107" t="s">
        <v>29</v>
      </c>
      <c r="P107">
        <v>430.31</v>
      </c>
      <c r="Q107" t="s">
        <v>68</v>
      </c>
      <c r="R107" t="s">
        <v>31</v>
      </c>
      <c r="S107">
        <v>5</v>
      </c>
      <c r="T107">
        <v>1</v>
      </c>
      <c r="U107" t="s">
        <v>32</v>
      </c>
      <c r="V107" t="s">
        <v>42</v>
      </c>
    </row>
    <row r="108" spans="1:23" x14ac:dyDescent="0.25">
      <c r="A108" t="s">
        <v>287</v>
      </c>
      <c r="B108" s="1">
        <v>45691</v>
      </c>
      <c r="C108" t="s">
        <v>288</v>
      </c>
      <c r="D108" t="s">
        <v>124</v>
      </c>
      <c r="E108" t="s">
        <v>36</v>
      </c>
      <c r="F108" t="s">
        <v>86</v>
      </c>
      <c r="G108" t="s">
        <v>110</v>
      </c>
      <c r="H108">
        <v>2</v>
      </c>
      <c r="I108">
        <v>29081</v>
      </c>
      <c r="J108">
        <v>10</v>
      </c>
      <c r="K108">
        <v>5816.2</v>
      </c>
      <c r="L108">
        <v>52345.8</v>
      </c>
      <c r="M108">
        <v>41707.800000000003</v>
      </c>
      <c r="N108">
        <v>10638</v>
      </c>
      <c r="O108" t="s">
        <v>29</v>
      </c>
      <c r="P108">
        <v>1496.29</v>
      </c>
      <c r="Q108" t="s">
        <v>40</v>
      </c>
      <c r="R108" t="s">
        <v>41</v>
      </c>
      <c r="S108">
        <v>2</v>
      </c>
      <c r="T108">
        <v>5</v>
      </c>
      <c r="U108" t="s">
        <v>56</v>
      </c>
      <c r="V108" t="s">
        <v>33</v>
      </c>
      <c r="W108">
        <v>5</v>
      </c>
    </row>
    <row r="109" spans="1:23" x14ac:dyDescent="0.25">
      <c r="A109" t="s">
        <v>289</v>
      </c>
      <c r="B109" s="1">
        <v>45766</v>
      </c>
      <c r="C109" t="s">
        <v>290</v>
      </c>
      <c r="D109" t="s">
        <v>63</v>
      </c>
      <c r="E109" t="s">
        <v>26</v>
      </c>
      <c r="F109" t="s">
        <v>47</v>
      </c>
      <c r="G109" t="s">
        <v>105</v>
      </c>
      <c r="H109">
        <v>1</v>
      </c>
      <c r="I109">
        <v>46430</v>
      </c>
      <c r="J109">
        <v>20</v>
      </c>
      <c r="K109">
        <v>9286</v>
      </c>
      <c r="L109">
        <v>37144</v>
      </c>
      <c r="M109">
        <v>20436.05</v>
      </c>
      <c r="N109">
        <v>16707.95</v>
      </c>
      <c r="O109" t="s">
        <v>91</v>
      </c>
      <c r="P109">
        <v>500.13</v>
      </c>
      <c r="Q109" t="s">
        <v>68</v>
      </c>
      <c r="R109" t="s">
        <v>31</v>
      </c>
      <c r="S109">
        <v>5</v>
      </c>
      <c r="T109">
        <v>6</v>
      </c>
      <c r="U109" t="s">
        <v>32</v>
      </c>
      <c r="V109" t="s">
        <v>42</v>
      </c>
    </row>
    <row r="110" spans="1:23" x14ac:dyDescent="0.25">
      <c r="A110" t="s">
        <v>291</v>
      </c>
      <c r="B110" s="1">
        <v>45948</v>
      </c>
      <c r="C110" t="s">
        <v>292</v>
      </c>
      <c r="D110" t="s">
        <v>154</v>
      </c>
      <c r="E110" t="s">
        <v>26</v>
      </c>
      <c r="F110" t="s">
        <v>86</v>
      </c>
      <c r="G110" t="s">
        <v>180</v>
      </c>
      <c r="H110">
        <v>1</v>
      </c>
      <c r="I110">
        <v>53826</v>
      </c>
      <c r="J110">
        <v>15</v>
      </c>
      <c r="K110">
        <v>8073.9</v>
      </c>
      <c r="L110">
        <v>45752.1</v>
      </c>
      <c r="M110">
        <v>32402.76</v>
      </c>
      <c r="N110">
        <v>13349.34</v>
      </c>
      <c r="O110" t="s">
        <v>29</v>
      </c>
      <c r="P110">
        <v>513.84</v>
      </c>
      <c r="Q110" t="s">
        <v>68</v>
      </c>
      <c r="R110" t="s">
        <v>41</v>
      </c>
      <c r="S110">
        <v>2</v>
      </c>
      <c r="T110">
        <v>2</v>
      </c>
      <c r="U110" t="s">
        <v>32</v>
      </c>
      <c r="V110" t="s">
        <v>33</v>
      </c>
      <c r="W110">
        <v>3</v>
      </c>
    </row>
    <row r="111" spans="1:23" x14ac:dyDescent="0.25">
      <c r="A111" t="s">
        <v>293</v>
      </c>
      <c r="B111" s="1">
        <v>45819</v>
      </c>
      <c r="C111" t="s">
        <v>294</v>
      </c>
      <c r="D111" t="s">
        <v>154</v>
      </c>
      <c r="E111" t="s">
        <v>36</v>
      </c>
      <c r="F111" t="s">
        <v>27</v>
      </c>
      <c r="G111" t="s">
        <v>113</v>
      </c>
      <c r="H111">
        <v>2</v>
      </c>
      <c r="I111">
        <v>25308</v>
      </c>
      <c r="J111">
        <v>15</v>
      </c>
      <c r="K111">
        <v>7592.4</v>
      </c>
      <c r="L111">
        <v>43023.6</v>
      </c>
      <c r="M111">
        <v>27227.15</v>
      </c>
      <c r="N111">
        <v>15796.45</v>
      </c>
      <c r="O111" t="s">
        <v>49</v>
      </c>
      <c r="P111">
        <v>377.97</v>
      </c>
      <c r="Q111" t="s">
        <v>40</v>
      </c>
      <c r="R111" t="s">
        <v>41</v>
      </c>
      <c r="S111">
        <v>2</v>
      </c>
      <c r="T111">
        <v>1</v>
      </c>
      <c r="U111" t="s">
        <v>32</v>
      </c>
      <c r="V111" t="s">
        <v>50</v>
      </c>
      <c r="W111">
        <v>2</v>
      </c>
    </row>
    <row r="112" spans="1:23" x14ac:dyDescent="0.25">
      <c r="A112" t="s">
        <v>295</v>
      </c>
      <c r="B112" s="1">
        <v>45766</v>
      </c>
      <c r="C112" t="s">
        <v>102</v>
      </c>
      <c r="D112" t="s">
        <v>154</v>
      </c>
      <c r="E112" t="s">
        <v>46</v>
      </c>
      <c r="F112" t="s">
        <v>27</v>
      </c>
      <c r="G112" t="s">
        <v>28</v>
      </c>
      <c r="H112">
        <v>2</v>
      </c>
      <c r="I112">
        <v>6911</v>
      </c>
      <c r="J112">
        <v>0</v>
      </c>
      <c r="K112">
        <v>0</v>
      </c>
      <c r="L112">
        <v>13822</v>
      </c>
      <c r="M112">
        <v>8838</v>
      </c>
      <c r="N112">
        <v>4984</v>
      </c>
      <c r="O112" t="s">
        <v>29</v>
      </c>
      <c r="P112">
        <v>2459.4699999999998</v>
      </c>
      <c r="Q112" t="s">
        <v>68</v>
      </c>
      <c r="R112" t="s">
        <v>31</v>
      </c>
      <c r="S112">
        <v>5</v>
      </c>
      <c r="T112">
        <v>1</v>
      </c>
      <c r="U112" t="s">
        <v>32</v>
      </c>
      <c r="V112" t="s">
        <v>33</v>
      </c>
      <c r="W112">
        <v>3</v>
      </c>
    </row>
    <row r="113" spans="1:23" x14ac:dyDescent="0.25">
      <c r="A113" t="s">
        <v>296</v>
      </c>
      <c r="B113" s="1">
        <v>45993</v>
      </c>
      <c r="C113" t="s">
        <v>297</v>
      </c>
      <c r="D113" t="s">
        <v>90</v>
      </c>
      <c r="E113" t="s">
        <v>46</v>
      </c>
      <c r="F113" t="s">
        <v>53</v>
      </c>
      <c r="G113" t="s">
        <v>59</v>
      </c>
      <c r="H113">
        <v>2</v>
      </c>
      <c r="I113">
        <v>54938</v>
      </c>
      <c r="J113">
        <v>0</v>
      </c>
      <c r="K113">
        <v>0</v>
      </c>
      <c r="L113">
        <v>109876</v>
      </c>
      <c r="M113">
        <v>71881.210000000006</v>
      </c>
      <c r="N113">
        <v>37994.79</v>
      </c>
      <c r="O113" t="s">
        <v>39</v>
      </c>
      <c r="P113">
        <v>1334.09</v>
      </c>
      <c r="Q113" t="s">
        <v>30</v>
      </c>
      <c r="R113" t="s">
        <v>41</v>
      </c>
      <c r="S113">
        <v>2</v>
      </c>
      <c r="T113">
        <v>1</v>
      </c>
      <c r="U113" t="s">
        <v>32</v>
      </c>
      <c r="V113" t="s">
        <v>50</v>
      </c>
      <c r="W113">
        <v>4</v>
      </c>
    </row>
    <row r="114" spans="1:23" x14ac:dyDescent="0.25">
      <c r="A114" t="s">
        <v>298</v>
      </c>
      <c r="B114" s="1">
        <v>45913</v>
      </c>
      <c r="C114" t="s">
        <v>299</v>
      </c>
      <c r="D114" t="s">
        <v>79</v>
      </c>
      <c r="E114" t="s">
        <v>26</v>
      </c>
      <c r="F114" t="s">
        <v>86</v>
      </c>
      <c r="G114" t="s">
        <v>110</v>
      </c>
      <c r="H114">
        <v>2</v>
      </c>
      <c r="I114">
        <v>35567</v>
      </c>
      <c r="J114">
        <v>0</v>
      </c>
      <c r="K114">
        <v>0</v>
      </c>
      <c r="L114">
        <v>71134</v>
      </c>
      <c r="M114">
        <v>54473.17</v>
      </c>
      <c r="N114">
        <v>16660.830000000002</v>
      </c>
      <c r="O114" t="s">
        <v>60</v>
      </c>
      <c r="P114">
        <v>933.05</v>
      </c>
      <c r="Q114" t="s">
        <v>83</v>
      </c>
      <c r="R114" t="s">
        <v>41</v>
      </c>
      <c r="S114">
        <v>2</v>
      </c>
      <c r="T114">
        <v>2</v>
      </c>
      <c r="U114" t="s">
        <v>32</v>
      </c>
      <c r="V114" t="s">
        <v>33</v>
      </c>
      <c r="W114">
        <v>1</v>
      </c>
    </row>
    <row r="115" spans="1:23" x14ac:dyDescent="0.25">
      <c r="A115" t="s">
        <v>300</v>
      </c>
      <c r="B115" s="1">
        <v>45860</v>
      </c>
      <c r="C115" t="s">
        <v>301</v>
      </c>
      <c r="D115" t="s">
        <v>71</v>
      </c>
      <c r="E115" t="s">
        <v>26</v>
      </c>
      <c r="F115" t="s">
        <v>53</v>
      </c>
      <c r="G115" t="s">
        <v>59</v>
      </c>
      <c r="H115">
        <v>1</v>
      </c>
      <c r="I115">
        <v>21203</v>
      </c>
      <c r="J115">
        <v>0</v>
      </c>
      <c r="K115">
        <v>0</v>
      </c>
      <c r="L115">
        <v>21203</v>
      </c>
      <c r="M115">
        <v>14130.89</v>
      </c>
      <c r="N115">
        <v>7072.11</v>
      </c>
      <c r="O115" t="s">
        <v>91</v>
      </c>
      <c r="P115">
        <v>561.34</v>
      </c>
      <c r="Q115" t="s">
        <v>83</v>
      </c>
      <c r="R115" t="s">
        <v>31</v>
      </c>
      <c r="S115">
        <v>5</v>
      </c>
      <c r="T115">
        <v>4</v>
      </c>
      <c r="U115" t="s">
        <v>32</v>
      </c>
      <c r="V115" t="s">
        <v>50</v>
      </c>
      <c r="W115">
        <v>4</v>
      </c>
    </row>
    <row r="116" spans="1:23" x14ac:dyDescent="0.25">
      <c r="A116" t="s">
        <v>302</v>
      </c>
      <c r="B116" s="1">
        <v>45987</v>
      </c>
      <c r="C116" t="s">
        <v>303</v>
      </c>
      <c r="D116" t="s">
        <v>71</v>
      </c>
      <c r="E116" t="s">
        <v>26</v>
      </c>
      <c r="F116" t="s">
        <v>86</v>
      </c>
      <c r="G116" t="s">
        <v>87</v>
      </c>
      <c r="H116">
        <v>3</v>
      </c>
      <c r="I116">
        <v>42899</v>
      </c>
      <c r="J116">
        <v>0</v>
      </c>
      <c r="K116">
        <v>0</v>
      </c>
      <c r="L116">
        <v>128697</v>
      </c>
      <c r="M116">
        <v>72508.09</v>
      </c>
      <c r="N116">
        <v>56188.91</v>
      </c>
      <c r="O116" t="s">
        <v>49</v>
      </c>
      <c r="P116">
        <v>74.53</v>
      </c>
      <c r="Q116" t="s">
        <v>83</v>
      </c>
      <c r="R116" t="s">
        <v>41</v>
      </c>
      <c r="S116">
        <v>2</v>
      </c>
      <c r="T116">
        <v>1</v>
      </c>
      <c r="U116" t="s">
        <v>32</v>
      </c>
      <c r="V116" t="s">
        <v>42</v>
      </c>
    </row>
    <row r="117" spans="1:23" x14ac:dyDescent="0.25">
      <c r="A117" t="s">
        <v>304</v>
      </c>
      <c r="B117" s="1">
        <v>45892</v>
      </c>
      <c r="C117" t="s">
        <v>305</v>
      </c>
      <c r="D117" t="s">
        <v>45</v>
      </c>
      <c r="E117" t="s">
        <v>46</v>
      </c>
      <c r="F117" t="s">
        <v>27</v>
      </c>
      <c r="G117" t="s">
        <v>164</v>
      </c>
      <c r="H117">
        <v>1</v>
      </c>
      <c r="I117">
        <v>6184</v>
      </c>
      <c r="J117">
        <v>0</v>
      </c>
      <c r="K117">
        <v>0</v>
      </c>
      <c r="L117">
        <v>6184</v>
      </c>
      <c r="M117">
        <v>3916.05</v>
      </c>
      <c r="N117">
        <v>2267.9499999999998</v>
      </c>
      <c r="O117" t="s">
        <v>60</v>
      </c>
      <c r="P117">
        <v>2258.2199999999998</v>
      </c>
      <c r="Q117" t="s">
        <v>73</v>
      </c>
      <c r="R117" t="s">
        <v>41</v>
      </c>
      <c r="S117">
        <v>2</v>
      </c>
      <c r="T117">
        <v>2</v>
      </c>
      <c r="U117" t="s">
        <v>32</v>
      </c>
      <c r="V117" t="s">
        <v>33</v>
      </c>
      <c r="W117">
        <v>4</v>
      </c>
    </row>
    <row r="118" spans="1:23" x14ac:dyDescent="0.25">
      <c r="A118" t="s">
        <v>306</v>
      </c>
      <c r="B118" s="1">
        <v>45731</v>
      </c>
      <c r="C118" t="s">
        <v>307</v>
      </c>
      <c r="D118" t="s">
        <v>154</v>
      </c>
      <c r="E118" t="s">
        <v>36</v>
      </c>
      <c r="F118" t="s">
        <v>53</v>
      </c>
      <c r="G118" t="s">
        <v>82</v>
      </c>
      <c r="H118">
        <v>1</v>
      </c>
      <c r="I118">
        <v>67428</v>
      </c>
      <c r="J118">
        <v>10</v>
      </c>
      <c r="K118">
        <v>6742.8</v>
      </c>
      <c r="L118">
        <v>60685.2</v>
      </c>
      <c r="M118">
        <v>37083.839999999997</v>
      </c>
      <c r="N118">
        <v>23601.360000000001</v>
      </c>
      <c r="O118" t="s">
        <v>39</v>
      </c>
      <c r="P118">
        <v>1930.14</v>
      </c>
      <c r="Q118" t="s">
        <v>83</v>
      </c>
      <c r="R118" t="s">
        <v>31</v>
      </c>
      <c r="S118">
        <v>5</v>
      </c>
      <c r="T118">
        <v>4</v>
      </c>
      <c r="U118" t="s">
        <v>32</v>
      </c>
      <c r="V118" t="s">
        <v>33</v>
      </c>
      <c r="W118">
        <v>2</v>
      </c>
    </row>
    <row r="119" spans="1:23" x14ac:dyDescent="0.25">
      <c r="A119" t="s">
        <v>308</v>
      </c>
      <c r="B119" s="1">
        <v>45793</v>
      </c>
      <c r="C119" t="s">
        <v>267</v>
      </c>
      <c r="D119" t="s">
        <v>71</v>
      </c>
      <c r="E119" t="s">
        <v>46</v>
      </c>
      <c r="F119" t="s">
        <v>53</v>
      </c>
      <c r="G119" t="s">
        <v>59</v>
      </c>
      <c r="H119">
        <v>1</v>
      </c>
      <c r="I119">
        <v>59738</v>
      </c>
      <c r="J119">
        <v>5</v>
      </c>
      <c r="K119">
        <v>2986.9</v>
      </c>
      <c r="L119">
        <v>56751.1</v>
      </c>
      <c r="M119">
        <v>38510.78</v>
      </c>
      <c r="N119">
        <v>18240.32</v>
      </c>
      <c r="O119" t="s">
        <v>29</v>
      </c>
      <c r="P119">
        <v>1842.9</v>
      </c>
      <c r="Q119" t="s">
        <v>40</v>
      </c>
      <c r="R119" t="s">
        <v>41</v>
      </c>
      <c r="S119">
        <v>2</v>
      </c>
      <c r="T119">
        <v>1</v>
      </c>
      <c r="U119" t="s">
        <v>32</v>
      </c>
      <c r="V119" t="s">
        <v>33</v>
      </c>
      <c r="W119">
        <v>5</v>
      </c>
    </row>
    <row r="120" spans="1:23" x14ac:dyDescent="0.25">
      <c r="A120" t="s">
        <v>309</v>
      </c>
      <c r="B120" s="1">
        <v>45729</v>
      </c>
      <c r="C120" t="s">
        <v>310</v>
      </c>
      <c r="D120" t="s">
        <v>45</v>
      </c>
      <c r="E120" t="s">
        <v>46</v>
      </c>
      <c r="F120" t="s">
        <v>37</v>
      </c>
      <c r="G120" t="s">
        <v>38</v>
      </c>
      <c r="H120">
        <v>2</v>
      </c>
      <c r="I120">
        <v>16630</v>
      </c>
      <c r="J120">
        <v>0</v>
      </c>
      <c r="K120">
        <v>0</v>
      </c>
      <c r="L120">
        <v>33260</v>
      </c>
      <c r="M120">
        <v>18676.240000000002</v>
      </c>
      <c r="N120">
        <v>14583.76</v>
      </c>
      <c r="O120" t="s">
        <v>91</v>
      </c>
      <c r="P120">
        <v>2493.7199999999998</v>
      </c>
      <c r="Q120" t="s">
        <v>68</v>
      </c>
      <c r="R120" t="s">
        <v>41</v>
      </c>
      <c r="S120">
        <v>2</v>
      </c>
      <c r="T120">
        <v>4</v>
      </c>
      <c r="U120" t="s">
        <v>56</v>
      </c>
      <c r="V120" t="s">
        <v>33</v>
      </c>
      <c r="W120">
        <v>2</v>
      </c>
    </row>
    <row r="121" spans="1:23" x14ac:dyDescent="0.25">
      <c r="A121" t="s">
        <v>311</v>
      </c>
      <c r="B121" s="1">
        <v>45784</v>
      </c>
      <c r="C121" t="s">
        <v>312</v>
      </c>
      <c r="D121" t="s">
        <v>79</v>
      </c>
      <c r="E121" t="s">
        <v>46</v>
      </c>
      <c r="F121" t="s">
        <v>37</v>
      </c>
      <c r="G121" t="s">
        <v>313</v>
      </c>
      <c r="H121">
        <v>1</v>
      </c>
      <c r="I121">
        <v>4810</v>
      </c>
      <c r="J121">
        <v>25</v>
      </c>
      <c r="K121">
        <v>1202.5</v>
      </c>
      <c r="L121">
        <v>3607.5</v>
      </c>
      <c r="M121">
        <v>2745.51</v>
      </c>
      <c r="N121">
        <v>861.99</v>
      </c>
      <c r="O121" t="s">
        <v>55</v>
      </c>
      <c r="P121">
        <v>540.86</v>
      </c>
      <c r="Q121" t="s">
        <v>40</v>
      </c>
      <c r="R121" t="s">
        <v>41</v>
      </c>
      <c r="S121">
        <v>2</v>
      </c>
      <c r="T121">
        <v>3</v>
      </c>
      <c r="U121" t="s">
        <v>56</v>
      </c>
      <c r="V121" t="s">
        <v>33</v>
      </c>
      <c r="W121">
        <v>2</v>
      </c>
    </row>
    <row r="122" spans="1:23" x14ac:dyDescent="0.25">
      <c r="A122" t="s">
        <v>314</v>
      </c>
      <c r="B122" s="1">
        <v>45945</v>
      </c>
      <c r="C122" t="s">
        <v>215</v>
      </c>
      <c r="D122" t="s">
        <v>45</v>
      </c>
      <c r="E122" t="s">
        <v>26</v>
      </c>
      <c r="F122" t="s">
        <v>37</v>
      </c>
      <c r="G122" t="s">
        <v>224</v>
      </c>
      <c r="H122">
        <v>3</v>
      </c>
      <c r="I122">
        <v>35823</v>
      </c>
      <c r="J122">
        <v>20</v>
      </c>
      <c r="K122">
        <v>21493.8</v>
      </c>
      <c r="L122">
        <v>85975.2</v>
      </c>
      <c r="M122">
        <v>48156.06</v>
      </c>
      <c r="N122">
        <v>37819.14</v>
      </c>
      <c r="O122" t="s">
        <v>55</v>
      </c>
      <c r="P122">
        <v>1621.96</v>
      </c>
      <c r="Q122" t="s">
        <v>30</v>
      </c>
      <c r="R122" t="s">
        <v>41</v>
      </c>
      <c r="S122">
        <v>2</v>
      </c>
      <c r="T122">
        <v>3</v>
      </c>
      <c r="U122" t="s">
        <v>56</v>
      </c>
      <c r="V122" t="s">
        <v>33</v>
      </c>
      <c r="W122">
        <v>2</v>
      </c>
    </row>
    <row r="123" spans="1:23" x14ac:dyDescent="0.25">
      <c r="A123" t="s">
        <v>315</v>
      </c>
      <c r="B123" s="1">
        <v>45933</v>
      </c>
      <c r="C123" t="s">
        <v>316</v>
      </c>
      <c r="D123" t="s">
        <v>124</v>
      </c>
      <c r="E123" t="s">
        <v>26</v>
      </c>
      <c r="F123" t="s">
        <v>53</v>
      </c>
      <c r="G123" t="s">
        <v>54</v>
      </c>
      <c r="H123">
        <v>3</v>
      </c>
      <c r="I123">
        <v>57816</v>
      </c>
      <c r="J123">
        <v>10</v>
      </c>
      <c r="K123">
        <v>17344.8</v>
      </c>
      <c r="L123">
        <v>156103.20000000001</v>
      </c>
      <c r="M123">
        <v>97672.77</v>
      </c>
      <c r="N123">
        <v>58430.43</v>
      </c>
      <c r="O123" t="s">
        <v>55</v>
      </c>
      <c r="P123">
        <v>724.3</v>
      </c>
      <c r="Q123" t="s">
        <v>73</v>
      </c>
      <c r="R123" t="s">
        <v>31</v>
      </c>
      <c r="S123">
        <v>5</v>
      </c>
      <c r="T123">
        <v>3</v>
      </c>
      <c r="U123" t="s">
        <v>32</v>
      </c>
      <c r="V123" t="s">
        <v>33</v>
      </c>
      <c r="W123">
        <v>5</v>
      </c>
    </row>
    <row r="124" spans="1:23" x14ac:dyDescent="0.25">
      <c r="A124" t="s">
        <v>317</v>
      </c>
      <c r="B124" s="1">
        <v>45792</v>
      </c>
      <c r="C124" t="s">
        <v>318</v>
      </c>
      <c r="D124" t="s">
        <v>71</v>
      </c>
      <c r="E124" t="s">
        <v>26</v>
      </c>
      <c r="F124" t="s">
        <v>27</v>
      </c>
      <c r="G124" t="s">
        <v>72</v>
      </c>
      <c r="H124">
        <v>1</v>
      </c>
      <c r="I124">
        <v>28387</v>
      </c>
      <c r="J124">
        <v>10</v>
      </c>
      <c r="K124">
        <v>2838.7</v>
      </c>
      <c r="L124">
        <v>25548.3</v>
      </c>
      <c r="M124">
        <v>19714.98</v>
      </c>
      <c r="N124">
        <v>5833.32</v>
      </c>
      <c r="O124" t="s">
        <v>29</v>
      </c>
      <c r="P124">
        <v>915.58</v>
      </c>
      <c r="Q124" t="s">
        <v>40</v>
      </c>
      <c r="R124" t="s">
        <v>31</v>
      </c>
      <c r="S124">
        <v>5</v>
      </c>
      <c r="T124">
        <v>0</v>
      </c>
      <c r="U124" t="s">
        <v>32</v>
      </c>
      <c r="V124" t="s">
        <v>42</v>
      </c>
    </row>
    <row r="125" spans="1:23" x14ac:dyDescent="0.25">
      <c r="A125" t="s">
        <v>319</v>
      </c>
      <c r="B125" s="1">
        <v>45957</v>
      </c>
      <c r="C125" t="s">
        <v>320</v>
      </c>
      <c r="D125" t="s">
        <v>45</v>
      </c>
      <c r="E125" t="s">
        <v>46</v>
      </c>
      <c r="F125" t="s">
        <v>27</v>
      </c>
      <c r="G125" t="s">
        <v>76</v>
      </c>
      <c r="H125">
        <v>3</v>
      </c>
      <c r="I125">
        <v>4583</v>
      </c>
      <c r="J125">
        <v>0</v>
      </c>
      <c r="K125">
        <v>0</v>
      </c>
      <c r="L125">
        <v>13749</v>
      </c>
      <c r="M125">
        <v>10969.89</v>
      </c>
      <c r="N125">
        <v>2779.11</v>
      </c>
      <c r="O125" t="s">
        <v>55</v>
      </c>
      <c r="P125">
        <v>2094.06</v>
      </c>
      <c r="Q125" t="s">
        <v>40</v>
      </c>
      <c r="R125" t="s">
        <v>31</v>
      </c>
      <c r="S125">
        <v>5</v>
      </c>
      <c r="T125">
        <v>2</v>
      </c>
      <c r="U125" t="s">
        <v>32</v>
      </c>
      <c r="V125" t="s">
        <v>50</v>
      </c>
      <c r="W125">
        <v>3</v>
      </c>
    </row>
    <row r="126" spans="1:23" x14ac:dyDescent="0.25">
      <c r="A126" t="s">
        <v>321</v>
      </c>
      <c r="B126" s="1">
        <v>45877</v>
      </c>
      <c r="C126" t="s">
        <v>322</v>
      </c>
      <c r="D126" t="s">
        <v>124</v>
      </c>
      <c r="E126" t="s">
        <v>26</v>
      </c>
      <c r="F126" t="s">
        <v>27</v>
      </c>
      <c r="G126" t="s">
        <v>164</v>
      </c>
      <c r="H126">
        <v>1</v>
      </c>
      <c r="I126">
        <v>14960</v>
      </c>
      <c r="J126">
        <v>0</v>
      </c>
      <c r="K126">
        <v>0</v>
      </c>
      <c r="L126">
        <v>14960</v>
      </c>
      <c r="M126">
        <v>11611.45</v>
      </c>
      <c r="N126">
        <v>3348.55</v>
      </c>
      <c r="O126" t="s">
        <v>39</v>
      </c>
      <c r="P126">
        <v>263.14</v>
      </c>
      <c r="Q126" t="s">
        <v>83</v>
      </c>
      <c r="R126" t="s">
        <v>31</v>
      </c>
      <c r="S126">
        <v>5</v>
      </c>
      <c r="T126">
        <v>6</v>
      </c>
      <c r="U126" t="s">
        <v>56</v>
      </c>
      <c r="V126" t="s">
        <v>33</v>
      </c>
      <c r="W126">
        <v>3</v>
      </c>
    </row>
    <row r="127" spans="1:23" x14ac:dyDescent="0.25">
      <c r="A127" t="s">
        <v>323</v>
      </c>
      <c r="B127" s="1">
        <v>45956</v>
      </c>
      <c r="C127" t="s">
        <v>324</v>
      </c>
      <c r="D127" t="s">
        <v>124</v>
      </c>
      <c r="E127" t="s">
        <v>46</v>
      </c>
      <c r="F127" t="s">
        <v>47</v>
      </c>
      <c r="G127" t="s">
        <v>64</v>
      </c>
      <c r="H127">
        <v>1</v>
      </c>
      <c r="I127">
        <v>33837</v>
      </c>
      <c r="J127">
        <v>20</v>
      </c>
      <c r="K127">
        <v>6767.4</v>
      </c>
      <c r="L127">
        <v>27069.599999999999</v>
      </c>
      <c r="M127">
        <v>21550.36</v>
      </c>
      <c r="N127">
        <v>5519.24</v>
      </c>
      <c r="O127" t="s">
        <v>49</v>
      </c>
      <c r="P127">
        <v>53.81</v>
      </c>
      <c r="Q127" t="s">
        <v>73</v>
      </c>
      <c r="R127" t="s">
        <v>31</v>
      </c>
      <c r="S127">
        <v>5</v>
      </c>
      <c r="T127">
        <v>4</v>
      </c>
      <c r="U127" t="s">
        <v>32</v>
      </c>
      <c r="V127" t="s">
        <v>50</v>
      </c>
      <c r="W127">
        <v>5</v>
      </c>
    </row>
    <row r="128" spans="1:23" x14ac:dyDescent="0.25">
      <c r="A128" t="s">
        <v>325</v>
      </c>
      <c r="B128" s="1">
        <v>45862</v>
      </c>
      <c r="C128" t="s">
        <v>99</v>
      </c>
      <c r="D128" t="s">
        <v>71</v>
      </c>
      <c r="E128" t="s">
        <v>36</v>
      </c>
      <c r="F128" t="s">
        <v>37</v>
      </c>
      <c r="G128" t="s">
        <v>313</v>
      </c>
      <c r="H128">
        <v>1</v>
      </c>
      <c r="I128">
        <v>38120</v>
      </c>
      <c r="J128">
        <v>15</v>
      </c>
      <c r="K128">
        <v>5718</v>
      </c>
      <c r="L128">
        <v>32402</v>
      </c>
      <c r="M128">
        <v>22934.51</v>
      </c>
      <c r="N128">
        <v>9467.49</v>
      </c>
      <c r="O128" t="s">
        <v>60</v>
      </c>
      <c r="P128">
        <v>1688.89</v>
      </c>
      <c r="Q128" t="s">
        <v>40</v>
      </c>
      <c r="R128" t="s">
        <v>41</v>
      </c>
      <c r="S128">
        <v>2</v>
      </c>
      <c r="T128">
        <v>1</v>
      </c>
      <c r="U128" t="s">
        <v>32</v>
      </c>
      <c r="V128" t="s">
        <v>33</v>
      </c>
      <c r="W128">
        <v>5</v>
      </c>
    </row>
    <row r="129" spans="1:23" x14ac:dyDescent="0.25">
      <c r="A129" t="s">
        <v>326</v>
      </c>
      <c r="B129" s="1">
        <v>45843</v>
      </c>
      <c r="C129" t="s">
        <v>327</v>
      </c>
      <c r="D129" t="s">
        <v>67</v>
      </c>
      <c r="E129" t="s">
        <v>46</v>
      </c>
      <c r="F129" t="s">
        <v>86</v>
      </c>
      <c r="G129" t="s">
        <v>94</v>
      </c>
      <c r="H129">
        <v>1</v>
      </c>
      <c r="I129">
        <v>40229</v>
      </c>
      <c r="J129">
        <v>5</v>
      </c>
      <c r="K129">
        <v>2011.45</v>
      </c>
      <c r="L129">
        <v>38217.550000000003</v>
      </c>
      <c r="M129">
        <v>22566.73</v>
      </c>
      <c r="N129">
        <v>15650.82</v>
      </c>
      <c r="O129" t="s">
        <v>55</v>
      </c>
      <c r="P129">
        <v>2171.83</v>
      </c>
      <c r="Q129" t="s">
        <v>40</v>
      </c>
      <c r="R129" t="s">
        <v>31</v>
      </c>
      <c r="S129">
        <v>5</v>
      </c>
      <c r="T129">
        <v>3</v>
      </c>
      <c r="U129" t="s">
        <v>32</v>
      </c>
      <c r="V129" t="s">
        <v>33</v>
      </c>
      <c r="W129">
        <v>5</v>
      </c>
    </row>
    <row r="130" spans="1:23" x14ac:dyDescent="0.25">
      <c r="A130" t="s">
        <v>328</v>
      </c>
      <c r="B130" s="1">
        <v>45770</v>
      </c>
      <c r="C130" t="s">
        <v>329</v>
      </c>
      <c r="D130" t="s">
        <v>90</v>
      </c>
      <c r="E130" t="s">
        <v>26</v>
      </c>
      <c r="F130" t="s">
        <v>27</v>
      </c>
      <c r="G130" t="s">
        <v>72</v>
      </c>
      <c r="H130">
        <v>1</v>
      </c>
      <c r="I130">
        <v>27641</v>
      </c>
      <c r="J130">
        <v>5</v>
      </c>
      <c r="K130">
        <v>1382.05</v>
      </c>
      <c r="L130">
        <v>26258.95</v>
      </c>
      <c r="M130">
        <v>16875.45</v>
      </c>
      <c r="N130">
        <v>9383.5</v>
      </c>
      <c r="O130" t="s">
        <v>49</v>
      </c>
      <c r="P130">
        <v>337.24</v>
      </c>
      <c r="Q130" t="s">
        <v>30</v>
      </c>
      <c r="R130" t="s">
        <v>31</v>
      </c>
      <c r="S130">
        <v>5</v>
      </c>
      <c r="T130">
        <v>5</v>
      </c>
      <c r="U130" t="s">
        <v>32</v>
      </c>
      <c r="V130" t="s">
        <v>50</v>
      </c>
      <c r="W130">
        <v>5</v>
      </c>
    </row>
    <row r="131" spans="1:23" x14ac:dyDescent="0.25">
      <c r="A131" t="s">
        <v>330</v>
      </c>
      <c r="B131" s="1">
        <v>45728</v>
      </c>
      <c r="C131" t="s">
        <v>219</v>
      </c>
      <c r="D131" t="s">
        <v>154</v>
      </c>
      <c r="E131" t="s">
        <v>36</v>
      </c>
      <c r="F131" t="s">
        <v>86</v>
      </c>
      <c r="G131" t="s">
        <v>110</v>
      </c>
      <c r="H131">
        <v>1</v>
      </c>
      <c r="I131">
        <v>22769</v>
      </c>
      <c r="J131">
        <v>25</v>
      </c>
      <c r="K131">
        <v>5692.25</v>
      </c>
      <c r="L131">
        <v>17076.75</v>
      </c>
      <c r="M131">
        <v>12909.82</v>
      </c>
      <c r="N131">
        <v>4166.93</v>
      </c>
      <c r="O131" t="s">
        <v>49</v>
      </c>
      <c r="P131">
        <v>90.18</v>
      </c>
      <c r="Q131" t="s">
        <v>73</v>
      </c>
      <c r="R131" t="s">
        <v>41</v>
      </c>
      <c r="S131">
        <v>2</v>
      </c>
      <c r="T131">
        <v>1</v>
      </c>
      <c r="U131" t="s">
        <v>32</v>
      </c>
      <c r="V131" t="s">
        <v>33</v>
      </c>
      <c r="W131">
        <v>5</v>
      </c>
    </row>
    <row r="132" spans="1:23" x14ac:dyDescent="0.25">
      <c r="A132" t="s">
        <v>331</v>
      </c>
      <c r="B132" s="1">
        <v>45918</v>
      </c>
      <c r="C132" t="s">
        <v>332</v>
      </c>
      <c r="D132" t="s">
        <v>25</v>
      </c>
      <c r="E132" t="s">
        <v>46</v>
      </c>
      <c r="F132" t="s">
        <v>47</v>
      </c>
      <c r="G132" t="s">
        <v>48</v>
      </c>
      <c r="H132">
        <v>1</v>
      </c>
      <c r="I132">
        <v>37837</v>
      </c>
      <c r="J132">
        <v>20</v>
      </c>
      <c r="K132">
        <v>7567.4</v>
      </c>
      <c r="L132">
        <v>30269.599999999999</v>
      </c>
      <c r="M132">
        <v>23917.37</v>
      </c>
      <c r="N132">
        <v>6352.23</v>
      </c>
      <c r="O132" t="s">
        <v>39</v>
      </c>
      <c r="P132">
        <v>1765.6</v>
      </c>
      <c r="Q132" t="s">
        <v>40</v>
      </c>
      <c r="R132" t="s">
        <v>31</v>
      </c>
      <c r="S132">
        <v>5</v>
      </c>
      <c r="T132">
        <v>6</v>
      </c>
      <c r="U132" t="s">
        <v>32</v>
      </c>
      <c r="V132" t="s">
        <v>42</v>
      </c>
    </row>
    <row r="133" spans="1:23" x14ac:dyDescent="0.25">
      <c r="A133" t="s">
        <v>333</v>
      </c>
      <c r="B133" s="1">
        <v>45910</v>
      </c>
      <c r="C133" t="s">
        <v>251</v>
      </c>
      <c r="D133" t="s">
        <v>154</v>
      </c>
      <c r="E133" t="s">
        <v>36</v>
      </c>
      <c r="F133" t="s">
        <v>86</v>
      </c>
      <c r="G133" t="s">
        <v>127</v>
      </c>
      <c r="H133">
        <v>1</v>
      </c>
      <c r="I133">
        <v>24772</v>
      </c>
      <c r="J133">
        <v>0</v>
      </c>
      <c r="K133">
        <v>0</v>
      </c>
      <c r="L133">
        <v>24772</v>
      </c>
      <c r="M133">
        <v>16885.759999999998</v>
      </c>
      <c r="N133">
        <v>7886.24</v>
      </c>
      <c r="O133" t="s">
        <v>91</v>
      </c>
      <c r="P133">
        <v>333.43</v>
      </c>
      <c r="Q133" t="s">
        <v>30</v>
      </c>
      <c r="R133" t="s">
        <v>31</v>
      </c>
      <c r="S133">
        <v>5</v>
      </c>
      <c r="T133">
        <v>2</v>
      </c>
      <c r="U133" t="s">
        <v>32</v>
      </c>
      <c r="V133" t="s">
        <v>50</v>
      </c>
      <c r="W133">
        <v>5</v>
      </c>
    </row>
    <row r="134" spans="1:23" x14ac:dyDescent="0.25">
      <c r="A134" t="s">
        <v>334</v>
      </c>
      <c r="B134" s="1">
        <v>45704</v>
      </c>
      <c r="C134" t="s">
        <v>335</v>
      </c>
      <c r="D134" t="s">
        <v>45</v>
      </c>
      <c r="E134" t="s">
        <v>26</v>
      </c>
      <c r="F134" t="s">
        <v>86</v>
      </c>
      <c r="G134" t="s">
        <v>87</v>
      </c>
      <c r="H134">
        <v>2</v>
      </c>
      <c r="I134">
        <v>62847</v>
      </c>
      <c r="J134">
        <v>15</v>
      </c>
      <c r="K134">
        <v>18854.099999999999</v>
      </c>
      <c r="L134">
        <v>106839.9</v>
      </c>
      <c r="M134">
        <v>71137.94</v>
      </c>
      <c r="N134">
        <v>35701.96</v>
      </c>
      <c r="O134" t="s">
        <v>91</v>
      </c>
      <c r="P134">
        <v>286.77</v>
      </c>
      <c r="Q134" t="s">
        <v>68</v>
      </c>
      <c r="R134" t="s">
        <v>41</v>
      </c>
      <c r="S134">
        <v>2</v>
      </c>
      <c r="T134">
        <v>1</v>
      </c>
      <c r="U134" t="s">
        <v>32</v>
      </c>
      <c r="V134" t="s">
        <v>33</v>
      </c>
      <c r="W134">
        <v>1</v>
      </c>
    </row>
    <row r="135" spans="1:23" x14ac:dyDescent="0.25">
      <c r="A135" t="s">
        <v>336</v>
      </c>
      <c r="B135" s="1">
        <v>45682</v>
      </c>
      <c r="C135" t="s">
        <v>337</v>
      </c>
      <c r="D135" t="s">
        <v>97</v>
      </c>
      <c r="E135" t="s">
        <v>46</v>
      </c>
      <c r="F135" t="s">
        <v>86</v>
      </c>
      <c r="G135" t="s">
        <v>180</v>
      </c>
      <c r="H135">
        <v>1</v>
      </c>
      <c r="I135">
        <v>35657</v>
      </c>
      <c r="J135">
        <v>10</v>
      </c>
      <c r="K135">
        <v>3565.7</v>
      </c>
      <c r="L135">
        <v>32091.3</v>
      </c>
      <c r="M135">
        <v>18767.36</v>
      </c>
      <c r="N135">
        <v>13323.94</v>
      </c>
      <c r="O135" t="s">
        <v>91</v>
      </c>
      <c r="P135">
        <v>350.16</v>
      </c>
      <c r="Q135" t="s">
        <v>83</v>
      </c>
      <c r="R135" t="s">
        <v>41</v>
      </c>
      <c r="S135">
        <v>2</v>
      </c>
      <c r="T135">
        <v>2</v>
      </c>
      <c r="U135" t="s">
        <v>32</v>
      </c>
      <c r="V135" t="s">
        <v>33</v>
      </c>
      <c r="W135">
        <v>2</v>
      </c>
    </row>
    <row r="136" spans="1:23" x14ac:dyDescent="0.25">
      <c r="A136" t="s">
        <v>338</v>
      </c>
      <c r="B136" s="1">
        <v>45714</v>
      </c>
      <c r="C136" t="s">
        <v>339</v>
      </c>
      <c r="D136" t="s">
        <v>97</v>
      </c>
      <c r="E136" t="s">
        <v>26</v>
      </c>
      <c r="F136" t="s">
        <v>86</v>
      </c>
      <c r="G136" t="s">
        <v>94</v>
      </c>
      <c r="H136">
        <v>1</v>
      </c>
      <c r="I136">
        <v>50922</v>
      </c>
      <c r="J136">
        <v>5</v>
      </c>
      <c r="K136">
        <v>2546.1</v>
      </c>
      <c r="L136">
        <v>48375.9</v>
      </c>
      <c r="M136">
        <v>28760.37</v>
      </c>
      <c r="N136">
        <v>19615.53</v>
      </c>
      <c r="O136" t="s">
        <v>29</v>
      </c>
      <c r="P136">
        <v>715.94</v>
      </c>
      <c r="Q136" t="s">
        <v>68</v>
      </c>
      <c r="R136" t="s">
        <v>31</v>
      </c>
      <c r="S136">
        <v>5</v>
      </c>
      <c r="T136">
        <v>3</v>
      </c>
      <c r="U136" t="s">
        <v>32</v>
      </c>
      <c r="V136" t="s">
        <v>33</v>
      </c>
      <c r="W136">
        <v>2</v>
      </c>
    </row>
    <row r="137" spans="1:23" x14ac:dyDescent="0.25">
      <c r="A137" t="s">
        <v>340</v>
      </c>
      <c r="B137" s="1">
        <v>45736</v>
      </c>
      <c r="C137" t="s">
        <v>341</v>
      </c>
      <c r="D137" t="s">
        <v>154</v>
      </c>
      <c r="E137" t="s">
        <v>46</v>
      </c>
      <c r="F137" t="s">
        <v>47</v>
      </c>
      <c r="G137" t="s">
        <v>138</v>
      </c>
      <c r="H137">
        <v>2</v>
      </c>
      <c r="I137">
        <v>31588</v>
      </c>
      <c r="J137">
        <v>0</v>
      </c>
      <c r="K137">
        <v>0</v>
      </c>
      <c r="L137">
        <v>63176</v>
      </c>
      <c r="M137">
        <v>44877.67</v>
      </c>
      <c r="N137">
        <v>18298.330000000002</v>
      </c>
      <c r="O137" t="s">
        <v>55</v>
      </c>
      <c r="P137">
        <v>2123.08</v>
      </c>
      <c r="Q137" t="s">
        <v>83</v>
      </c>
      <c r="R137" t="s">
        <v>31</v>
      </c>
      <c r="S137">
        <v>5</v>
      </c>
      <c r="T137">
        <v>8</v>
      </c>
      <c r="U137" t="s">
        <v>56</v>
      </c>
      <c r="V137" t="s">
        <v>33</v>
      </c>
      <c r="W137">
        <v>5</v>
      </c>
    </row>
    <row r="138" spans="1:23" x14ac:dyDescent="0.25">
      <c r="A138" t="s">
        <v>342</v>
      </c>
      <c r="B138" s="1">
        <v>45979</v>
      </c>
      <c r="C138" t="s">
        <v>343</v>
      </c>
      <c r="D138" t="s">
        <v>71</v>
      </c>
      <c r="E138" t="s">
        <v>26</v>
      </c>
      <c r="F138" t="s">
        <v>53</v>
      </c>
      <c r="G138" t="s">
        <v>54</v>
      </c>
      <c r="H138">
        <v>1</v>
      </c>
      <c r="I138">
        <v>29070</v>
      </c>
      <c r="J138">
        <v>0</v>
      </c>
      <c r="K138">
        <v>0</v>
      </c>
      <c r="L138">
        <v>29070</v>
      </c>
      <c r="M138">
        <v>21188.26</v>
      </c>
      <c r="N138">
        <v>7881.74</v>
      </c>
      <c r="O138" t="s">
        <v>55</v>
      </c>
      <c r="P138">
        <v>2110.5</v>
      </c>
      <c r="Q138" t="s">
        <v>83</v>
      </c>
      <c r="R138" t="s">
        <v>31</v>
      </c>
      <c r="S138">
        <v>5</v>
      </c>
      <c r="T138">
        <v>3</v>
      </c>
      <c r="U138" t="s">
        <v>32</v>
      </c>
      <c r="V138" t="s">
        <v>33</v>
      </c>
      <c r="W138">
        <v>4</v>
      </c>
    </row>
    <row r="139" spans="1:23" x14ac:dyDescent="0.25">
      <c r="A139" t="s">
        <v>344</v>
      </c>
      <c r="B139" s="1">
        <v>45739</v>
      </c>
      <c r="C139" t="s">
        <v>345</v>
      </c>
      <c r="D139" t="s">
        <v>63</v>
      </c>
      <c r="E139" t="s">
        <v>26</v>
      </c>
      <c r="F139" t="s">
        <v>37</v>
      </c>
      <c r="G139" t="s">
        <v>38</v>
      </c>
      <c r="H139">
        <v>1</v>
      </c>
      <c r="I139">
        <v>17216</v>
      </c>
      <c r="J139">
        <v>10</v>
      </c>
      <c r="K139">
        <v>1721.6</v>
      </c>
      <c r="L139">
        <v>15494.4</v>
      </c>
      <c r="M139">
        <v>11464.74</v>
      </c>
      <c r="N139">
        <v>4029.66</v>
      </c>
      <c r="O139" t="s">
        <v>55</v>
      </c>
      <c r="P139">
        <v>1460.72</v>
      </c>
      <c r="Q139" t="s">
        <v>68</v>
      </c>
      <c r="R139" t="s">
        <v>31</v>
      </c>
      <c r="S139">
        <v>5</v>
      </c>
      <c r="T139">
        <v>4</v>
      </c>
      <c r="U139" t="s">
        <v>32</v>
      </c>
      <c r="V139" t="s">
        <v>33</v>
      </c>
      <c r="W139">
        <v>1</v>
      </c>
    </row>
    <row r="140" spans="1:23" x14ac:dyDescent="0.25">
      <c r="A140" t="s">
        <v>346</v>
      </c>
      <c r="B140" s="1">
        <v>46006</v>
      </c>
      <c r="C140" t="s">
        <v>347</v>
      </c>
      <c r="D140" t="s">
        <v>90</v>
      </c>
      <c r="E140" t="s">
        <v>26</v>
      </c>
      <c r="F140" t="s">
        <v>27</v>
      </c>
      <c r="G140" t="s">
        <v>72</v>
      </c>
      <c r="H140">
        <v>3</v>
      </c>
      <c r="I140">
        <v>8387</v>
      </c>
      <c r="J140">
        <v>25</v>
      </c>
      <c r="K140">
        <v>6290.25</v>
      </c>
      <c r="L140">
        <v>18870.75</v>
      </c>
      <c r="M140">
        <v>10761.29</v>
      </c>
      <c r="N140">
        <v>8109.46</v>
      </c>
      <c r="O140" t="s">
        <v>55</v>
      </c>
      <c r="P140">
        <v>731.67</v>
      </c>
      <c r="Q140" t="s">
        <v>73</v>
      </c>
      <c r="R140" t="s">
        <v>31</v>
      </c>
      <c r="S140">
        <v>5</v>
      </c>
      <c r="T140">
        <v>2</v>
      </c>
      <c r="U140" t="s">
        <v>32</v>
      </c>
      <c r="V140" t="s">
        <v>50</v>
      </c>
      <c r="W140">
        <v>5</v>
      </c>
    </row>
    <row r="141" spans="1:23" x14ac:dyDescent="0.25">
      <c r="A141" t="s">
        <v>348</v>
      </c>
      <c r="B141" s="1">
        <v>45874</v>
      </c>
      <c r="C141" t="s">
        <v>349</v>
      </c>
      <c r="D141" t="s">
        <v>79</v>
      </c>
      <c r="E141" t="s">
        <v>36</v>
      </c>
      <c r="F141" t="s">
        <v>86</v>
      </c>
      <c r="G141" t="s">
        <v>127</v>
      </c>
      <c r="H141">
        <v>3</v>
      </c>
      <c r="I141">
        <v>46987</v>
      </c>
      <c r="J141">
        <v>0</v>
      </c>
      <c r="K141">
        <v>0</v>
      </c>
      <c r="L141">
        <v>140961</v>
      </c>
      <c r="M141">
        <v>109926.52</v>
      </c>
      <c r="N141">
        <v>31034.48</v>
      </c>
      <c r="O141" t="s">
        <v>91</v>
      </c>
      <c r="P141">
        <v>518.30999999999995</v>
      </c>
      <c r="Q141" t="s">
        <v>68</v>
      </c>
      <c r="R141" t="s">
        <v>31</v>
      </c>
      <c r="S141">
        <v>5</v>
      </c>
      <c r="T141">
        <v>2</v>
      </c>
      <c r="U141" t="s">
        <v>32</v>
      </c>
      <c r="V141" t="s">
        <v>33</v>
      </c>
      <c r="W141">
        <v>5</v>
      </c>
    </row>
    <row r="142" spans="1:23" x14ac:dyDescent="0.25">
      <c r="A142" t="s">
        <v>350</v>
      </c>
      <c r="B142" s="1">
        <v>45963</v>
      </c>
      <c r="C142" t="s">
        <v>351</v>
      </c>
      <c r="D142" t="s">
        <v>45</v>
      </c>
      <c r="E142" t="s">
        <v>36</v>
      </c>
      <c r="F142" t="s">
        <v>86</v>
      </c>
      <c r="G142" t="s">
        <v>94</v>
      </c>
      <c r="H142">
        <v>1</v>
      </c>
      <c r="I142">
        <v>29969</v>
      </c>
      <c r="J142">
        <v>15</v>
      </c>
      <c r="K142">
        <v>4495.3500000000004</v>
      </c>
      <c r="L142">
        <v>25473.65</v>
      </c>
      <c r="M142">
        <v>20629.169999999998</v>
      </c>
      <c r="N142">
        <v>4844.4799999999996</v>
      </c>
      <c r="O142" t="s">
        <v>39</v>
      </c>
      <c r="P142">
        <v>2156.54</v>
      </c>
      <c r="Q142" t="s">
        <v>30</v>
      </c>
      <c r="R142" t="s">
        <v>41</v>
      </c>
      <c r="S142">
        <v>2</v>
      </c>
      <c r="T142">
        <v>2</v>
      </c>
      <c r="U142" t="s">
        <v>32</v>
      </c>
      <c r="V142" t="s">
        <v>33</v>
      </c>
      <c r="W142">
        <v>5</v>
      </c>
    </row>
    <row r="143" spans="1:23" x14ac:dyDescent="0.25">
      <c r="A143" t="s">
        <v>352</v>
      </c>
      <c r="B143" s="1">
        <v>45690</v>
      </c>
      <c r="C143" t="s">
        <v>353</v>
      </c>
      <c r="D143" t="s">
        <v>90</v>
      </c>
      <c r="E143" t="s">
        <v>46</v>
      </c>
      <c r="F143" t="s">
        <v>47</v>
      </c>
      <c r="G143" t="s">
        <v>138</v>
      </c>
      <c r="H143">
        <v>3</v>
      </c>
      <c r="I143">
        <v>44286</v>
      </c>
      <c r="J143">
        <v>10</v>
      </c>
      <c r="K143">
        <v>13285.8</v>
      </c>
      <c r="L143">
        <v>119572.2</v>
      </c>
      <c r="M143">
        <v>85502.11</v>
      </c>
      <c r="N143">
        <v>34070.089999999997</v>
      </c>
      <c r="O143" t="s">
        <v>91</v>
      </c>
      <c r="P143">
        <v>459.76</v>
      </c>
      <c r="Q143" t="s">
        <v>30</v>
      </c>
      <c r="R143" t="s">
        <v>31</v>
      </c>
      <c r="S143">
        <v>5</v>
      </c>
      <c r="T143">
        <v>3</v>
      </c>
      <c r="U143" t="s">
        <v>32</v>
      </c>
      <c r="V143" t="s">
        <v>50</v>
      </c>
      <c r="W143">
        <v>4</v>
      </c>
    </row>
    <row r="144" spans="1:23" x14ac:dyDescent="0.25">
      <c r="A144" t="s">
        <v>354</v>
      </c>
      <c r="B144" s="1">
        <v>45855</v>
      </c>
      <c r="C144" t="s">
        <v>241</v>
      </c>
      <c r="D144" t="s">
        <v>63</v>
      </c>
      <c r="E144" t="s">
        <v>46</v>
      </c>
      <c r="F144" t="s">
        <v>27</v>
      </c>
      <c r="G144" t="s">
        <v>164</v>
      </c>
      <c r="H144">
        <v>2</v>
      </c>
      <c r="I144">
        <v>27216</v>
      </c>
      <c r="J144">
        <v>10</v>
      </c>
      <c r="K144">
        <v>5443.2</v>
      </c>
      <c r="L144">
        <v>48988.800000000003</v>
      </c>
      <c r="M144">
        <v>33809.96</v>
      </c>
      <c r="N144">
        <v>15178.84</v>
      </c>
      <c r="O144" t="s">
        <v>49</v>
      </c>
      <c r="P144">
        <v>376.99</v>
      </c>
      <c r="Q144" t="s">
        <v>30</v>
      </c>
      <c r="R144" t="s">
        <v>31</v>
      </c>
      <c r="S144">
        <v>5</v>
      </c>
      <c r="T144">
        <v>3</v>
      </c>
      <c r="U144" t="s">
        <v>32</v>
      </c>
      <c r="V144" t="s">
        <v>50</v>
      </c>
      <c r="W144">
        <v>5</v>
      </c>
    </row>
    <row r="145" spans="1:23" x14ac:dyDescent="0.25">
      <c r="A145" t="s">
        <v>355</v>
      </c>
      <c r="B145" s="1">
        <v>45853</v>
      </c>
      <c r="C145" t="s">
        <v>356</v>
      </c>
      <c r="D145" t="s">
        <v>97</v>
      </c>
      <c r="E145" t="s">
        <v>46</v>
      </c>
      <c r="F145" t="s">
        <v>86</v>
      </c>
      <c r="G145" t="s">
        <v>127</v>
      </c>
      <c r="H145">
        <v>2</v>
      </c>
      <c r="I145">
        <v>67510</v>
      </c>
      <c r="J145">
        <v>0</v>
      </c>
      <c r="K145">
        <v>0</v>
      </c>
      <c r="L145">
        <v>135020</v>
      </c>
      <c r="M145">
        <v>101654.68</v>
      </c>
      <c r="N145">
        <v>33365.32</v>
      </c>
      <c r="O145" t="s">
        <v>29</v>
      </c>
      <c r="P145">
        <v>2431.33</v>
      </c>
      <c r="Q145" t="s">
        <v>83</v>
      </c>
      <c r="R145" t="s">
        <v>31</v>
      </c>
      <c r="S145">
        <v>5</v>
      </c>
      <c r="T145">
        <v>5</v>
      </c>
      <c r="U145" t="s">
        <v>32</v>
      </c>
      <c r="V145" t="s">
        <v>33</v>
      </c>
      <c r="W145">
        <v>3</v>
      </c>
    </row>
    <row r="146" spans="1:23" x14ac:dyDescent="0.25">
      <c r="A146" t="s">
        <v>357</v>
      </c>
      <c r="B146" s="1">
        <v>45963</v>
      </c>
      <c r="C146" t="s">
        <v>358</v>
      </c>
      <c r="D146" t="s">
        <v>71</v>
      </c>
      <c r="E146" t="s">
        <v>36</v>
      </c>
      <c r="F146" t="s">
        <v>37</v>
      </c>
      <c r="G146" t="s">
        <v>161</v>
      </c>
      <c r="H146">
        <v>1</v>
      </c>
      <c r="I146">
        <v>36666</v>
      </c>
      <c r="J146">
        <v>20</v>
      </c>
      <c r="K146">
        <v>7333.2</v>
      </c>
      <c r="L146">
        <v>29332.799999999999</v>
      </c>
      <c r="M146">
        <v>18636.2</v>
      </c>
      <c r="N146">
        <v>10696.6</v>
      </c>
      <c r="O146" t="s">
        <v>60</v>
      </c>
      <c r="P146">
        <v>1127.9100000000001</v>
      </c>
      <c r="Q146" t="s">
        <v>83</v>
      </c>
      <c r="R146" t="s">
        <v>31</v>
      </c>
      <c r="S146">
        <v>5</v>
      </c>
      <c r="T146">
        <v>5</v>
      </c>
      <c r="U146" t="s">
        <v>32</v>
      </c>
      <c r="V146" t="s">
        <v>33</v>
      </c>
      <c r="W146">
        <v>1</v>
      </c>
    </row>
    <row r="147" spans="1:23" x14ac:dyDescent="0.25">
      <c r="A147" t="s">
        <v>359</v>
      </c>
      <c r="B147" s="1">
        <v>45897</v>
      </c>
      <c r="C147" t="s">
        <v>360</v>
      </c>
      <c r="D147" t="s">
        <v>79</v>
      </c>
      <c r="E147" t="s">
        <v>36</v>
      </c>
      <c r="F147" t="s">
        <v>37</v>
      </c>
      <c r="G147" t="s">
        <v>38</v>
      </c>
      <c r="H147">
        <v>2</v>
      </c>
      <c r="I147">
        <v>33898</v>
      </c>
      <c r="J147">
        <v>10</v>
      </c>
      <c r="K147">
        <v>6779.6</v>
      </c>
      <c r="L147">
        <v>61016.4</v>
      </c>
      <c r="M147">
        <v>39544.879999999997</v>
      </c>
      <c r="N147">
        <v>21471.52</v>
      </c>
      <c r="O147" t="s">
        <v>29</v>
      </c>
      <c r="P147">
        <v>1245.26</v>
      </c>
      <c r="Q147" t="s">
        <v>40</v>
      </c>
      <c r="R147" t="s">
        <v>31</v>
      </c>
      <c r="S147">
        <v>5</v>
      </c>
      <c r="T147">
        <v>6</v>
      </c>
      <c r="U147" t="s">
        <v>56</v>
      </c>
      <c r="V147" t="s">
        <v>33</v>
      </c>
      <c r="W147">
        <v>5</v>
      </c>
    </row>
    <row r="148" spans="1:23" x14ac:dyDescent="0.25">
      <c r="A148" t="s">
        <v>361</v>
      </c>
      <c r="B148" s="1">
        <v>45928</v>
      </c>
      <c r="C148" t="s">
        <v>362</v>
      </c>
      <c r="D148" t="s">
        <v>25</v>
      </c>
      <c r="E148" t="s">
        <v>26</v>
      </c>
      <c r="F148" t="s">
        <v>37</v>
      </c>
      <c r="G148" t="s">
        <v>38</v>
      </c>
      <c r="H148">
        <v>1</v>
      </c>
      <c r="I148">
        <v>27274</v>
      </c>
      <c r="J148">
        <v>10</v>
      </c>
      <c r="K148">
        <v>2727.4</v>
      </c>
      <c r="L148">
        <v>24546.6</v>
      </c>
      <c r="M148">
        <v>17130.490000000002</v>
      </c>
      <c r="N148">
        <v>7416.11</v>
      </c>
      <c r="O148" t="s">
        <v>49</v>
      </c>
      <c r="P148">
        <v>453.59</v>
      </c>
      <c r="Q148" t="s">
        <v>30</v>
      </c>
      <c r="R148" t="s">
        <v>31</v>
      </c>
      <c r="S148">
        <v>5</v>
      </c>
      <c r="T148">
        <v>2</v>
      </c>
      <c r="U148" t="s">
        <v>32</v>
      </c>
      <c r="V148" t="s">
        <v>33</v>
      </c>
      <c r="W148">
        <v>1</v>
      </c>
    </row>
    <row r="149" spans="1:23" x14ac:dyDescent="0.25">
      <c r="A149" t="s">
        <v>363</v>
      </c>
      <c r="B149" s="1">
        <v>45786</v>
      </c>
      <c r="C149" t="s">
        <v>364</v>
      </c>
      <c r="D149" t="s">
        <v>63</v>
      </c>
      <c r="E149" t="s">
        <v>46</v>
      </c>
      <c r="F149" t="s">
        <v>47</v>
      </c>
      <c r="G149" t="s">
        <v>105</v>
      </c>
      <c r="H149">
        <v>1</v>
      </c>
      <c r="I149">
        <v>21128</v>
      </c>
      <c r="J149">
        <v>10</v>
      </c>
      <c r="K149">
        <v>2112.8000000000002</v>
      </c>
      <c r="L149">
        <v>19015.2</v>
      </c>
      <c r="M149">
        <v>11011.64</v>
      </c>
      <c r="N149">
        <v>8003.56</v>
      </c>
      <c r="O149" t="s">
        <v>29</v>
      </c>
      <c r="P149">
        <v>2126.17</v>
      </c>
      <c r="Q149" t="s">
        <v>40</v>
      </c>
      <c r="R149" t="s">
        <v>31</v>
      </c>
      <c r="S149">
        <v>5</v>
      </c>
      <c r="T149">
        <v>2</v>
      </c>
      <c r="U149" t="s">
        <v>32</v>
      </c>
      <c r="V149" t="s">
        <v>33</v>
      </c>
      <c r="W149">
        <v>5</v>
      </c>
    </row>
    <row r="150" spans="1:23" x14ac:dyDescent="0.25">
      <c r="A150" t="s">
        <v>365</v>
      </c>
      <c r="B150" s="1">
        <v>45941</v>
      </c>
      <c r="C150" t="s">
        <v>78</v>
      </c>
      <c r="D150" t="s">
        <v>45</v>
      </c>
      <c r="E150" t="s">
        <v>46</v>
      </c>
      <c r="F150" t="s">
        <v>53</v>
      </c>
      <c r="G150" t="s">
        <v>54</v>
      </c>
      <c r="H150">
        <v>1</v>
      </c>
      <c r="I150">
        <v>78515</v>
      </c>
      <c r="J150">
        <v>25</v>
      </c>
      <c r="K150">
        <v>19628.75</v>
      </c>
      <c r="L150">
        <v>58886.25</v>
      </c>
      <c r="M150">
        <v>44806.080000000002</v>
      </c>
      <c r="N150">
        <v>14080.17</v>
      </c>
      <c r="O150" t="s">
        <v>29</v>
      </c>
      <c r="P150">
        <v>2075.06</v>
      </c>
      <c r="Q150" t="s">
        <v>83</v>
      </c>
      <c r="R150" t="s">
        <v>31</v>
      </c>
      <c r="S150">
        <v>5</v>
      </c>
      <c r="T150">
        <v>6</v>
      </c>
      <c r="U150" t="s">
        <v>56</v>
      </c>
      <c r="V150" t="s">
        <v>33</v>
      </c>
      <c r="W150">
        <v>5</v>
      </c>
    </row>
    <row r="151" spans="1:23" x14ac:dyDescent="0.25">
      <c r="A151" t="s">
        <v>366</v>
      </c>
      <c r="B151" s="1">
        <v>45663</v>
      </c>
      <c r="C151" t="s">
        <v>337</v>
      </c>
      <c r="D151" t="s">
        <v>97</v>
      </c>
      <c r="E151" t="s">
        <v>46</v>
      </c>
      <c r="F151" t="s">
        <v>27</v>
      </c>
      <c r="G151" t="s">
        <v>28</v>
      </c>
      <c r="H151">
        <v>2</v>
      </c>
      <c r="I151">
        <v>16537</v>
      </c>
      <c r="J151">
        <v>10</v>
      </c>
      <c r="K151">
        <v>3307.4</v>
      </c>
      <c r="L151">
        <v>29766.6</v>
      </c>
      <c r="M151">
        <v>20011.14</v>
      </c>
      <c r="N151">
        <v>9755.4599999999991</v>
      </c>
      <c r="O151" t="s">
        <v>60</v>
      </c>
      <c r="P151">
        <v>1585.81</v>
      </c>
      <c r="Q151" t="s">
        <v>40</v>
      </c>
      <c r="R151" t="s">
        <v>31</v>
      </c>
      <c r="S151">
        <v>5</v>
      </c>
      <c r="T151">
        <v>5</v>
      </c>
      <c r="U151" t="s">
        <v>32</v>
      </c>
      <c r="V151" t="s">
        <v>33</v>
      </c>
      <c r="W151">
        <v>4</v>
      </c>
    </row>
    <row r="152" spans="1:23" x14ac:dyDescent="0.25">
      <c r="A152" t="s">
        <v>367</v>
      </c>
      <c r="B152" s="1">
        <v>46006</v>
      </c>
      <c r="C152" t="s">
        <v>368</v>
      </c>
      <c r="D152" t="s">
        <v>97</v>
      </c>
      <c r="E152" t="s">
        <v>46</v>
      </c>
      <c r="F152" t="s">
        <v>86</v>
      </c>
      <c r="G152" t="s">
        <v>110</v>
      </c>
      <c r="H152">
        <v>1</v>
      </c>
      <c r="I152">
        <v>51258</v>
      </c>
      <c r="J152">
        <v>0</v>
      </c>
      <c r="K152">
        <v>0</v>
      </c>
      <c r="L152">
        <v>51258</v>
      </c>
      <c r="M152">
        <v>35165.61</v>
      </c>
      <c r="N152">
        <v>16092.39</v>
      </c>
      <c r="O152" t="s">
        <v>49</v>
      </c>
      <c r="P152">
        <v>392.35</v>
      </c>
      <c r="Q152" t="s">
        <v>40</v>
      </c>
      <c r="R152" t="s">
        <v>41</v>
      </c>
      <c r="S152">
        <v>2</v>
      </c>
      <c r="T152">
        <v>5</v>
      </c>
      <c r="U152" t="s">
        <v>32</v>
      </c>
      <c r="V152" t="s">
        <v>50</v>
      </c>
      <c r="W152">
        <v>1</v>
      </c>
    </row>
    <row r="153" spans="1:23" x14ac:dyDescent="0.25">
      <c r="A153" t="s">
        <v>369</v>
      </c>
      <c r="B153" s="1">
        <v>45716</v>
      </c>
      <c r="C153" t="s">
        <v>370</v>
      </c>
      <c r="D153" t="s">
        <v>71</v>
      </c>
      <c r="E153" t="s">
        <v>26</v>
      </c>
      <c r="F153" t="s">
        <v>27</v>
      </c>
      <c r="G153" t="s">
        <v>28</v>
      </c>
      <c r="H153">
        <v>2</v>
      </c>
      <c r="I153">
        <v>20628</v>
      </c>
      <c r="J153">
        <v>0</v>
      </c>
      <c r="K153">
        <v>0</v>
      </c>
      <c r="L153">
        <v>41256</v>
      </c>
      <c r="M153">
        <v>26933.360000000001</v>
      </c>
      <c r="N153">
        <v>14322.64</v>
      </c>
      <c r="O153" t="s">
        <v>49</v>
      </c>
      <c r="P153">
        <v>170.14</v>
      </c>
      <c r="Q153" t="s">
        <v>68</v>
      </c>
      <c r="R153" t="s">
        <v>31</v>
      </c>
      <c r="S153">
        <v>5</v>
      </c>
      <c r="T153">
        <v>5</v>
      </c>
      <c r="U153" t="s">
        <v>32</v>
      </c>
      <c r="V153" t="s">
        <v>33</v>
      </c>
      <c r="W153">
        <v>2</v>
      </c>
    </row>
    <row r="154" spans="1:23" x14ac:dyDescent="0.25">
      <c r="A154" t="s">
        <v>371</v>
      </c>
      <c r="B154" s="1">
        <v>46007</v>
      </c>
      <c r="C154" t="s">
        <v>372</v>
      </c>
      <c r="D154" t="s">
        <v>90</v>
      </c>
      <c r="E154" t="s">
        <v>26</v>
      </c>
      <c r="F154" t="s">
        <v>86</v>
      </c>
      <c r="G154" t="s">
        <v>94</v>
      </c>
      <c r="H154">
        <v>1</v>
      </c>
      <c r="I154">
        <v>53013</v>
      </c>
      <c r="J154">
        <v>25</v>
      </c>
      <c r="K154">
        <v>13253.25</v>
      </c>
      <c r="L154">
        <v>39759.75</v>
      </c>
      <c r="M154">
        <v>31152.05</v>
      </c>
      <c r="N154">
        <v>8607.7000000000007</v>
      </c>
      <c r="O154" t="s">
        <v>49</v>
      </c>
      <c r="P154">
        <v>402.94</v>
      </c>
      <c r="Q154" t="s">
        <v>73</v>
      </c>
      <c r="R154" t="s">
        <v>41</v>
      </c>
      <c r="S154">
        <v>2</v>
      </c>
      <c r="T154">
        <v>1</v>
      </c>
      <c r="U154" t="s">
        <v>32</v>
      </c>
      <c r="V154" t="s">
        <v>50</v>
      </c>
      <c r="W154">
        <v>5</v>
      </c>
    </row>
    <row r="155" spans="1:23" x14ac:dyDescent="0.25">
      <c r="A155" t="s">
        <v>373</v>
      </c>
      <c r="B155" s="1">
        <v>45932</v>
      </c>
      <c r="C155" t="s">
        <v>307</v>
      </c>
      <c r="D155" t="s">
        <v>71</v>
      </c>
      <c r="E155" t="s">
        <v>46</v>
      </c>
      <c r="F155" t="s">
        <v>53</v>
      </c>
      <c r="G155" t="s">
        <v>54</v>
      </c>
      <c r="H155">
        <v>2</v>
      </c>
      <c r="I155">
        <v>10699</v>
      </c>
      <c r="J155">
        <v>5</v>
      </c>
      <c r="K155">
        <v>1069.9000000000001</v>
      </c>
      <c r="L155">
        <v>20328.099999999999</v>
      </c>
      <c r="M155">
        <v>16183.23</v>
      </c>
      <c r="N155">
        <v>4144.87</v>
      </c>
      <c r="O155" t="s">
        <v>49</v>
      </c>
      <c r="P155">
        <v>295.98</v>
      </c>
      <c r="Q155" t="s">
        <v>40</v>
      </c>
      <c r="R155" t="s">
        <v>41</v>
      </c>
      <c r="S155">
        <v>2</v>
      </c>
      <c r="T155">
        <v>6</v>
      </c>
      <c r="U155" t="s">
        <v>32</v>
      </c>
      <c r="V155" t="s">
        <v>50</v>
      </c>
      <c r="W155">
        <v>5</v>
      </c>
    </row>
    <row r="156" spans="1:23" x14ac:dyDescent="0.25">
      <c r="A156" t="s">
        <v>374</v>
      </c>
      <c r="B156" s="1">
        <v>45794</v>
      </c>
      <c r="C156" t="s">
        <v>305</v>
      </c>
      <c r="D156" t="s">
        <v>67</v>
      </c>
      <c r="E156" t="s">
        <v>36</v>
      </c>
      <c r="F156" t="s">
        <v>47</v>
      </c>
      <c r="G156" t="s">
        <v>146</v>
      </c>
      <c r="H156">
        <v>1</v>
      </c>
      <c r="I156">
        <v>40675</v>
      </c>
      <c r="J156">
        <v>15</v>
      </c>
      <c r="K156">
        <v>6101.25</v>
      </c>
      <c r="L156">
        <v>34573.75</v>
      </c>
      <c r="M156">
        <v>21621.05</v>
      </c>
      <c r="N156">
        <v>12952.7</v>
      </c>
      <c r="O156" t="s">
        <v>91</v>
      </c>
      <c r="P156">
        <v>1543.17</v>
      </c>
      <c r="Q156" t="s">
        <v>73</v>
      </c>
      <c r="R156" t="s">
        <v>31</v>
      </c>
      <c r="S156">
        <v>5</v>
      </c>
      <c r="T156">
        <v>5</v>
      </c>
      <c r="U156" t="s">
        <v>32</v>
      </c>
      <c r="V156" t="s">
        <v>33</v>
      </c>
      <c r="W156">
        <v>2</v>
      </c>
    </row>
    <row r="157" spans="1:23" x14ac:dyDescent="0.25">
      <c r="A157" t="s">
        <v>375</v>
      </c>
      <c r="B157" s="1">
        <v>45986</v>
      </c>
      <c r="C157" t="s">
        <v>376</v>
      </c>
      <c r="D157" t="s">
        <v>154</v>
      </c>
      <c r="E157" t="s">
        <v>46</v>
      </c>
      <c r="F157" t="s">
        <v>53</v>
      </c>
      <c r="G157" t="s">
        <v>59</v>
      </c>
      <c r="H157">
        <v>1</v>
      </c>
      <c r="I157">
        <v>15665</v>
      </c>
      <c r="J157">
        <v>0</v>
      </c>
      <c r="K157">
        <v>0</v>
      </c>
      <c r="L157">
        <v>15665</v>
      </c>
      <c r="M157">
        <v>11931.85</v>
      </c>
      <c r="N157">
        <v>3733.15</v>
      </c>
      <c r="O157" t="s">
        <v>55</v>
      </c>
      <c r="P157">
        <v>1397.39</v>
      </c>
      <c r="Q157" t="s">
        <v>40</v>
      </c>
      <c r="R157" t="s">
        <v>31</v>
      </c>
      <c r="S157">
        <v>5</v>
      </c>
      <c r="T157">
        <v>3</v>
      </c>
      <c r="U157" t="s">
        <v>32</v>
      </c>
      <c r="V157" t="s">
        <v>33</v>
      </c>
      <c r="W157">
        <v>2</v>
      </c>
    </row>
    <row r="158" spans="1:23" x14ac:dyDescent="0.25">
      <c r="A158" t="s">
        <v>377</v>
      </c>
      <c r="B158" s="1">
        <v>45832</v>
      </c>
      <c r="C158" t="s">
        <v>378</v>
      </c>
      <c r="D158" t="s">
        <v>97</v>
      </c>
      <c r="E158" t="s">
        <v>46</v>
      </c>
      <c r="F158" t="s">
        <v>47</v>
      </c>
      <c r="G158" t="s">
        <v>105</v>
      </c>
      <c r="H158">
        <v>1</v>
      </c>
      <c r="I158">
        <v>50472</v>
      </c>
      <c r="J158">
        <v>10</v>
      </c>
      <c r="K158">
        <v>5047.2</v>
      </c>
      <c r="L158">
        <v>45424.800000000003</v>
      </c>
      <c r="M158">
        <v>27662.81</v>
      </c>
      <c r="N158">
        <v>17761.990000000002</v>
      </c>
      <c r="O158" t="s">
        <v>60</v>
      </c>
      <c r="P158">
        <v>2094.48</v>
      </c>
      <c r="Q158" t="s">
        <v>83</v>
      </c>
      <c r="R158" t="s">
        <v>41</v>
      </c>
      <c r="S158">
        <v>2</v>
      </c>
      <c r="T158">
        <v>4</v>
      </c>
      <c r="U158" t="s">
        <v>32</v>
      </c>
      <c r="V158" t="s">
        <v>42</v>
      </c>
    </row>
    <row r="159" spans="1:23" x14ac:dyDescent="0.25">
      <c r="A159" t="s">
        <v>379</v>
      </c>
      <c r="B159" s="1">
        <v>45715</v>
      </c>
      <c r="C159" t="s">
        <v>380</v>
      </c>
      <c r="D159" t="s">
        <v>124</v>
      </c>
      <c r="E159" t="s">
        <v>26</v>
      </c>
      <c r="F159" t="s">
        <v>53</v>
      </c>
      <c r="G159" t="s">
        <v>59</v>
      </c>
      <c r="H159">
        <v>2</v>
      </c>
      <c r="I159">
        <v>14226</v>
      </c>
      <c r="J159">
        <v>15</v>
      </c>
      <c r="K159">
        <v>4267.8</v>
      </c>
      <c r="L159">
        <v>24184.2</v>
      </c>
      <c r="M159">
        <v>14976.78</v>
      </c>
      <c r="N159">
        <v>9207.42</v>
      </c>
      <c r="O159" t="s">
        <v>49</v>
      </c>
      <c r="P159">
        <v>419.95</v>
      </c>
      <c r="Q159" t="s">
        <v>73</v>
      </c>
      <c r="R159" t="s">
        <v>41</v>
      </c>
      <c r="S159">
        <v>2</v>
      </c>
      <c r="T159">
        <v>0</v>
      </c>
      <c r="U159" t="s">
        <v>32</v>
      </c>
      <c r="V159" t="s">
        <v>50</v>
      </c>
      <c r="W159">
        <v>5</v>
      </c>
    </row>
    <row r="160" spans="1:23" x14ac:dyDescent="0.25">
      <c r="A160" t="s">
        <v>381</v>
      </c>
      <c r="B160" s="1">
        <v>45808</v>
      </c>
      <c r="C160" t="s">
        <v>380</v>
      </c>
      <c r="D160" t="s">
        <v>67</v>
      </c>
      <c r="E160" t="s">
        <v>46</v>
      </c>
      <c r="F160" t="s">
        <v>37</v>
      </c>
      <c r="G160" t="s">
        <v>38</v>
      </c>
      <c r="H160">
        <v>2</v>
      </c>
      <c r="I160">
        <v>14970</v>
      </c>
      <c r="J160">
        <v>25</v>
      </c>
      <c r="K160">
        <v>7485</v>
      </c>
      <c r="L160">
        <v>22455</v>
      </c>
      <c r="M160">
        <v>15583</v>
      </c>
      <c r="N160">
        <v>6872</v>
      </c>
      <c r="O160" t="s">
        <v>55</v>
      </c>
      <c r="P160">
        <v>1647.88</v>
      </c>
      <c r="Q160" t="s">
        <v>68</v>
      </c>
      <c r="R160" t="s">
        <v>31</v>
      </c>
      <c r="S160">
        <v>5</v>
      </c>
      <c r="T160">
        <v>1</v>
      </c>
      <c r="U160" t="s">
        <v>32</v>
      </c>
      <c r="V160" t="s">
        <v>50</v>
      </c>
      <c r="W160">
        <v>5</v>
      </c>
    </row>
    <row r="161" spans="1:23" x14ac:dyDescent="0.25">
      <c r="A161" t="s">
        <v>382</v>
      </c>
      <c r="B161" s="1">
        <v>45880</v>
      </c>
      <c r="C161" t="s">
        <v>163</v>
      </c>
      <c r="D161" t="s">
        <v>97</v>
      </c>
      <c r="E161" t="s">
        <v>36</v>
      </c>
      <c r="F161" t="s">
        <v>27</v>
      </c>
      <c r="G161" t="s">
        <v>164</v>
      </c>
      <c r="H161">
        <v>2</v>
      </c>
      <c r="I161">
        <v>27974</v>
      </c>
      <c r="J161">
        <v>0</v>
      </c>
      <c r="K161">
        <v>0</v>
      </c>
      <c r="L161">
        <v>55948</v>
      </c>
      <c r="M161">
        <v>37708.44</v>
      </c>
      <c r="N161">
        <v>18239.560000000001</v>
      </c>
      <c r="O161" t="s">
        <v>49</v>
      </c>
      <c r="P161">
        <v>82.96</v>
      </c>
      <c r="Q161" t="s">
        <v>68</v>
      </c>
      <c r="R161" t="s">
        <v>31</v>
      </c>
      <c r="S161">
        <v>5</v>
      </c>
      <c r="T161">
        <v>6</v>
      </c>
      <c r="U161" t="s">
        <v>56</v>
      </c>
      <c r="V161" t="s">
        <v>33</v>
      </c>
      <c r="W161">
        <v>1</v>
      </c>
    </row>
    <row r="162" spans="1:23" x14ac:dyDescent="0.25">
      <c r="A162" t="s">
        <v>383</v>
      </c>
      <c r="B162" s="1">
        <v>45738</v>
      </c>
      <c r="C162" t="s">
        <v>384</v>
      </c>
      <c r="D162" t="s">
        <v>45</v>
      </c>
      <c r="E162" t="s">
        <v>36</v>
      </c>
      <c r="F162" t="s">
        <v>86</v>
      </c>
      <c r="G162" t="s">
        <v>110</v>
      </c>
      <c r="H162">
        <v>1</v>
      </c>
      <c r="I162">
        <v>59011</v>
      </c>
      <c r="J162">
        <v>0</v>
      </c>
      <c r="K162">
        <v>0</v>
      </c>
      <c r="L162">
        <v>59011</v>
      </c>
      <c r="M162">
        <v>38661.97</v>
      </c>
      <c r="N162">
        <v>20349.03</v>
      </c>
      <c r="O162" t="s">
        <v>91</v>
      </c>
      <c r="P162">
        <v>1856.66</v>
      </c>
      <c r="Q162" t="s">
        <v>83</v>
      </c>
      <c r="R162" t="s">
        <v>31</v>
      </c>
      <c r="S162">
        <v>5</v>
      </c>
      <c r="T162">
        <v>3</v>
      </c>
      <c r="U162" t="s">
        <v>32</v>
      </c>
      <c r="V162" t="s">
        <v>33</v>
      </c>
      <c r="W162">
        <v>5</v>
      </c>
    </row>
    <row r="163" spans="1:23" x14ac:dyDescent="0.25">
      <c r="A163" t="s">
        <v>385</v>
      </c>
      <c r="B163" s="1">
        <v>45890</v>
      </c>
      <c r="C163" t="s">
        <v>386</v>
      </c>
      <c r="D163" t="s">
        <v>25</v>
      </c>
      <c r="E163" t="s">
        <v>46</v>
      </c>
      <c r="F163" t="s">
        <v>37</v>
      </c>
      <c r="G163" t="s">
        <v>224</v>
      </c>
      <c r="H163">
        <v>2</v>
      </c>
      <c r="I163">
        <v>32683</v>
      </c>
      <c r="J163">
        <v>15</v>
      </c>
      <c r="K163">
        <v>9804.9</v>
      </c>
      <c r="L163">
        <v>55561.1</v>
      </c>
      <c r="M163">
        <v>36485.9</v>
      </c>
      <c r="N163">
        <v>19075.2</v>
      </c>
      <c r="O163" t="s">
        <v>29</v>
      </c>
      <c r="P163">
        <v>1426.98</v>
      </c>
      <c r="Q163" t="s">
        <v>68</v>
      </c>
      <c r="R163" t="s">
        <v>31</v>
      </c>
      <c r="S163">
        <v>5</v>
      </c>
      <c r="T163">
        <v>3</v>
      </c>
      <c r="U163" t="s">
        <v>32</v>
      </c>
      <c r="V163" t="s">
        <v>50</v>
      </c>
      <c r="W163">
        <v>2</v>
      </c>
    </row>
    <row r="164" spans="1:23" x14ac:dyDescent="0.25">
      <c r="A164" t="s">
        <v>387</v>
      </c>
      <c r="B164" s="1">
        <v>45659</v>
      </c>
      <c r="C164" t="s">
        <v>388</v>
      </c>
      <c r="D164" t="s">
        <v>154</v>
      </c>
      <c r="E164" t="s">
        <v>26</v>
      </c>
      <c r="F164" t="s">
        <v>27</v>
      </c>
      <c r="G164" t="s">
        <v>28</v>
      </c>
      <c r="H164">
        <v>3</v>
      </c>
      <c r="I164">
        <v>3865</v>
      </c>
      <c r="J164">
        <v>0</v>
      </c>
      <c r="K164">
        <v>0</v>
      </c>
      <c r="L164">
        <v>11595</v>
      </c>
      <c r="M164">
        <v>6508.03</v>
      </c>
      <c r="N164">
        <v>5086.97</v>
      </c>
      <c r="O164" t="s">
        <v>39</v>
      </c>
      <c r="P164">
        <v>1459.31</v>
      </c>
      <c r="Q164" t="s">
        <v>83</v>
      </c>
      <c r="R164" t="s">
        <v>41</v>
      </c>
      <c r="S164">
        <v>2</v>
      </c>
      <c r="T164">
        <v>4</v>
      </c>
      <c r="U164" t="s">
        <v>32</v>
      </c>
      <c r="V164" t="s">
        <v>42</v>
      </c>
    </row>
    <row r="165" spans="1:23" x14ac:dyDescent="0.25">
      <c r="A165" t="s">
        <v>389</v>
      </c>
      <c r="B165" s="1">
        <v>45792</v>
      </c>
      <c r="C165" t="s">
        <v>390</v>
      </c>
      <c r="D165" t="s">
        <v>124</v>
      </c>
      <c r="E165" t="s">
        <v>36</v>
      </c>
      <c r="F165" t="s">
        <v>86</v>
      </c>
      <c r="G165" t="s">
        <v>87</v>
      </c>
      <c r="H165">
        <v>3</v>
      </c>
      <c r="I165">
        <v>30116</v>
      </c>
      <c r="J165">
        <v>5</v>
      </c>
      <c r="K165">
        <v>4517.3999999999996</v>
      </c>
      <c r="L165">
        <v>85830.6</v>
      </c>
      <c r="M165">
        <v>49863.12</v>
      </c>
      <c r="N165">
        <v>35967.480000000003</v>
      </c>
      <c r="O165" t="s">
        <v>60</v>
      </c>
      <c r="P165">
        <v>2344.4499999999998</v>
      </c>
      <c r="Q165" t="s">
        <v>40</v>
      </c>
      <c r="R165" t="s">
        <v>31</v>
      </c>
      <c r="S165">
        <v>5</v>
      </c>
      <c r="T165">
        <v>6</v>
      </c>
      <c r="U165" t="s">
        <v>32</v>
      </c>
      <c r="V165" t="s">
        <v>50</v>
      </c>
      <c r="W165">
        <v>5</v>
      </c>
    </row>
    <row r="166" spans="1:23" x14ac:dyDescent="0.25">
      <c r="A166" t="s">
        <v>391</v>
      </c>
      <c r="B166" s="1">
        <v>45914</v>
      </c>
      <c r="C166" t="s">
        <v>386</v>
      </c>
      <c r="D166" t="s">
        <v>63</v>
      </c>
      <c r="E166" t="s">
        <v>46</v>
      </c>
      <c r="F166" t="s">
        <v>27</v>
      </c>
      <c r="G166" t="s">
        <v>28</v>
      </c>
      <c r="H166">
        <v>1</v>
      </c>
      <c r="I166">
        <v>14341</v>
      </c>
      <c r="J166">
        <v>0</v>
      </c>
      <c r="K166">
        <v>0</v>
      </c>
      <c r="L166">
        <v>14341</v>
      </c>
      <c r="M166">
        <v>10486.85</v>
      </c>
      <c r="N166">
        <v>3854.15</v>
      </c>
      <c r="O166" t="s">
        <v>49</v>
      </c>
      <c r="P166">
        <v>328.78</v>
      </c>
      <c r="Q166" t="s">
        <v>68</v>
      </c>
      <c r="R166" t="s">
        <v>31</v>
      </c>
      <c r="S166">
        <v>5</v>
      </c>
      <c r="T166">
        <v>6</v>
      </c>
      <c r="U166" t="s">
        <v>56</v>
      </c>
      <c r="V166" t="s">
        <v>33</v>
      </c>
      <c r="W166">
        <v>3</v>
      </c>
    </row>
    <row r="167" spans="1:23" x14ac:dyDescent="0.25">
      <c r="A167" t="s">
        <v>392</v>
      </c>
      <c r="B167" s="1">
        <v>45749</v>
      </c>
      <c r="C167" t="s">
        <v>129</v>
      </c>
      <c r="D167" t="s">
        <v>25</v>
      </c>
      <c r="E167" t="s">
        <v>26</v>
      </c>
      <c r="F167" t="s">
        <v>86</v>
      </c>
      <c r="G167" t="s">
        <v>127</v>
      </c>
      <c r="H167">
        <v>2</v>
      </c>
      <c r="I167">
        <v>80299</v>
      </c>
      <c r="J167">
        <v>15</v>
      </c>
      <c r="K167">
        <v>24089.7</v>
      </c>
      <c r="L167">
        <v>136508.29999999999</v>
      </c>
      <c r="M167">
        <v>81295.149999999994</v>
      </c>
      <c r="N167">
        <v>55213.15</v>
      </c>
      <c r="O167" t="s">
        <v>29</v>
      </c>
      <c r="P167">
        <v>709.51</v>
      </c>
      <c r="Q167" t="s">
        <v>30</v>
      </c>
      <c r="R167" t="s">
        <v>31</v>
      </c>
      <c r="S167">
        <v>5</v>
      </c>
      <c r="T167">
        <v>5</v>
      </c>
      <c r="U167" t="s">
        <v>32</v>
      </c>
      <c r="V167" t="s">
        <v>33</v>
      </c>
      <c r="W167">
        <v>5</v>
      </c>
    </row>
    <row r="168" spans="1:23" x14ac:dyDescent="0.25">
      <c r="A168" t="s">
        <v>393</v>
      </c>
      <c r="B168" s="1">
        <v>45917</v>
      </c>
      <c r="C168" t="s">
        <v>394</v>
      </c>
      <c r="D168" t="s">
        <v>25</v>
      </c>
      <c r="E168" t="s">
        <v>26</v>
      </c>
      <c r="F168" t="s">
        <v>86</v>
      </c>
      <c r="G168" t="s">
        <v>94</v>
      </c>
      <c r="H168">
        <v>1</v>
      </c>
      <c r="I168">
        <v>78308</v>
      </c>
      <c r="J168">
        <v>0</v>
      </c>
      <c r="K168">
        <v>0</v>
      </c>
      <c r="L168">
        <v>78308</v>
      </c>
      <c r="M168">
        <v>60867.56</v>
      </c>
      <c r="N168">
        <v>17440.439999999999</v>
      </c>
      <c r="O168" t="s">
        <v>60</v>
      </c>
      <c r="P168">
        <v>1887.15</v>
      </c>
      <c r="Q168" t="s">
        <v>83</v>
      </c>
      <c r="R168" t="s">
        <v>31</v>
      </c>
      <c r="S168">
        <v>5</v>
      </c>
      <c r="T168">
        <v>6</v>
      </c>
      <c r="U168" t="s">
        <v>56</v>
      </c>
      <c r="V168" t="s">
        <v>33</v>
      </c>
      <c r="W168">
        <v>3</v>
      </c>
    </row>
    <row r="169" spans="1:23" x14ac:dyDescent="0.25">
      <c r="A169" t="s">
        <v>395</v>
      </c>
      <c r="B169" s="1">
        <v>45712</v>
      </c>
      <c r="C169" t="s">
        <v>396</v>
      </c>
      <c r="D169" t="s">
        <v>90</v>
      </c>
      <c r="E169" t="s">
        <v>26</v>
      </c>
      <c r="F169" t="s">
        <v>53</v>
      </c>
      <c r="G169" t="s">
        <v>151</v>
      </c>
      <c r="H169">
        <v>2</v>
      </c>
      <c r="I169">
        <v>36886</v>
      </c>
      <c r="J169">
        <v>25</v>
      </c>
      <c r="K169">
        <v>18443</v>
      </c>
      <c r="L169">
        <v>55329</v>
      </c>
      <c r="M169">
        <v>37483.629999999997</v>
      </c>
      <c r="N169">
        <v>17845.37</v>
      </c>
      <c r="O169" t="s">
        <v>29</v>
      </c>
      <c r="P169">
        <v>713.61</v>
      </c>
      <c r="Q169" t="s">
        <v>40</v>
      </c>
      <c r="R169" t="s">
        <v>41</v>
      </c>
      <c r="S169">
        <v>2</v>
      </c>
      <c r="T169">
        <v>5</v>
      </c>
      <c r="U169" t="s">
        <v>56</v>
      </c>
      <c r="V169" t="s">
        <v>33</v>
      </c>
      <c r="W169">
        <v>4</v>
      </c>
    </row>
    <row r="170" spans="1:23" x14ac:dyDescent="0.25">
      <c r="A170" t="s">
        <v>397</v>
      </c>
      <c r="B170" s="1">
        <v>45978</v>
      </c>
      <c r="C170" t="s">
        <v>398</v>
      </c>
      <c r="D170" t="s">
        <v>97</v>
      </c>
      <c r="E170" t="s">
        <v>46</v>
      </c>
      <c r="F170" t="s">
        <v>86</v>
      </c>
      <c r="G170" t="s">
        <v>87</v>
      </c>
      <c r="H170">
        <v>1</v>
      </c>
      <c r="I170">
        <v>37310</v>
      </c>
      <c r="J170">
        <v>25</v>
      </c>
      <c r="K170">
        <v>9327.5</v>
      </c>
      <c r="L170">
        <v>27982.5</v>
      </c>
      <c r="M170">
        <v>16450.91</v>
      </c>
      <c r="N170">
        <v>11531.59</v>
      </c>
      <c r="O170" t="s">
        <v>29</v>
      </c>
      <c r="P170">
        <v>2382.04</v>
      </c>
      <c r="Q170" t="s">
        <v>68</v>
      </c>
      <c r="R170" t="s">
        <v>31</v>
      </c>
      <c r="S170">
        <v>5</v>
      </c>
      <c r="T170">
        <v>4</v>
      </c>
      <c r="U170" t="s">
        <v>32</v>
      </c>
      <c r="V170" t="s">
        <v>33</v>
      </c>
      <c r="W170">
        <v>5</v>
      </c>
    </row>
    <row r="171" spans="1:23" x14ac:dyDescent="0.25">
      <c r="A171" t="s">
        <v>399</v>
      </c>
      <c r="B171" s="1">
        <v>45810</v>
      </c>
      <c r="C171" t="s">
        <v>400</v>
      </c>
      <c r="D171" t="s">
        <v>124</v>
      </c>
      <c r="E171" t="s">
        <v>46</v>
      </c>
      <c r="F171" t="s">
        <v>27</v>
      </c>
      <c r="G171" t="s">
        <v>72</v>
      </c>
      <c r="H171">
        <v>1</v>
      </c>
      <c r="I171">
        <v>20470</v>
      </c>
      <c r="J171">
        <v>15</v>
      </c>
      <c r="K171">
        <v>3070.5</v>
      </c>
      <c r="L171">
        <v>17399.5</v>
      </c>
      <c r="M171">
        <v>11776.19</v>
      </c>
      <c r="N171">
        <v>5623.31</v>
      </c>
      <c r="O171" t="s">
        <v>60</v>
      </c>
      <c r="P171">
        <v>2455.36</v>
      </c>
      <c r="Q171" t="s">
        <v>73</v>
      </c>
      <c r="R171" t="s">
        <v>31</v>
      </c>
      <c r="S171">
        <v>5</v>
      </c>
      <c r="T171">
        <v>3</v>
      </c>
      <c r="U171" t="s">
        <v>32</v>
      </c>
      <c r="V171" t="s">
        <v>33</v>
      </c>
      <c r="W171">
        <v>1</v>
      </c>
    </row>
    <row r="172" spans="1:23" x14ac:dyDescent="0.25">
      <c r="A172" t="s">
        <v>401</v>
      </c>
      <c r="B172" s="1">
        <v>45985</v>
      </c>
      <c r="C172" t="s">
        <v>402</v>
      </c>
      <c r="D172" t="s">
        <v>63</v>
      </c>
      <c r="E172" t="s">
        <v>26</v>
      </c>
      <c r="F172" t="s">
        <v>53</v>
      </c>
      <c r="G172" t="s">
        <v>82</v>
      </c>
      <c r="H172">
        <v>1</v>
      </c>
      <c r="I172">
        <v>94678</v>
      </c>
      <c r="J172">
        <v>25</v>
      </c>
      <c r="K172">
        <v>23669.5</v>
      </c>
      <c r="L172">
        <v>71008.5</v>
      </c>
      <c r="M172">
        <v>43878.16</v>
      </c>
      <c r="N172">
        <v>27130.34</v>
      </c>
      <c r="O172" t="s">
        <v>29</v>
      </c>
      <c r="P172">
        <v>2079.64</v>
      </c>
      <c r="Q172" t="s">
        <v>73</v>
      </c>
      <c r="R172" t="s">
        <v>41</v>
      </c>
      <c r="S172">
        <v>2</v>
      </c>
      <c r="T172">
        <v>1</v>
      </c>
      <c r="U172" t="s">
        <v>32</v>
      </c>
      <c r="V172" t="s">
        <v>33</v>
      </c>
      <c r="W172">
        <v>3</v>
      </c>
    </row>
    <row r="173" spans="1:23" x14ac:dyDescent="0.25">
      <c r="A173" t="s">
        <v>403</v>
      </c>
      <c r="B173" s="1">
        <v>45917</v>
      </c>
      <c r="C173" t="s">
        <v>404</v>
      </c>
      <c r="D173" t="s">
        <v>97</v>
      </c>
      <c r="E173" t="s">
        <v>46</v>
      </c>
      <c r="F173" t="s">
        <v>27</v>
      </c>
      <c r="G173" t="s">
        <v>113</v>
      </c>
      <c r="H173">
        <v>1</v>
      </c>
      <c r="I173">
        <v>10430</v>
      </c>
      <c r="J173">
        <v>0</v>
      </c>
      <c r="K173">
        <v>0</v>
      </c>
      <c r="L173">
        <v>10430</v>
      </c>
      <c r="M173">
        <v>6179.63</v>
      </c>
      <c r="N173">
        <v>4250.37</v>
      </c>
      <c r="O173" t="s">
        <v>91</v>
      </c>
      <c r="P173">
        <v>729.8</v>
      </c>
      <c r="Q173" t="s">
        <v>73</v>
      </c>
      <c r="R173" t="s">
        <v>31</v>
      </c>
      <c r="S173">
        <v>5</v>
      </c>
      <c r="T173">
        <v>5</v>
      </c>
      <c r="U173" t="s">
        <v>32</v>
      </c>
      <c r="V173" t="s">
        <v>42</v>
      </c>
    </row>
    <row r="174" spans="1:23" x14ac:dyDescent="0.25">
      <c r="A174" t="s">
        <v>405</v>
      </c>
      <c r="B174" s="1">
        <v>45969</v>
      </c>
      <c r="C174" t="s">
        <v>406</v>
      </c>
      <c r="D174" t="s">
        <v>67</v>
      </c>
      <c r="E174" t="s">
        <v>26</v>
      </c>
      <c r="F174" t="s">
        <v>53</v>
      </c>
      <c r="G174" t="s">
        <v>54</v>
      </c>
      <c r="H174">
        <v>2</v>
      </c>
      <c r="I174">
        <v>62857</v>
      </c>
      <c r="J174">
        <v>0</v>
      </c>
      <c r="K174">
        <v>0</v>
      </c>
      <c r="L174">
        <v>125714</v>
      </c>
      <c r="M174">
        <v>73715.61</v>
      </c>
      <c r="N174">
        <v>51998.39</v>
      </c>
      <c r="O174" t="s">
        <v>91</v>
      </c>
      <c r="P174">
        <v>537.79</v>
      </c>
      <c r="Q174" t="s">
        <v>68</v>
      </c>
      <c r="R174" t="s">
        <v>31</v>
      </c>
      <c r="S174">
        <v>5</v>
      </c>
      <c r="T174">
        <v>4</v>
      </c>
      <c r="U174" t="s">
        <v>32</v>
      </c>
      <c r="V174" t="s">
        <v>42</v>
      </c>
    </row>
    <row r="175" spans="1:23" x14ac:dyDescent="0.25">
      <c r="A175" t="s">
        <v>407</v>
      </c>
      <c r="B175" s="1">
        <v>45759</v>
      </c>
      <c r="C175" t="s">
        <v>112</v>
      </c>
      <c r="D175" t="s">
        <v>71</v>
      </c>
      <c r="E175" t="s">
        <v>36</v>
      </c>
      <c r="F175" t="s">
        <v>86</v>
      </c>
      <c r="G175" t="s">
        <v>87</v>
      </c>
      <c r="H175">
        <v>2</v>
      </c>
      <c r="I175">
        <v>43152</v>
      </c>
      <c r="J175">
        <v>20</v>
      </c>
      <c r="K175">
        <v>17260.8</v>
      </c>
      <c r="L175">
        <v>69043.199999999997</v>
      </c>
      <c r="M175">
        <v>49280.41</v>
      </c>
      <c r="N175">
        <v>19762.79</v>
      </c>
      <c r="O175" t="s">
        <v>29</v>
      </c>
      <c r="P175">
        <v>704.54</v>
      </c>
      <c r="Q175" t="s">
        <v>30</v>
      </c>
      <c r="R175" t="s">
        <v>41</v>
      </c>
      <c r="S175">
        <v>2</v>
      </c>
      <c r="T175">
        <v>2</v>
      </c>
      <c r="U175" t="s">
        <v>32</v>
      </c>
      <c r="V175" t="s">
        <v>33</v>
      </c>
      <c r="W175">
        <v>2</v>
      </c>
    </row>
    <row r="176" spans="1:23" x14ac:dyDescent="0.25">
      <c r="A176" t="s">
        <v>408</v>
      </c>
      <c r="B176" s="1">
        <v>45736</v>
      </c>
      <c r="C176" t="s">
        <v>409</v>
      </c>
      <c r="D176" t="s">
        <v>154</v>
      </c>
      <c r="E176" t="s">
        <v>26</v>
      </c>
      <c r="F176" t="s">
        <v>37</v>
      </c>
      <c r="G176" t="s">
        <v>161</v>
      </c>
      <c r="H176">
        <v>1</v>
      </c>
      <c r="I176">
        <v>8511</v>
      </c>
      <c r="J176">
        <v>5</v>
      </c>
      <c r="K176">
        <v>425.55</v>
      </c>
      <c r="L176">
        <v>8085.45</v>
      </c>
      <c r="M176">
        <v>5272.66</v>
      </c>
      <c r="N176">
        <v>2812.79</v>
      </c>
      <c r="O176" t="s">
        <v>29</v>
      </c>
      <c r="P176">
        <v>665.4</v>
      </c>
      <c r="Q176" t="s">
        <v>40</v>
      </c>
      <c r="R176" t="s">
        <v>31</v>
      </c>
      <c r="S176">
        <v>5</v>
      </c>
      <c r="T176">
        <v>5</v>
      </c>
      <c r="U176" t="s">
        <v>32</v>
      </c>
      <c r="V176" t="s">
        <v>33</v>
      </c>
      <c r="W176">
        <v>1</v>
      </c>
    </row>
    <row r="177" spans="1:23" x14ac:dyDescent="0.25">
      <c r="A177" t="s">
        <v>410</v>
      </c>
      <c r="B177" s="1">
        <v>45849</v>
      </c>
      <c r="C177" t="s">
        <v>411</v>
      </c>
      <c r="D177" t="s">
        <v>154</v>
      </c>
      <c r="E177" t="s">
        <v>36</v>
      </c>
      <c r="F177" t="s">
        <v>27</v>
      </c>
      <c r="G177" t="s">
        <v>76</v>
      </c>
      <c r="H177">
        <v>2</v>
      </c>
      <c r="I177">
        <v>28154</v>
      </c>
      <c r="J177">
        <v>0</v>
      </c>
      <c r="K177">
        <v>0</v>
      </c>
      <c r="L177">
        <v>56308</v>
      </c>
      <c r="M177">
        <v>38300.99</v>
      </c>
      <c r="N177">
        <v>18007.009999999998</v>
      </c>
      <c r="O177" t="s">
        <v>60</v>
      </c>
      <c r="P177">
        <v>1760.69</v>
      </c>
      <c r="Q177" t="s">
        <v>30</v>
      </c>
      <c r="R177" t="s">
        <v>31</v>
      </c>
      <c r="S177">
        <v>5</v>
      </c>
      <c r="T177">
        <v>6</v>
      </c>
      <c r="U177" t="s">
        <v>56</v>
      </c>
      <c r="V177" t="s">
        <v>33</v>
      </c>
      <c r="W177">
        <v>5</v>
      </c>
    </row>
    <row r="178" spans="1:23" x14ac:dyDescent="0.25">
      <c r="A178" t="s">
        <v>412</v>
      </c>
      <c r="B178" s="1">
        <v>45740</v>
      </c>
      <c r="C178" t="s">
        <v>121</v>
      </c>
      <c r="D178" t="s">
        <v>90</v>
      </c>
      <c r="E178" t="s">
        <v>26</v>
      </c>
      <c r="F178" t="s">
        <v>37</v>
      </c>
      <c r="G178" t="s">
        <v>100</v>
      </c>
      <c r="H178">
        <v>1</v>
      </c>
      <c r="I178">
        <v>10403</v>
      </c>
      <c r="J178">
        <v>15</v>
      </c>
      <c r="K178">
        <v>1560.45</v>
      </c>
      <c r="L178">
        <v>8842.5499999999993</v>
      </c>
      <c r="M178">
        <v>5183.05</v>
      </c>
      <c r="N178">
        <v>3659.5</v>
      </c>
      <c r="O178" t="s">
        <v>49</v>
      </c>
      <c r="P178">
        <v>87.72</v>
      </c>
      <c r="Q178" t="s">
        <v>40</v>
      </c>
      <c r="R178" t="s">
        <v>31</v>
      </c>
      <c r="S178">
        <v>5</v>
      </c>
      <c r="T178">
        <v>5</v>
      </c>
      <c r="U178" t="s">
        <v>32</v>
      </c>
      <c r="V178" t="s">
        <v>33</v>
      </c>
      <c r="W178">
        <v>5</v>
      </c>
    </row>
    <row r="179" spans="1:23" x14ac:dyDescent="0.25">
      <c r="A179" t="s">
        <v>413</v>
      </c>
      <c r="B179" s="1">
        <v>45934</v>
      </c>
      <c r="C179" t="s">
        <v>153</v>
      </c>
      <c r="D179" t="s">
        <v>124</v>
      </c>
      <c r="E179" t="s">
        <v>26</v>
      </c>
      <c r="F179" t="s">
        <v>37</v>
      </c>
      <c r="G179" t="s">
        <v>100</v>
      </c>
      <c r="H179">
        <v>2</v>
      </c>
      <c r="I179">
        <v>4471</v>
      </c>
      <c r="J179">
        <v>15</v>
      </c>
      <c r="K179">
        <v>1341.3</v>
      </c>
      <c r="L179">
        <v>7600.7</v>
      </c>
      <c r="M179">
        <v>5523.64</v>
      </c>
      <c r="N179">
        <v>2077.06</v>
      </c>
      <c r="O179" t="s">
        <v>55</v>
      </c>
      <c r="P179">
        <v>445.14</v>
      </c>
      <c r="Q179" t="s">
        <v>30</v>
      </c>
      <c r="R179" t="s">
        <v>41</v>
      </c>
      <c r="S179">
        <v>2</v>
      </c>
      <c r="T179">
        <v>3</v>
      </c>
      <c r="U179" t="s">
        <v>32</v>
      </c>
      <c r="V179" t="s">
        <v>50</v>
      </c>
      <c r="W179">
        <v>3</v>
      </c>
    </row>
    <row r="180" spans="1:23" x14ac:dyDescent="0.25">
      <c r="A180" t="s">
        <v>414</v>
      </c>
      <c r="B180" s="1">
        <v>45929</v>
      </c>
      <c r="C180" t="s">
        <v>415</v>
      </c>
      <c r="D180" t="s">
        <v>97</v>
      </c>
      <c r="E180" t="s">
        <v>26</v>
      </c>
      <c r="F180" t="s">
        <v>37</v>
      </c>
      <c r="G180" t="s">
        <v>313</v>
      </c>
      <c r="H180">
        <v>2</v>
      </c>
      <c r="I180">
        <v>35619</v>
      </c>
      <c r="J180">
        <v>0</v>
      </c>
      <c r="K180">
        <v>0</v>
      </c>
      <c r="L180">
        <v>71238</v>
      </c>
      <c r="M180">
        <v>46301.67</v>
      </c>
      <c r="N180">
        <v>24936.33</v>
      </c>
      <c r="O180" t="s">
        <v>60</v>
      </c>
      <c r="P180">
        <v>2473.5700000000002</v>
      </c>
      <c r="Q180" t="s">
        <v>40</v>
      </c>
      <c r="R180" t="s">
        <v>41</v>
      </c>
      <c r="S180">
        <v>2</v>
      </c>
      <c r="T180">
        <v>2</v>
      </c>
      <c r="U180" t="s">
        <v>32</v>
      </c>
      <c r="V180" t="s">
        <v>42</v>
      </c>
    </row>
    <row r="181" spans="1:23" x14ac:dyDescent="0.25">
      <c r="A181" t="s">
        <v>416</v>
      </c>
      <c r="B181" s="1">
        <v>45658</v>
      </c>
      <c r="C181" t="s">
        <v>417</v>
      </c>
      <c r="D181" t="s">
        <v>79</v>
      </c>
      <c r="E181" t="s">
        <v>46</v>
      </c>
      <c r="F181" t="s">
        <v>86</v>
      </c>
      <c r="G181" t="s">
        <v>127</v>
      </c>
      <c r="H181">
        <v>2</v>
      </c>
      <c r="I181">
        <v>34109</v>
      </c>
      <c r="J181">
        <v>10</v>
      </c>
      <c r="K181">
        <v>6821.8</v>
      </c>
      <c r="L181">
        <v>61396.2</v>
      </c>
      <c r="M181">
        <v>47043.64</v>
      </c>
      <c r="N181">
        <v>14352.56</v>
      </c>
      <c r="O181" t="s">
        <v>49</v>
      </c>
      <c r="P181">
        <v>225.1</v>
      </c>
      <c r="Q181" t="s">
        <v>83</v>
      </c>
      <c r="R181" t="s">
        <v>31</v>
      </c>
      <c r="S181">
        <v>5</v>
      </c>
      <c r="T181">
        <v>1</v>
      </c>
      <c r="U181" t="s">
        <v>32</v>
      </c>
      <c r="V181" t="s">
        <v>42</v>
      </c>
    </row>
    <row r="182" spans="1:23" x14ac:dyDescent="0.25">
      <c r="A182" t="s">
        <v>418</v>
      </c>
      <c r="B182" s="1">
        <v>45964</v>
      </c>
      <c r="C182" t="s">
        <v>419</v>
      </c>
      <c r="D182" t="s">
        <v>45</v>
      </c>
      <c r="E182" t="s">
        <v>46</v>
      </c>
      <c r="F182" t="s">
        <v>53</v>
      </c>
      <c r="G182" t="s">
        <v>268</v>
      </c>
      <c r="H182">
        <v>1</v>
      </c>
      <c r="I182">
        <v>57606</v>
      </c>
      <c r="J182">
        <v>15</v>
      </c>
      <c r="K182">
        <v>8640.9</v>
      </c>
      <c r="L182">
        <v>48965.1</v>
      </c>
      <c r="M182">
        <v>35047.78</v>
      </c>
      <c r="N182">
        <v>13917.32</v>
      </c>
      <c r="O182" t="s">
        <v>60</v>
      </c>
      <c r="P182">
        <v>2416.12</v>
      </c>
      <c r="Q182" t="s">
        <v>83</v>
      </c>
      <c r="R182" t="s">
        <v>41</v>
      </c>
      <c r="S182">
        <v>2</v>
      </c>
      <c r="T182">
        <v>5</v>
      </c>
      <c r="U182" t="s">
        <v>32</v>
      </c>
      <c r="V182" t="s">
        <v>42</v>
      </c>
    </row>
    <row r="183" spans="1:23" x14ac:dyDescent="0.25">
      <c r="A183" t="s">
        <v>420</v>
      </c>
      <c r="B183" s="1">
        <v>45823</v>
      </c>
      <c r="C183" t="s">
        <v>421</v>
      </c>
      <c r="D183" t="s">
        <v>90</v>
      </c>
      <c r="E183" t="s">
        <v>36</v>
      </c>
      <c r="F183" t="s">
        <v>47</v>
      </c>
      <c r="G183" t="s">
        <v>105</v>
      </c>
      <c r="H183">
        <v>3</v>
      </c>
      <c r="I183">
        <v>25743</v>
      </c>
      <c r="J183">
        <v>25</v>
      </c>
      <c r="K183">
        <v>19307.25</v>
      </c>
      <c r="L183">
        <v>57921.75</v>
      </c>
      <c r="M183">
        <v>42779.93</v>
      </c>
      <c r="N183">
        <v>15141.82</v>
      </c>
      <c r="O183" t="s">
        <v>91</v>
      </c>
      <c r="P183">
        <v>282.94</v>
      </c>
      <c r="Q183" t="s">
        <v>68</v>
      </c>
      <c r="R183" t="s">
        <v>31</v>
      </c>
      <c r="S183">
        <v>5</v>
      </c>
      <c r="T183">
        <v>5</v>
      </c>
      <c r="U183" t="s">
        <v>32</v>
      </c>
      <c r="V183" t="s">
        <v>42</v>
      </c>
    </row>
    <row r="184" spans="1:23" x14ac:dyDescent="0.25">
      <c r="A184" t="s">
        <v>422</v>
      </c>
      <c r="B184" s="1">
        <v>45908</v>
      </c>
      <c r="C184" t="s">
        <v>423</v>
      </c>
      <c r="D184" t="s">
        <v>63</v>
      </c>
      <c r="E184" t="s">
        <v>46</v>
      </c>
      <c r="F184" t="s">
        <v>53</v>
      </c>
      <c r="G184" t="s">
        <v>268</v>
      </c>
      <c r="H184">
        <v>1</v>
      </c>
      <c r="I184">
        <v>85818</v>
      </c>
      <c r="J184">
        <v>0</v>
      </c>
      <c r="K184">
        <v>0</v>
      </c>
      <c r="L184">
        <v>85818</v>
      </c>
      <c r="M184">
        <v>59934.43</v>
      </c>
      <c r="N184">
        <v>25883.57</v>
      </c>
      <c r="O184" t="s">
        <v>60</v>
      </c>
      <c r="P184">
        <v>835.97</v>
      </c>
      <c r="Q184" t="s">
        <v>40</v>
      </c>
      <c r="R184" t="s">
        <v>41</v>
      </c>
      <c r="S184">
        <v>2</v>
      </c>
      <c r="T184">
        <v>2</v>
      </c>
      <c r="U184" t="s">
        <v>32</v>
      </c>
      <c r="V184" t="s">
        <v>50</v>
      </c>
      <c r="W184">
        <v>5</v>
      </c>
    </row>
    <row r="185" spans="1:23" x14ac:dyDescent="0.25">
      <c r="A185" t="s">
        <v>424</v>
      </c>
      <c r="B185" s="1">
        <v>45667</v>
      </c>
      <c r="C185" t="s">
        <v>425</v>
      </c>
      <c r="D185" t="s">
        <v>45</v>
      </c>
      <c r="E185" t="s">
        <v>46</v>
      </c>
      <c r="F185" t="s">
        <v>47</v>
      </c>
      <c r="G185" t="s">
        <v>105</v>
      </c>
      <c r="H185">
        <v>1</v>
      </c>
      <c r="I185">
        <v>43610</v>
      </c>
      <c r="J185">
        <v>10</v>
      </c>
      <c r="K185">
        <v>4361</v>
      </c>
      <c r="L185">
        <v>39249</v>
      </c>
      <c r="M185">
        <v>31622.69</v>
      </c>
      <c r="N185">
        <v>7626.31</v>
      </c>
      <c r="O185" t="s">
        <v>55</v>
      </c>
      <c r="P185">
        <v>2070.2399999999998</v>
      </c>
      <c r="Q185" t="s">
        <v>40</v>
      </c>
      <c r="R185" t="s">
        <v>41</v>
      </c>
      <c r="S185">
        <v>2</v>
      </c>
      <c r="T185">
        <v>4</v>
      </c>
      <c r="U185" t="s">
        <v>32</v>
      </c>
      <c r="V185" t="s">
        <v>42</v>
      </c>
    </row>
    <row r="186" spans="1:23" x14ac:dyDescent="0.25">
      <c r="A186" t="s">
        <v>426</v>
      </c>
      <c r="B186" s="1">
        <v>45715</v>
      </c>
      <c r="C186" t="s">
        <v>427</v>
      </c>
      <c r="D186" t="s">
        <v>45</v>
      </c>
      <c r="E186" t="s">
        <v>26</v>
      </c>
      <c r="F186" t="s">
        <v>86</v>
      </c>
      <c r="G186" t="s">
        <v>127</v>
      </c>
      <c r="H186">
        <v>2</v>
      </c>
      <c r="I186">
        <v>66387</v>
      </c>
      <c r="J186">
        <v>20</v>
      </c>
      <c r="K186">
        <v>26554.799999999999</v>
      </c>
      <c r="L186">
        <v>106219.2</v>
      </c>
      <c r="M186">
        <v>61755.040000000001</v>
      </c>
      <c r="N186">
        <v>44464.160000000003</v>
      </c>
      <c r="O186" t="s">
        <v>60</v>
      </c>
      <c r="P186">
        <v>2013.91</v>
      </c>
      <c r="Q186" t="s">
        <v>68</v>
      </c>
      <c r="R186" t="s">
        <v>41</v>
      </c>
      <c r="S186">
        <v>2</v>
      </c>
      <c r="T186">
        <v>1</v>
      </c>
      <c r="U186" t="s">
        <v>32</v>
      </c>
      <c r="V186" t="s">
        <v>33</v>
      </c>
      <c r="W186">
        <v>5</v>
      </c>
    </row>
    <row r="187" spans="1:23" x14ac:dyDescent="0.25">
      <c r="A187" t="s">
        <v>428</v>
      </c>
      <c r="B187" s="1">
        <v>45843</v>
      </c>
      <c r="C187" t="s">
        <v>429</v>
      </c>
      <c r="D187" t="s">
        <v>25</v>
      </c>
      <c r="E187" t="s">
        <v>26</v>
      </c>
      <c r="F187" t="s">
        <v>47</v>
      </c>
      <c r="G187" t="s">
        <v>48</v>
      </c>
      <c r="H187">
        <v>2</v>
      </c>
      <c r="I187">
        <v>23269</v>
      </c>
      <c r="J187">
        <v>10</v>
      </c>
      <c r="K187">
        <v>4653.8</v>
      </c>
      <c r="L187">
        <v>41884.199999999997</v>
      </c>
      <c r="M187">
        <v>23896.1</v>
      </c>
      <c r="N187">
        <v>17988.099999999999</v>
      </c>
      <c r="O187" t="s">
        <v>29</v>
      </c>
      <c r="P187">
        <v>1013.14</v>
      </c>
      <c r="Q187" t="s">
        <v>40</v>
      </c>
      <c r="R187" t="s">
        <v>41</v>
      </c>
      <c r="S187">
        <v>2</v>
      </c>
      <c r="T187">
        <v>3</v>
      </c>
      <c r="U187" t="s">
        <v>56</v>
      </c>
      <c r="V187" t="s">
        <v>33</v>
      </c>
      <c r="W187">
        <v>3</v>
      </c>
    </row>
    <row r="188" spans="1:23" x14ac:dyDescent="0.25">
      <c r="A188" t="s">
        <v>430</v>
      </c>
      <c r="B188" s="1">
        <v>45815</v>
      </c>
      <c r="C188" t="s">
        <v>303</v>
      </c>
      <c r="D188" t="s">
        <v>67</v>
      </c>
      <c r="E188" t="s">
        <v>46</v>
      </c>
      <c r="F188" t="s">
        <v>86</v>
      </c>
      <c r="G188" t="s">
        <v>87</v>
      </c>
      <c r="H188">
        <v>2</v>
      </c>
      <c r="I188">
        <v>36042</v>
      </c>
      <c r="J188">
        <v>10</v>
      </c>
      <c r="K188">
        <v>7208.4</v>
      </c>
      <c r="L188">
        <v>64875.6</v>
      </c>
      <c r="M188">
        <v>38414.06</v>
      </c>
      <c r="N188">
        <v>26461.54</v>
      </c>
      <c r="O188" t="s">
        <v>49</v>
      </c>
      <c r="P188">
        <v>354.12</v>
      </c>
      <c r="Q188" t="s">
        <v>30</v>
      </c>
      <c r="R188" t="s">
        <v>31</v>
      </c>
      <c r="S188">
        <v>5</v>
      </c>
      <c r="T188">
        <v>5</v>
      </c>
      <c r="U188" t="s">
        <v>32</v>
      </c>
      <c r="V188" t="s">
        <v>33</v>
      </c>
      <c r="W188">
        <v>1</v>
      </c>
    </row>
    <row r="189" spans="1:23" x14ac:dyDescent="0.25">
      <c r="A189" t="s">
        <v>431</v>
      </c>
      <c r="B189" s="1">
        <v>45780</v>
      </c>
      <c r="C189" t="s">
        <v>267</v>
      </c>
      <c r="D189" t="s">
        <v>90</v>
      </c>
      <c r="E189" t="s">
        <v>46</v>
      </c>
      <c r="F189" t="s">
        <v>37</v>
      </c>
      <c r="G189" t="s">
        <v>224</v>
      </c>
      <c r="H189">
        <v>1</v>
      </c>
      <c r="I189">
        <v>37497</v>
      </c>
      <c r="J189">
        <v>10</v>
      </c>
      <c r="K189">
        <v>3749.7</v>
      </c>
      <c r="L189">
        <v>33747.300000000003</v>
      </c>
      <c r="M189">
        <v>22186.400000000001</v>
      </c>
      <c r="N189">
        <v>11560.9</v>
      </c>
      <c r="O189" t="s">
        <v>60</v>
      </c>
      <c r="P189">
        <v>1409.19</v>
      </c>
      <c r="Q189" t="s">
        <v>30</v>
      </c>
      <c r="R189" t="s">
        <v>31</v>
      </c>
      <c r="S189">
        <v>5</v>
      </c>
      <c r="T189">
        <v>0</v>
      </c>
      <c r="U189" t="s">
        <v>32</v>
      </c>
      <c r="V189" t="s">
        <v>42</v>
      </c>
    </row>
    <row r="190" spans="1:23" x14ac:dyDescent="0.25">
      <c r="A190" t="s">
        <v>432</v>
      </c>
      <c r="B190" s="1">
        <v>45687</v>
      </c>
      <c r="C190" t="s">
        <v>102</v>
      </c>
      <c r="D190" t="s">
        <v>97</v>
      </c>
      <c r="E190" t="s">
        <v>46</v>
      </c>
      <c r="F190" t="s">
        <v>27</v>
      </c>
      <c r="G190" t="s">
        <v>28</v>
      </c>
      <c r="H190">
        <v>2</v>
      </c>
      <c r="I190">
        <v>26380</v>
      </c>
      <c r="J190">
        <v>20</v>
      </c>
      <c r="K190">
        <v>10552</v>
      </c>
      <c r="L190">
        <v>42208</v>
      </c>
      <c r="M190">
        <v>26811.61</v>
      </c>
      <c r="N190">
        <v>15396.39</v>
      </c>
      <c r="O190" t="s">
        <v>39</v>
      </c>
      <c r="P190">
        <v>684.73</v>
      </c>
      <c r="Q190" t="s">
        <v>40</v>
      </c>
      <c r="R190" t="s">
        <v>31</v>
      </c>
      <c r="S190">
        <v>5</v>
      </c>
      <c r="T190">
        <v>3</v>
      </c>
      <c r="U190" t="s">
        <v>32</v>
      </c>
      <c r="V190" t="s">
        <v>33</v>
      </c>
      <c r="W190">
        <v>5</v>
      </c>
    </row>
    <row r="191" spans="1:23" x14ac:dyDescent="0.25">
      <c r="A191" t="s">
        <v>433</v>
      </c>
      <c r="B191" s="1">
        <v>45781</v>
      </c>
      <c r="C191" t="s">
        <v>434</v>
      </c>
      <c r="D191" t="s">
        <v>45</v>
      </c>
      <c r="E191" t="s">
        <v>46</v>
      </c>
      <c r="F191" t="s">
        <v>53</v>
      </c>
      <c r="G191" t="s">
        <v>59</v>
      </c>
      <c r="H191">
        <v>1</v>
      </c>
      <c r="I191">
        <v>44311</v>
      </c>
      <c r="J191">
        <v>20</v>
      </c>
      <c r="K191">
        <v>8862.2000000000007</v>
      </c>
      <c r="L191">
        <v>35448.800000000003</v>
      </c>
      <c r="M191">
        <v>23554.47</v>
      </c>
      <c r="N191">
        <v>11894.33</v>
      </c>
      <c r="O191" t="s">
        <v>39</v>
      </c>
      <c r="P191">
        <v>2164.9499999999998</v>
      </c>
      <c r="Q191" t="s">
        <v>73</v>
      </c>
      <c r="R191" t="s">
        <v>41</v>
      </c>
      <c r="S191">
        <v>2</v>
      </c>
      <c r="T191">
        <v>1</v>
      </c>
      <c r="U191" t="s">
        <v>32</v>
      </c>
      <c r="V191" t="s">
        <v>33</v>
      </c>
      <c r="W191">
        <v>3</v>
      </c>
    </row>
    <row r="192" spans="1:23" x14ac:dyDescent="0.25">
      <c r="A192" t="s">
        <v>435</v>
      </c>
      <c r="B192" s="1">
        <v>45948</v>
      </c>
      <c r="C192" t="s">
        <v>310</v>
      </c>
      <c r="D192" t="s">
        <v>154</v>
      </c>
      <c r="E192" t="s">
        <v>26</v>
      </c>
      <c r="F192" t="s">
        <v>27</v>
      </c>
      <c r="G192" t="s">
        <v>76</v>
      </c>
      <c r="H192">
        <v>2</v>
      </c>
      <c r="I192">
        <v>21697</v>
      </c>
      <c r="J192">
        <v>15</v>
      </c>
      <c r="K192">
        <v>6509.1</v>
      </c>
      <c r="L192">
        <v>36884.9</v>
      </c>
      <c r="M192">
        <v>22239.27</v>
      </c>
      <c r="N192">
        <v>14645.63</v>
      </c>
      <c r="O192" t="s">
        <v>29</v>
      </c>
      <c r="P192">
        <v>222.41</v>
      </c>
      <c r="Q192" t="s">
        <v>30</v>
      </c>
      <c r="R192" t="s">
        <v>31</v>
      </c>
      <c r="S192">
        <v>5</v>
      </c>
      <c r="T192">
        <v>3</v>
      </c>
      <c r="U192" t="s">
        <v>32</v>
      </c>
      <c r="V192" t="s">
        <v>50</v>
      </c>
      <c r="W192">
        <v>5</v>
      </c>
    </row>
    <row r="193" spans="1:23" x14ac:dyDescent="0.25">
      <c r="A193" t="s">
        <v>436</v>
      </c>
      <c r="B193" s="1">
        <v>45698</v>
      </c>
      <c r="C193" t="s">
        <v>112</v>
      </c>
      <c r="D193" t="s">
        <v>97</v>
      </c>
      <c r="E193" t="s">
        <v>46</v>
      </c>
      <c r="F193" t="s">
        <v>27</v>
      </c>
      <c r="G193" t="s">
        <v>76</v>
      </c>
      <c r="H193">
        <v>1</v>
      </c>
      <c r="I193">
        <v>5063</v>
      </c>
      <c r="J193">
        <v>0</v>
      </c>
      <c r="K193">
        <v>0</v>
      </c>
      <c r="L193">
        <v>5063</v>
      </c>
      <c r="M193">
        <v>3728.63</v>
      </c>
      <c r="N193">
        <v>1334.37</v>
      </c>
      <c r="O193" t="s">
        <v>49</v>
      </c>
      <c r="P193">
        <v>164.43</v>
      </c>
      <c r="Q193" t="s">
        <v>83</v>
      </c>
      <c r="R193" t="s">
        <v>31</v>
      </c>
      <c r="S193">
        <v>5</v>
      </c>
      <c r="T193">
        <v>6</v>
      </c>
      <c r="U193" t="s">
        <v>56</v>
      </c>
      <c r="V193" t="s">
        <v>33</v>
      </c>
      <c r="W193">
        <v>5</v>
      </c>
    </row>
    <row r="194" spans="1:23" x14ac:dyDescent="0.25">
      <c r="A194" t="s">
        <v>437</v>
      </c>
      <c r="B194" s="1">
        <v>45701</v>
      </c>
      <c r="C194" t="s">
        <v>438</v>
      </c>
      <c r="D194" t="s">
        <v>25</v>
      </c>
      <c r="E194" t="s">
        <v>26</v>
      </c>
      <c r="F194" t="s">
        <v>27</v>
      </c>
      <c r="G194" t="s">
        <v>72</v>
      </c>
      <c r="H194">
        <v>3</v>
      </c>
      <c r="I194">
        <v>16992</v>
      </c>
      <c r="J194">
        <v>10</v>
      </c>
      <c r="K194">
        <v>5097.6000000000004</v>
      </c>
      <c r="L194">
        <v>45878.400000000001</v>
      </c>
      <c r="M194">
        <v>35977.360000000001</v>
      </c>
      <c r="N194">
        <v>9901.0400000000009</v>
      </c>
      <c r="O194" t="s">
        <v>39</v>
      </c>
      <c r="P194">
        <v>1524.56</v>
      </c>
      <c r="Q194" t="s">
        <v>40</v>
      </c>
      <c r="R194" t="s">
        <v>31</v>
      </c>
      <c r="S194">
        <v>5</v>
      </c>
      <c r="T194">
        <v>4</v>
      </c>
      <c r="U194" t="s">
        <v>32</v>
      </c>
      <c r="V194" t="s">
        <v>42</v>
      </c>
    </row>
    <row r="195" spans="1:23" x14ac:dyDescent="0.25">
      <c r="A195" t="s">
        <v>439</v>
      </c>
      <c r="B195" s="1">
        <v>45906</v>
      </c>
      <c r="C195" t="s">
        <v>440</v>
      </c>
      <c r="D195" t="s">
        <v>25</v>
      </c>
      <c r="E195" t="s">
        <v>26</v>
      </c>
      <c r="F195" t="s">
        <v>47</v>
      </c>
      <c r="G195" t="s">
        <v>48</v>
      </c>
      <c r="H195">
        <v>2</v>
      </c>
      <c r="I195">
        <v>12138</v>
      </c>
      <c r="J195">
        <v>20</v>
      </c>
      <c r="K195">
        <v>4855.2</v>
      </c>
      <c r="L195">
        <v>19420.8</v>
      </c>
      <c r="M195">
        <v>13993.9</v>
      </c>
      <c r="N195">
        <v>5426.9</v>
      </c>
      <c r="O195" t="s">
        <v>49</v>
      </c>
      <c r="P195">
        <v>413.47</v>
      </c>
      <c r="Q195" t="s">
        <v>73</v>
      </c>
      <c r="R195" t="s">
        <v>31</v>
      </c>
      <c r="S195">
        <v>5</v>
      </c>
      <c r="T195">
        <v>2</v>
      </c>
      <c r="U195" t="s">
        <v>32</v>
      </c>
      <c r="V195" t="s">
        <v>33</v>
      </c>
      <c r="W195">
        <v>5</v>
      </c>
    </row>
    <row r="196" spans="1:23" x14ac:dyDescent="0.25">
      <c r="A196" t="s">
        <v>441</v>
      </c>
      <c r="B196" s="1">
        <v>45693</v>
      </c>
      <c r="C196" t="s">
        <v>310</v>
      </c>
      <c r="D196" t="s">
        <v>71</v>
      </c>
      <c r="E196" t="s">
        <v>46</v>
      </c>
      <c r="F196" t="s">
        <v>27</v>
      </c>
      <c r="G196" t="s">
        <v>28</v>
      </c>
      <c r="H196">
        <v>1</v>
      </c>
      <c r="I196">
        <v>26779</v>
      </c>
      <c r="J196">
        <v>15</v>
      </c>
      <c r="K196">
        <v>4016.85</v>
      </c>
      <c r="L196">
        <v>22762.15</v>
      </c>
      <c r="M196">
        <v>14186.21</v>
      </c>
      <c r="N196">
        <v>8575.94</v>
      </c>
      <c r="O196" t="s">
        <v>55</v>
      </c>
      <c r="P196">
        <v>1549.92</v>
      </c>
      <c r="Q196" t="s">
        <v>30</v>
      </c>
      <c r="R196" t="s">
        <v>41</v>
      </c>
      <c r="S196">
        <v>2</v>
      </c>
      <c r="T196">
        <v>2</v>
      </c>
      <c r="U196" t="s">
        <v>32</v>
      </c>
      <c r="V196" t="s">
        <v>33</v>
      </c>
      <c r="W196">
        <v>5</v>
      </c>
    </row>
    <row r="197" spans="1:23" x14ac:dyDescent="0.25">
      <c r="A197" t="s">
        <v>442</v>
      </c>
      <c r="B197" s="1">
        <v>45930</v>
      </c>
      <c r="C197" t="s">
        <v>221</v>
      </c>
      <c r="D197" t="s">
        <v>90</v>
      </c>
      <c r="E197" t="s">
        <v>26</v>
      </c>
      <c r="F197" t="s">
        <v>27</v>
      </c>
      <c r="G197" t="s">
        <v>76</v>
      </c>
      <c r="H197">
        <v>2</v>
      </c>
      <c r="I197">
        <v>10400</v>
      </c>
      <c r="J197">
        <v>15</v>
      </c>
      <c r="K197">
        <v>3120</v>
      </c>
      <c r="L197">
        <v>17680</v>
      </c>
      <c r="M197">
        <v>10215.73</v>
      </c>
      <c r="N197">
        <v>7464.27</v>
      </c>
      <c r="O197" t="s">
        <v>91</v>
      </c>
      <c r="P197">
        <v>323.8</v>
      </c>
      <c r="Q197" t="s">
        <v>30</v>
      </c>
      <c r="R197" t="s">
        <v>41</v>
      </c>
      <c r="S197">
        <v>2</v>
      </c>
      <c r="T197">
        <v>2</v>
      </c>
      <c r="U197" t="s">
        <v>32</v>
      </c>
      <c r="V197" t="s">
        <v>33</v>
      </c>
      <c r="W197">
        <v>5</v>
      </c>
    </row>
    <row r="198" spans="1:23" x14ac:dyDescent="0.25">
      <c r="A198" t="s">
        <v>443</v>
      </c>
      <c r="B198" s="1">
        <v>45722</v>
      </c>
      <c r="C198" t="s">
        <v>85</v>
      </c>
      <c r="D198" t="s">
        <v>63</v>
      </c>
      <c r="E198" t="s">
        <v>46</v>
      </c>
      <c r="F198" t="s">
        <v>37</v>
      </c>
      <c r="G198" t="s">
        <v>224</v>
      </c>
      <c r="H198">
        <v>2</v>
      </c>
      <c r="I198">
        <v>22623</v>
      </c>
      <c r="J198">
        <v>20</v>
      </c>
      <c r="K198">
        <v>9049.2000000000007</v>
      </c>
      <c r="L198">
        <v>36196.800000000003</v>
      </c>
      <c r="M198">
        <v>26030.92</v>
      </c>
      <c r="N198">
        <v>10165.879999999999</v>
      </c>
      <c r="O198" t="s">
        <v>29</v>
      </c>
      <c r="P198">
        <v>280.86</v>
      </c>
      <c r="Q198" t="s">
        <v>73</v>
      </c>
      <c r="R198" t="s">
        <v>31</v>
      </c>
      <c r="S198">
        <v>5</v>
      </c>
      <c r="T198">
        <v>3</v>
      </c>
      <c r="U198" t="s">
        <v>32</v>
      </c>
      <c r="V198" t="s">
        <v>33</v>
      </c>
      <c r="W198">
        <v>1</v>
      </c>
    </row>
    <row r="199" spans="1:23" x14ac:dyDescent="0.25">
      <c r="A199" t="s">
        <v>444</v>
      </c>
      <c r="B199" s="1">
        <v>45723</v>
      </c>
      <c r="C199" t="s">
        <v>445</v>
      </c>
      <c r="D199" t="s">
        <v>97</v>
      </c>
      <c r="E199" t="s">
        <v>26</v>
      </c>
      <c r="F199" t="s">
        <v>86</v>
      </c>
      <c r="G199" t="s">
        <v>127</v>
      </c>
      <c r="H199">
        <v>1</v>
      </c>
      <c r="I199">
        <v>29204</v>
      </c>
      <c r="J199">
        <v>15</v>
      </c>
      <c r="K199">
        <v>4380.6000000000004</v>
      </c>
      <c r="L199">
        <v>24823.4</v>
      </c>
      <c r="M199">
        <v>17161.259999999998</v>
      </c>
      <c r="N199">
        <v>7662.14</v>
      </c>
      <c r="O199" t="s">
        <v>39</v>
      </c>
      <c r="P199">
        <v>1441.24</v>
      </c>
      <c r="Q199" t="s">
        <v>83</v>
      </c>
      <c r="R199" t="s">
        <v>41</v>
      </c>
      <c r="S199">
        <v>2</v>
      </c>
      <c r="T199">
        <v>2</v>
      </c>
      <c r="U199" t="s">
        <v>32</v>
      </c>
      <c r="V199" t="s">
        <v>50</v>
      </c>
      <c r="W199">
        <v>4</v>
      </c>
    </row>
    <row r="200" spans="1:23" x14ac:dyDescent="0.25">
      <c r="A200" t="s">
        <v>446</v>
      </c>
      <c r="B200" s="1">
        <v>45995</v>
      </c>
      <c r="C200" t="s">
        <v>447</v>
      </c>
      <c r="D200" t="s">
        <v>71</v>
      </c>
      <c r="E200" t="s">
        <v>46</v>
      </c>
      <c r="F200" t="s">
        <v>27</v>
      </c>
      <c r="G200" t="s">
        <v>72</v>
      </c>
      <c r="H200">
        <v>1</v>
      </c>
      <c r="I200">
        <v>12896</v>
      </c>
      <c r="J200">
        <v>25</v>
      </c>
      <c r="K200">
        <v>3224</v>
      </c>
      <c r="L200">
        <v>9672</v>
      </c>
      <c r="M200">
        <v>5341.32</v>
      </c>
      <c r="N200">
        <v>4330.68</v>
      </c>
      <c r="O200" t="s">
        <v>39</v>
      </c>
      <c r="P200">
        <v>221</v>
      </c>
      <c r="Q200" t="s">
        <v>30</v>
      </c>
      <c r="R200" t="s">
        <v>41</v>
      </c>
      <c r="S200">
        <v>2</v>
      </c>
      <c r="T200">
        <v>2</v>
      </c>
      <c r="U200" t="s">
        <v>32</v>
      </c>
      <c r="V200" t="s">
        <v>33</v>
      </c>
      <c r="W200">
        <v>3</v>
      </c>
    </row>
    <row r="201" spans="1:23" x14ac:dyDescent="0.25">
      <c r="A201" t="s">
        <v>448</v>
      </c>
      <c r="B201" s="1">
        <v>45901</v>
      </c>
      <c r="C201" t="s">
        <v>449</v>
      </c>
      <c r="D201" t="s">
        <v>90</v>
      </c>
      <c r="E201" t="s">
        <v>46</v>
      </c>
      <c r="F201" t="s">
        <v>86</v>
      </c>
      <c r="G201" t="s">
        <v>110</v>
      </c>
      <c r="H201">
        <v>1</v>
      </c>
      <c r="I201">
        <v>57740</v>
      </c>
      <c r="J201">
        <v>15</v>
      </c>
      <c r="K201">
        <v>8661</v>
      </c>
      <c r="L201">
        <v>49079</v>
      </c>
      <c r="M201">
        <v>37971.21</v>
      </c>
      <c r="N201">
        <v>11107.79</v>
      </c>
      <c r="O201" t="s">
        <v>29</v>
      </c>
      <c r="P201">
        <v>1171.1500000000001</v>
      </c>
      <c r="Q201" t="s">
        <v>68</v>
      </c>
      <c r="R201" t="s">
        <v>41</v>
      </c>
      <c r="S201">
        <v>2</v>
      </c>
      <c r="T201">
        <v>1</v>
      </c>
      <c r="U201" t="s">
        <v>32</v>
      </c>
      <c r="V201" t="s">
        <v>33</v>
      </c>
      <c r="W201">
        <v>1</v>
      </c>
    </row>
    <row r="202" spans="1:23" x14ac:dyDescent="0.25">
      <c r="A202" t="s">
        <v>450</v>
      </c>
      <c r="B202" s="1">
        <v>45939</v>
      </c>
      <c r="C202" t="s">
        <v>451</v>
      </c>
      <c r="D202" t="s">
        <v>63</v>
      </c>
      <c r="E202" t="s">
        <v>26</v>
      </c>
      <c r="F202" t="s">
        <v>37</v>
      </c>
      <c r="G202" t="s">
        <v>38</v>
      </c>
      <c r="H202">
        <v>2</v>
      </c>
      <c r="I202">
        <v>12953</v>
      </c>
      <c r="J202">
        <v>10</v>
      </c>
      <c r="K202">
        <v>2590.6</v>
      </c>
      <c r="L202">
        <v>23315.4</v>
      </c>
      <c r="M202">
        <v>13518.18</v>
      </c>
      <c r="N202">
        <v>9797.2199999999993</v>
      </c>
      <c r="O202" t="s">
        <v>49</v>
      </c>
      <c r="P202">
        <v>365.21</v>
      </c>
      <c r="Q202" t="s">
        <v>30</v>
      </c>
      <c r="R202" t="s">
        <v>41</v>
      </c>
      <c r="S202">
        <v>2</v>
      </c>
      <c r="T202">
        <v>2</v>
      </c>
      <c r="U202" t="s">
        <v>32</v>
      </c>
      <c r="V202" t="s">
        <v>33</v>
      </c>
      <c r="W202">
        <v>3</v>
      </c>
    </row>
    <row r="203" spans="1:23" x14ac:dyDescent="0.25">
      <c r="A203" t="s">
        <v>452</v>
      </c>
      <c r="B203" s="1">
        <v>45742</v>
      </c>
      <c r="C203" t="s">
        <v>453</v>
      </c>
      <c r="D203" t="s">
        <v>154</v>
      </c>
      <c r="E203" t="s">
        <v>36</v>
      </c>
      <c r="F203" t="s">
        <v>47</v>
      </c>
      <c r="G203" t="s">
        <v>48</v>
      </c>
      <c r="H203">
        <v>1</v>
      </c>
      <c r="I203">
        <v>25488</v>
      </c>
      <c r="J203">
        <v>0</v>
      </c>
      <c r="K203">
        <v>0</v>
      </c>
      <c r="L203">
        <v>25488</v>
      </c>
      <c r="M203">
        <v>15620.55</v>
      </c>
      <c r="N203">
        <v>9867.4500000000007</v>
      </c>
      <c r="P203">
        <v>699.53</v>
      </c>
      <c r="Q203" t="s">
        <v>30</v>
      </c>
      <c r="R203" t="s">
        <v>31</v>
      </c>
      <c r="S203">
        <v>5</v>
      </c>
      <c r="T203">
        <v>6</v>
      </c>
      <c r="U203" t="s">
        <v>56</v>
      </c>
      <c r="V203" t="s">
        <v>33</v>
      </c>
      <c r="W203">
        <v>4</v>
      </c>
    </row>
    <row r="204" spans="1:23" x14ac:dyDescent="0.25">
      <c r="A204" t="s">
        <v>454</v>
      </c>
      <c r="B204" s="1">
        <v>45793</v>
      </c>
      <c r="C204" t="s">
        <v>455</v>
      </c>
      <c r="D204" t="s">
        <v>67</v>
      </c>
      <c r="E204" t="s">
        <v>26</v>
      </c>
      <c r="F204" t="s">
        <v>86</v>
      </c>
      <c r="G204" t="s">
        <v>127</v>
      </c>
      <c r="H204">
        <v>1</v>
      </c>
      <c r="I204">
        <v>13345</v>
      </c>
      <c r="J204">
        <v>0</v>
      </c>
      <c r="K204">
        <v>0</v>
      </c>
      <c r="L204">
        <v>13345</v>
      </c>
      <c r="M204">
        <v>9296.9500000000007</v>
      </c>
      <c r="N204">
        <v>4048.05</v>
      </c>
      <c r="O204" t="s">
        <v>49</v>
      </c>
      <c r="P204">
        <v>162.54</v>
      </c>
      <c r="Q204" t="s">
        <v>30</v>
      </c>
      <c r="R204" t="s">
        <v>31</v>
      </c>
      <c r="S204">
        <v>5</v>
      </c>
      <c r="T204">
        <v>7</v>
      </c>
      <c r="U204" t="s">
        <v>56</v>
      </c>
      <c r="V204" t="s">
        <v>33</v>
      </c>
      <c r="W204">
        <v>5</v>
      </c>
    </row>
    <row r="205" spans="1:23" x14ac:dyDescent="0.25">
      <c r="A205" t="s">
        <v>456</v>
      </c>
      <c r="B205" s="1">
        <v>45928</v>
      </c>
      <c r="C205" t="s">
        <v>156</v>
      </c>
      <c r="D205" t="s">
        <v>71</v>
      </c>
      <c r="E205" t="s">
        <v>46</v>
      </c>
      <c r="F205" t="s">
        <v>53</v>
      </c>
      <c r="G205" t="s">
        <v>151</v>
      </c>
      <c r="H205">
        <v>4</v>
      </c>
      <c r="I205">
        <v>35106</v>
      </c>
      <c r="J205">
        <v>20</v>
      </c>
      <c r="K205">
        <v>28084.799999999999</v>
      </c>
      <c r="L205">
        <v>112339.2</v>
      </c>
      <c r="M205">
        <v>73589.279999999999</v>
      </c>
      <c r="N205">
        <v>38749.919999999998</v>
      </c>
      <c r="O205" t="s">
        <v>60</v>
      </c>
      <c r="P205">
        <v>1647.08</v>
      </c>
      <c r="Q205" t="s">
        <v>83</v>
      </c>
      <c r="R205" t="s">
        <v>41</v>
      </c>
      <c r="S205">
        <v>2</v>
      </c>
      <c r="T205">
        <v>4</v>
      </c>
      <c r="U205" t="s">
        <v>56</v>
      </c>
      <c r="V205" t="s">
        <v>33</v>
      </c>
      <c r="W205">
        <v>2</v>
      </c>
    </row>
    <row r="206" spans="1:23" x14ac:dyDescent="0.25">
      <c r="A206" t="s">
        <v>457</v>
      </c>
      <c r="B206" s="1">
        <v>45968</v>
      </c>
      <c r="C206" t="s">
        <v>458</v>
      </c>
      <c r="D206" t="s">
        <v>63</v>
      </c>
      <c r="E206" t="s">
        <v>26</v>
      </c>
      <c r="F206" t="s">
        <v>37</v>
      </c>
      <c r="G206" t="s">
        <v>38</v>
      </c>
      <c r="H206">
        <v>1</v>
      </c>
      <c r="I206">
        <v>19464</v>
      </c>
      <c r="J206">
        <v>15</v>
      </c>
      <c r="K206">
        <v>2919.6</v>
      </c>
      <c r="L206">
        <v>16544.400000000001</v>
      </c>
      <c r="M206">
        <v>10549.02</v>
      </c>
      <c r="N206">
        <v>5995.38</v>
      </c>
      <c r="O206" t="s">
        <v>60</v>
      </c>
      <c r="P206">
        <v>475.19</v>
      </c>
      <c r="Q206" t="s">
        <v>68</v>
      </c>
      <c r="R206" t="s">
        <v>41</v>
      </c>
      <c r="S206">
        <v>2</v>
      </c>
      <c r="T206">
        <v>1</v>
      </c>
      <c r="U206" t="s">
        <v>32</v>
      </c>
      <c r="V206" t="s">
        <v>33</v>
      </c>
      <c r="W206">
        <v>5</v>
      </c>
    </row>
    <row r="207" spans="1:23" x14ac:dyDescent="0.25">
      <c r="A207" t="s">
        <v>459</v>
      </c>
      <c r="B207" s="1">
        <v>45874</v>
      </c>
      <c r="C207" t="s">
        <v>460</v>
      </c>
      <c r="D207" t="s">
        <v>67</v>
      </c>
      <c r="E207" t="s">
        <v>26</v>
      </c>
      <c r="F207" t="s">
        <v>53</v>
      </c>
      <c r="G207" t="s">
        <v>151</v>
      </c>
      <c r="H207">
        <v>1</v>
      </c>
      <c r="I207">
        <v>20728</v>
      </c>
      <c r="J207">
        <v>10</v>
      </c>
      <c r="K207">
        <v>2072.8000000000002</v>
      </c>
      <c r="L207">
        <v>18655.2</v>
      </c>
      <c r="M207">
        <v>14948.96</v>
      </c>
      <c r="N207">
        <v>3706.24</v>
      </c>
      <c r="O207" t="s">
        <v>49</v>
      </c>
      <c r="P207">
        <v>340.06</v>
      </c>
      <c r="Q207" t="s">
        <v>40</v>
      </c>
      <c r="R207" t="s">
        <v>31</v>
      </c>
      <c r="S207">
        <v>5</v>
      </c>
      <c r="T207">
        <v>0</v>
      </c>
      <c r="U207" t="s">
        <v>32</v>
      </c>
      <c r="V207" t="s">
        <v>50</v>
      </c>
      <c r="W207">
        <v>3</v>
      </c>
    </row>
    <row r="208" spans="1:23" x14ac:dyDescent="0.25">
      <c r="A208" t="s">
        <v>461</v>
      </c>
      <c r="B208" s="1">
        <v>45766</v>
      </c>
      <c r="C208" t="s">
        <v>462</v>
      </c>
      <c r="D208" t="s">
        <v>124</v>
      </c>
      <c r="E208" t="s">
        <v>36</v>
      </c>
      <c r="F208" t="s">
        <v>53</v>
      </c>
      <c r="G208" t="s">
        <v>268</v>
      </c>
      <c r="H208">
        <v>2</v>
      </c>
      <c r="I208">
        <v>108181</v>
      </c>
      <c r="J208">
        <v>0</v>
      </c>
      <c r="K208">
        <v>0</v>
      </c>
      <c r="L208">
        <v>216362</v>
      </c>
      <c r="M208">
        <v>159263.53</v>
      </c>
      <c r="N208">
        <v>57098.47</v>
      </c>
      <c r="O208" t="s">
        <v>39</v>
      </c>
      <c r="P208">
        <v>2266.9299999999998</v>
      </c>
      <c r="Q208" t="s">
        <v>30</v>
      </c>
      <c r="R208" t="s">
        <v>31</v>
      </c>
      <c r="S208">
        <v>5</v>
      </c>
      <c r="T208">
        <v>6</v>
      </c>
      <c r="U208" t="s">
        <v>56</v>
      </c>
      <c r="V208" t="s">
        <v>33</v>
      </c>
      <c r="W208">
        <v>3</v>
      </c>
    </row>
    <row r="209" spans="1:23" x14ac:dyDescent="0.25">
      <c r="A209" t="s">
        <v>463</v>
      </c>
      <c r="B209" s="1">
        <v>45934</v>
      </c>
      <c r="C209" t="s">
        <v>305</v>
      </c>
      <c r="D209" t="s">
        <v>97</v>
      </c>
      <c r="E209" t="s">
        <v>26</v>
      </c>
      <c r="F209" t="s">
        <v>27</v>
      </c>
      <c r="G209" t="s">
        <v>28</v>
      </c>
      <c r="H209">
        <v>2</v>
      </c>
      <c r="I209">
        <v>27499</v>
      </c>
      <c r="J209">
        <v>10</v>
      </c>
      <c r="K209">
        <v>5499.8</v>
      </c>
      <c r="L209">
        <v>49498.2</v>
      </c>
      <c r="M209">
        <v>38819.89</v>
      </c>
      <c r="N209">
        <v>10678.31</v>
      </c>
      <c r="O209" t="s">
        <v>49</v>
      </c>
      <c r="P209">
        <v>289.01</v>
      </c>
      <c r="Q209" t="s">
        <v>30</v>
      </c>
      <c r="R209" t="s">
        <v>31</v>
      </c>
      <c r="S209">
        <v>5</v>
      </c>
      <c r="T209">
        <v>0</v>
      </c>
      <c r="U209" t="s">
        <v>32</v>
      </c>
      <c r="V209" t="s">
        <v>42</v>
      </c>
    </row>
    <row r="210" spans="1:23" x14ac:dyDescent="0.25">
      <c r="A210" t="s">
        <v>464</v>
      </c>
      <c r="B210" s="1">
        <v>46011</v>
      </c>
      <c r="C210" t="s">
        <v>267</v>
      </c>
      <c r="D210" t="s">
        <v>25</v>
      </c>
      <c r="E210" t="s">
        <v>46</v>
      </c>
      <c r="F210" t="s">
        <v>86</v>
      </c>
      <c r="G210" t="s">
        <v>94</v>
      </c>
      <c r="H210">
        <v>2</v>
      </c>
      <c r="I210">
        <v>8453</v>
      </c>
      <c r="J210">
        <v>5</v>
      </c>
      <c r="K210">
        <v>845.3</v>
      </c>
      <c r="L210">
        <v>16060.7</v>
      </c>
      <c r="M210">
        <v>10224.040000000001</v>
      </c>
      <c r="N210">
        <v>5836.66</v>
      </c>
      <c r="O210" t="s">
        <v>60</v>
      </c>
      <c r="P210">
        <v>1405.36</v>
      </c>
      <c r="Q210" t="s">
        <v>30</v>
      </c>
      <c r="R210" t="s">
        <v>41</v>
      </c>
      <c r="S210">
        <v>2</v>
      </c>
      <c r="T210">
        <v>3</v>
      </c>
      <c r="U210" t="s">
        <v>56</v>
      </c>
      <c r="V210" t="s">
        <v>33</v>
      </c>
      <c r="W210">
        <v>2</v>
      </c>
    </row>
    <row r="211" spans="1:23" x14ac:dyDescent="0.25">
      <c r="A211" t="s">
        <v>465</v>
      </c>
      <c r="B211" s="1">
        <v>45760</v>
      </c>
      <c r="C211" t="s">
        <v>466</v>
      </c>
      <c r="D211" t="s">
        <v>25</v>
      </c>
      <c r="E211" t="s">
        <v>26</v>
      </c>
      <c r="F211" t="s">
        <v>37</v>
      </c>
      <c r="G211" t="s">
        <v>161</v>
      </c>
      <c r="H211">
        <v>1</v>
      </c>
      <c r="I211">
        <v>12504</v>
      </c>
      <c r="J211">
        <v>0</v>
      </c>
      <c r="K211">
        <v>0</v>
      </c>
      <c r="L211">
        <v>12504</v>
      </c>
      <c r="M211">
        <v>9826.18</v>
      </c>
      <c r="N211">
        <v>2677.82</v>
      </c>
      <c r="O211" t="s">
        <v>60</v>
      </c>
      <c r="P211">
        <v>640.72</v>
      </c>
      <c r="Q211" t="s">
        <v>83</v>
      </c>
      <c r="R211" t="s">
        <v>31</v>
      </c>
      <c r="S211">
        <v>5</v>
      </c>
      <c r="T211">
        <v>12</v>
      </c>
      <c r="U211" t="s">
        <v>56</v>
      </c>
      <c r="V211" t="s">
        <v>33</v>
      </c>
      <c r="W211">
        <v>4</v>
      </c>
    </row>
    <row r="212" spans="1:23" x14ac:dyDescent="0.25">
      <c r="A212" t="s">
        <v>467</v>
      </c>
      <c r="B212" s="1">
        <v>45817</v>
      </c>
      <c r="C212" t="s">
        <v>468</v>
      </c>
      <c r="D212" t="s">
        <v>97</v>
      </c>
      <c r="E212" t="s">
        <v>26</v>
      </c>
      <c r="F212" t="s">
        <v>37</v>
      </c>
      <c r="G212" t="s">
        <v>100</v>
      </c>
      <c r="H212">
        <v>1</v>
      </c>
      <c r="I212">
        <v>17679</v>
      </c>
      <c r="J212">
        <v>20</v>
      </c>
      <c r="K212">
        <v>3535.8</v>
      </c>
      <c r="L212">
        <v>14143.2</v>
      </c>
      <c r="M212">
        <v>11324.02</v>
      </c>
      <c r="N212">
        <v>2819.18</v>
      </c>
      <c r="O212" t="s">
        <v>29</v>
      </c>
      <c r="P212">
        <v>1669.51</v>
      </c>
      <c r="Q212" t="s">
        <v>73</v>
      </c>
      <c r="R212" t="s">
        <v>41</v>
      </c>
      <c r="S212">
        <v>2</v>
      </c>
      <c r="T212">
        <v>3</v>
      </c>
      <c r="U212" t="s">
        <v>56</v>
      </c>
      <c r="V212" t="s">
        <v>33</v>
      </c>
      <c r="W212">
        <v>5</v>
      </c>
    </row>
    <row r="213" spans="1:23" x14ac:dyDescent="0.25">
      <c r="A213" t="s">
        <v>469</v>
      </c>
      <c r="B213" s="1">
        <v>45862</v>
      </c>
      <c r="C213" t="s">
        <v>470</v>
      </c>
      <c r="D213" t="s">
        <v>90</v>
      </c>
      <c r="E213" t="s">
        <v>46</v>
      </c>
      <c r="F213" t="s">
        <v>37</v>
      </c>
      <c r="G213" t="s">
        <v>100</v>
      </c>
      <c r="H213">
        <v>1</v>
      </c>
      <c r="I213">
        <v>38044</v>
      </c>
      <c r="J213">
        <v>0</v>
      </c>
      <c r="K213">
        <v>0</v>
      </c>
      <c r="L213">
        <v>38044</v>
      </c>
      <c r="M213">
        <v>21963.97</v>
      </c>
      <c r="N213">
        <v>16080.03</v>
      </c>
      <c r="O213" t="s">
        <v>29</v>
      </c>
      <c r="P213">
        <v>644.16999999999996</v>
      </c>
      <c r="Q213" t="s">
        <v>68</v>
      </c>
      <c r="R213" t="s">
        <v>41</v>
      </c>
      <c r="S213">
        <v>2</v>
      </c>
      <c r="T213">
        <v>4</v>
      </c>
      <c r="U213" t="s">
        <v>56</v>
      </c>
      <c r="V213" t="s">
        <v>33</v>
      </c>
      <c r="W213">
        <v>2</v>
      </c>
    </row>
    <row r="214" spans="1:23" x14ac:dyDescent="0.25">
      <c r="A214" t="s">
        <v>471</v>
      </c>
      <c r="B214" s="1">
        <v>46001</v>
      </c>
      <c r="C214" t="s">
        <v>472</v>
      </c>
      <c r="D214" t="s">
        <v>97</v>
      </c>
      <c r="E214" t="s">
        <v>26</v>
      </c>
      <c r="F214" t="s">
        <v>37</v>
      </c>
      <c r="G214" t="s">
        <v>161</v>
      </c>
      <c r="H214">
        <v>2</v>
      </c>
      <c r="I214">
        <v>31988</v>
      </c>
      <c r="J214">
        <v>0</v>
      </c>
      <c r="K214">
        <v>0</v>
      </c>
      <c r="L214">
        <v>63976</v>
      </c>
      <c r="M214">
        <v>38068.18</v>
      </c>
      <c r="N214">
        <v>25907.82</v>
      </c>
      <c r="O214" t="s">
        <v>60</v>
      </c>
      <c r="P214">
        <v>976.28</v>
      </c>
      <c r="Q214" t="s">
        <v>68</v>
      </c>
      <c r="R214" t="s">
        <v>41</v>
      </c>
      <c r="S214">
        <v>2</v>
      </c>
      <c r="T214">
        <v>3</v>
      </c>
      <c r="U214" t="s">
        <v>56</v>
      </c>
      <c r="V214" t="s">
        <v>33</v>
      </c>
      <c r="W214">
        <v>5</v>
      </c>
    </row>
    <row r="215" spans="1:23" x14ac:dyDescent="0.25">
      <c r="A215" t="s">
        <v>473</v>
      </c>
      <c r="B215" s="1">
        <v>45990</v>
      </c>
      <c r="C215" t="s">
        <v>474</v>
      </c>
      <c r="D215" t="s">
        <v>25</v>
      </c>
      <c r="E215" t="s">
        <v>26</v>
      </c>
      <c r="F215" t="s">
        <v>37</v>
      </c>
      <c r="G215" t="s">
        <v>38</v>
      </c>
      <c r="H215">
        <v>4</v>
      </c>
      <c r="I215">
        <v>32219</v>
      </c>
      <c r="J215">
        <v>10</v>
      </c>
      <c r="K215">
        <v>12887.6</v>
      </c>
      <c r="L215">
        <v>115988.4</v>
      </c>
      <c r="M215">
        <v>82847.22</v>
      </c>
      <c r="N215">
        <v>33141.18</v>
      </c>
      <c r="O215" t="s">
        <v>39</v>
      </c>
      <c r="P215">
        <v>1961.13</v>
      </c>
      <c r="Q215" t="s">
        <v>73</v>
      </c>
      <c r="R215" t="s">
        <v>31</v>
      </c>
      <c r="S215">
        <v>5</v>
      </c>
      <c r="T215">
        <v>3</v>
      </c>
      <c r="U215" t="s">
        <v>32</v>
      </c>
      <c r="V215" t="s">
        <v>42</v>
      </c>
    </row>
    <row r="216" spans="1:23" x14ac:dyDescent="0.25">
      <c r="A216" t="s">
        <v>475</v>
      </c>
      <c r="B216" s="1">
        <v>45849</v>
      </c>
      <c r="C216" t="s">
        <v>476</v>
      </c>
      <c r="D216" t="s">
        <v>71</v>
      </c>
      <c r="E216" t="s">
        <v>26</v>
      </c>
      <c r="F216" t="s">
        <v>86</v>
      </c>
      <c r="G216" t="s">
        <v>127</v>
      </c>
      <c r="H216">
        <v>4</v>
      </c>
      <c r="I216">
        <v>73844</v>
      </c>
      <c r="J216">
        <v>0</v>
      </c>
      <c r="K216">
        <v>0</v>
      </c>
      <c r="L216">
        <v>295376</v>
      </c>
      <c r="M216">
        <v>186408.89</v>
      </c>
      <c r="N216">
        <v>108967.11</v>
      </c>
      <c r="O216" t="s">
        <v>55</v>
      </c>
      <c r="P216">
        <v>924.28</v>
      </c>
      <c r="Q216" t="s">
        <v>73</v>
      </c>
      <c r="R216" t="s">
        <v>31</v>
      </c>
      <c r="S216">
        <v>5</v>
      </c>
      <c r="T216">
        <v>4</v>
      </c>
      <c r="U216" t="s">
        <v>32</v>
      </c>
      <c r="V216" t="s">
        <v>33</v>
      </c>
      <c r="W216">
        <v>5</v>
      </c>
    </row>
    <row r="217" spans="1:23" x14ac:dyDescent="0.25">
      <c r="A217" t="s">
        <v>477</v>
      </c>
      <c r="B217" s="1">
        <v>45882</v>
      </c>
      <c r="C217" t="s">
        <v>478</v>
      </c>
      <c r="D217" t="s">
        <v>45</v>
      </c>
      <c r="E217" t="s">
        <v>46</v>
      </c>
      <c r="F217" t="s">
        <v>37</v>
      </c>
      <c r="G217" t="s">
        <v>38</v>
      </c>
      <c r="H217">
        <v>1</v>
      </c>
      <c r="I217">
        <v>28057</v>
      </c>
      <c r="J217">
        <v>5</v>
      </c>
      <c r="K217">
        <v>1402.85</v>
      </c>
      <c r="L217">
        <v>26654.15</v>
      </c>
      <c r="M217">
        <v>16336.55</v>
      </c>
      <c r="N217">
        <v>10317.6</v>
      </c>
      <c r="O217" t="s">
        <v>29</v>
      </c>
      <c r="P217">
        <v>1119.54</v>
      </c>
      <c r="Q217" t="s">
        <v>68</v>
      </c>
      <c r="R217" t="s">
        <v>31</v>
      </c>
      <c r="S217">
        <v>5</v>
      </c>
      <c r="T217">
        <v>6</v>
      </c>
      <c r="U217" t="s">
        <v>56</v>
      </c>
      <c r="V217" t="s">
        <v>33</v>
      </c>
      <c r="W217">
        <v>5</v>
      </c>
    </row>
    <row r="218" spans="1:23" x14ac:dyDescent="0.25">
      <c r="A218" t="s">
        <v>479</v>
      </c>
      <c r="B218" s="1">
        <v>45922</v>
      </c>
      <c r="C218" t="s">
        <v>480</v>
      </c>
      <c r="D218" t="s">
        <v>154</v>
      </c>
      <c r="E218" t="s">
        <v>36</v>
      </c>
      <c r="F218" t="s">
        <v>53</v>
      </c>
      <c r="G218" t="s">
        <v>59</v>
      </c>
      <c r="H218">
        <v>2</v>
      </c>
      <c r="I218">
        <v>84527</v>
      </c>
      <c r="J218">
        <v>0</v>
      </c>
      <c r="K218">
        <v>0</v>
      </c>
      <c r="L218">
        <v>169054</v>
      </c>
      <c r="M218">
        <v>126336.27</v>
      </c>
      <c r="N218">
        <v>42717.73</v>
      </c>
      <c r="O218" t="s">
        <v>60</v>
      </c>
      <c r="P218">
        <v>1994.28</v>
      </c>
      <c r="Q218" t="s">
        <v>73</v>
      </c>
      <c r="R218" t="s">
        <v>41</v>
      </c>
      <c r="S218">
        <v>2</v>
      </c>
      <c r="T218">
        <v>0</v>
      </c>
      <c r="U218" t="s">
        <v>32</v>
      </c>
      <c r="V218" t="s">
        <v>42</v>
      </c>
    </row>
    <row r="219" spans="1:23" x14ac:dyDescent="0.25">
      <c r="A219" t="s">
        <v>481</v>
      </c>
      <c r="B219" s="1">
        <v>45889</v>
      </c>
      <c r="C219" t="s">
        <v>482</v>
      </c>
      <c r="D219" t="s">
        <v>79</v>
      </c>
      <c r="E219" t="s">
        <v>26</v>
      </c>
      <c r="F219" t="s">
        <v>86</v>
      </c>
      <c r="G219" t="s">
        <v>127</v>
      </c>
      <c r="H219">
        <v>2</v>
      </c>
      <c r="I219">
        <v>56133</v>
      </c>
      <c r="J219">
        <v>25</v>
      </c>
      <c r="K219">
        <v>28066.5</v>
      </c>
      <c r="L219">
        <v>84199.5</v>
      </c>
      <c r="M219">
        <v>47245.96</v>
      </c>
      <c r="N219">
        <v>36953.54</v>
      </c>
      <c r="O219" t="s">
        <v>91</v>
      </c>
      <c r="P219">
        <v>1355.52</v>
      </c>
      <c r="Q219" t="s">
        <v>68</v>
      </c>
      <c r="R219" t="s">
        <v>31</v>
      </c>
      <c r="S219">
        <v>5</v>
      </c>
      <c r="T219">
        <v>2</v>
      </c>
      <c r="U219" t="s">
        <v>32</v>
      </c>
      <c r="V219" t="s">
        <v>42</v>
      </c>
    </row>
    <row r="220" spans="1:23" x14ac:dyDescent="0.25">
      <c r="A220" t="s">
        <v>483</v>
      </c>
      <c r="B220" s="1">
        <v>45719</v>
      </c>
      <c r="C220" t="s">
        <v>484</v>
      </c>
      <c r="D220" t="s">
        <v>67</v>
      </c>
      <c r="E220" t="s">
        <v>26</v>
      </c>
      <c r="F220" t="s">
        <v>47</v>
      </c>
      <c r="G220" t="s">
        <v>138</v>
      </c>
      <c r="H220">
        <v>1</v>
      </c>
      <c r="I220">
        <v>25991</v>
      </c>
      <c r="J220">
        <v>10</v>
      </c>
      <c r="K220">
        <v>2599.1</v>
      </c>
      <c r="L220">
        <v>23391.9</v>
      </c>
      <c r="M220">
        <v>13386.88</v>
      </c>
      <c r="N220">
        <v>10005.02</v>
      </c>
      <c r="O220" t="s">
        <v>29</v>
      </c>
      <c r="P220">
        <v>1118.1400000000001</v>
      </c>
      <c r="Q220" t="s">
        <v>83</v>
      </c>
      <c r="R220" t="s">
        <v>31</v>
      </c>
      <c r="S220">
        <v>5</v>
      </c>
      <c r="T220">
        <v>4</v>
      </c>
      <c r="U220" t="s">
        <v>32</v>
      </c>
      <c r="V220" t="s">
        <v>42</v>
      </c>
    </row>
    <row r="221" spans="1:23" x14ac:dyDescent="0.25">
      <c r="A221" t="s">
        <v>485</v>
      </c>
      <c r="B221" s="1">
        <v>45784</v>
      </c>
      <c r="C221" t="s">
        <v>193</v>
      </c>
      <c r="D221" t="s">
        <v>154</v>
      </c>
      <c r="E221" t="s">
        <v>26</v>
      </c>
      <c r="F221" t="s">
        <v>27</v>
      </c>
      <c r="G221" t="s">
        <v>28</v>
      </c>
      <c r="H221">
        <v>1</v>
      </c>
      <c r="I221">
        <v>9925</v>
      </c>
      <c r="J221">
        <v>5</v>
      </c>
      <c r="K221">
        <v>496.25</v>
      </c>
      <c r="L221">
        <v>9428.75</v>
      </c>
      <c r="M221">
        <v>5802.69</v>
      </c>
      <c r="N221">
        <v>3626.06</v>
      </c>
      <c r="O221" t="s">
        <v>91</v>
      </c>
      <c r="P221">
        <v>1774.9</v>
      </c>
      <c r="Q221" t="s">
        <v>40</v>
      </c>
      <c r="R221" t="s">
        <v>41</v>
      </c>
      <c r="S221">
        <v>2</v>
      </c>
      <c r="T221">
        <v>2</v>
      </c>
      <c r="U221" t="s">
        <v>32</v>
      </c>
      <c r="V221" t="s">
        <v>33</v>
      </c>
      <c r="W221">
        <v>3</v>
      </c>
    </row>
    <row r="222" spans="1:23" x14ac:dyDescent="0.25">
      <c r="A222" t="s">
        <v>486</v>
      </c>
      <c r="B222" s="1">
        <v>45773</v>
      </c>
      <c r="C222" t="s">
        <v>487</v>
      </c>
      <c r="D222" t="s">
        <v>71</v>
      </c>
      <c r="E222" t="s">
        <v>46</v>
      </c>
      <c r="F222" t="s">
        <v>53</v>
      </c>
      <c r="G222" t="s">
        <v>151</v>
      </c>
      <c r="H222">
        <v>1</v>
      </c>
      <c r="I222">
        <v>86840</v>
      </c>
      <c r="J222">
        <v>0</v>
      </c>
      <c r="K222">
        <v>0</v>
      </c>
      <c r="L222">
        <v>86840</v>
      </c>
      <c r="M222">
        <v>70919.28</v>
      </c>
      <c r="N222">
        <v>15920.72</v>
      </c>
      <c r="O222" t="s">
        <v>39</v>
      </c>
      <c r="P222">
        <v>535.38</v>
      </c>
      <c r="Q222" t="s">
        <v>83</v>
      </c>
      <c r="R222" t="s">
        <v>41</v>
      </c>
      <c r="S222">
        <v>2</v>
      </c>
      <c r="T222">
        <v>4</v>
      </c>
      <c r="U222" t="s">
        <v>32</v>
      </c>
      <c r="V222" t="s">
        <v>42</v>
      </c>
    </row>
    <row r="223" spans="1:23" x14ac:dyDescent="0.25">
      <c r="A223" t="s">
        <v>488</v>
      </c>
      <c r="B223" s="1">
        <v>45690</v>
      </c>
      <c r="C223" t="s">
        <v>188</v>
      </c>
      <c r="D223" t="s">
        <v>154</v>
      </c>
      <c r="E223" t="s">
        <v>36</v>
      </c>
      <c r="F223" t="s">
        <v>47</v>
      </c>
      <c r="G223" t="s">
        <v>146</v>
      </c>
      <c r="H223">
        <v>1</v>
      </c>
      <c r="I223">
        <v>22928</v>
      </c>
      <c r="J223">
        <v>10</v>
      </c>
      <c r="K223">
        <v>2292.8000000000002</v>
      </c>
      <c r="L223">
        <v>20635.2</v>
      </c>
      <c r="M223">
        <v>15214.84</v>
      </c>
      <c r="N223">
        <v>5420.36</v>
      </c>
      <c r="O223" t="s">
        <v>49</v>
      </c>
      <c r="P223">
        <v>262.04000000000002</v>
      </c>
      <c r="Q223" t="s">
        <v>73</v>
      </c>
      <c r="R223" t="s">
        <v>41</v>
      </c>
      <c r="S223">
        <v>2</v>
      </c>
      <c r="T223">
        <v>1</v>
      </c>
      <c r="U223" t="s">
        <v>32</v>
      </c>
      <c r="V223" t="s">
        <v>33</v>
      </c>
      <c r="W223">
        <v>4</v>
      </c>
    </row>
    <row r="224" spans="1:23" x14ac:dyDescent="0.25">
      <c r="A224" t="s">
        <v>489</v>
      </c>
      <c r="B224" s="1">
        <v>45831</v>
      </c>
      <c r="C224" t="s">
        <v>490</v>
      </c>
      <c r="D224" t="s">
        <v>124</v>
      </c>
      <c r="E224" t="s">
        <v>26</v>
      </c>
      <c r="F224" t="s">
        <v>47</v>
      </c>
      <c r="G224" t="s">
        <v>64</v>
      </c>
      <c r="H224">
        <v>1</v>
      </c>
      <c r="I224">
        <v>47831</v>
      </c>
      <c r="J224">
        <v>15</v>
      </c>
      <c r="K224">
        <v>7174.65</v>
      </c>
      <c r="L224">
        <v>40656.35</v>
      </c>
      <c r="M224">
        <v>28760.76</v>
      </c>
      <c r="N224">
        <v>11895.59</v>
      </c>
      <c r="O224" t="s">
        <v>29</v>
      </c>
      <c r="P224">
        <v>338.25</v>
      </c>
      <c r="Q224" t="s">
        <v>68</v>
      </c>
      <c r="R224" t="s">
        <v>31</v>
      </c>
      <c r="S224">
        <v>5</v>
      </c>
      <c r="T224">
        <v>2</v>
      </c>
      <c r="U224" t="s">
        <v>32</v>
      </c>
      <c r="V224" t="s">
        <v>50</v>
      </c>
      <c r="W224">
        <v>2</v>
      </c>
    </row>
    <row r="225" spans="1:23" x14ac:dyDescent="0.25">
      <c r="A225" t="s">
        <v>491</v>
      </c>
      <c r="B225" s="1">
        <v>45668</v>
      </c>
      <c r="C225" t="s">
        <v>492</v>
      </c>
      <c r="D225" t="s">
        <v>67</v>
      </c>
      <c r="E225" t="s">
        <v>36</v>
      </c>
      <c r="F225" t="s">
        <v>37</v>
      </c>
      <c r="G225" t="s">
        <v>313</v>
      </c>
      <c r="H225">
        <v>1</v>
      </c>
      <c r="I225">
        <v>5250</v>
      </c>
      <c r="J225">
        <v>10</v>
      </c>
      <c r="K225">
        <v>525</v>
      </c>
      <c r="L225">
        <v>4725</v>
      </c>
      <c r="M225">
        <v>3705.35</v>
      </c>
      <c r="N225">
        <v>1019.65</v>
      </c>
      <c r="O225" t="s">
        <v>49</v>
      </c>
      <c r="P225">
        <v>278.83999999999997</v>
      </c>
      <c r="Q225" t="s">
        <v>83</v>
      </c>
      <c r="R225" t="s">
        <v>41</v>
      </c>
      <c r="S225">
        <v>2</v>
      </c>
      <c r="T225">
        <v>1</v>
      </c>
      <c r="U225" t="s">
        <v>32</v>
      </c>
      <c r="V225" t="s">
        <v>50</v>
      </c>
      <c r="W225">
        <v>4</v>
      </c>
    </row>
    <row r="226" spans="1:23" x14ac:dyDescent="0.25">
      <c r="A226" t="s">
        <v>493</v>
      </c>
      <c r="B226" s="1">
        <v>45959</v>
      </c>
      <c r="C226" t="s">
        <v>494</v>
      </c>
      <c r="D226" t="s">
        <v>79</v>
      </c>
      <c r="E226" t="s">
        <v>46</v>
      </c>
      <c r="F226" t="s">
        <v>86</v>
      </c>
      <c r="G226" t="s">
        <v>127</v>
      </c>
      <c r="H226">
        <v>3</v>
      </c>
      <c r="I226">
        <v>8816</v>
      </c>
      <c r="J226">
        <v>25</v>
      </c>
      <c r="K226">
        <v>6612</v>
      </c>
      <c r="L226">
        <v>19836</v>
      </c>
      <c r="M226">
        <v>12542.91</v>
      </c>
      <c r="N226">
        <v>7293.09</v>
      </c>
      <c r="O226" t="s">
        <v>91</v>
      </c>
      <c r="P226">
        <v>561.11</v>
      </c>
      <c r="Q226" t="s">
        <v>73</v>
      </c>
      <c r="R226" t="s">
        <v>41</v>
      </c>
      <c r="S226">
        <v>2</v>
      </c>
      <c r="T226">
        <v>1</v>
      </c>
      <c r="U226" t="s">
        <v>32</v>
      </c>
      <c r="V226" t="s">
        <v>33</v>
      </c>
      <c r="W226">
        <v>5</v>
      </c>
    </row>
    <row r="227" spans="1:23" x14ac:dyDescent="0.25">
      <c r="A227" t="s">
        <v>495</v>
      </c>
      <c r="B227" s="1">
        <v>45941</v>
      </c>
      <c r="C227" t="s">
        <v>496</v>
      </c>
      <c r="D227" t="s">
        <v>124</v>
      </c>
      <c r="E227" t="s">
        <v>46</v>
      </c>
      <c r="F227" t="s">
        <v>86</v>
      </c>
      <c r="G227" t="s">
        <v>94</v>
      </c>
      <c r="H227">
        <v>1</v>
      </c>
      <c r="I227">
        <v>9862</v>
      </c>
      <c r="J227">
        <v>5</v>
      </c>
      <c r="K227">
        <v>493.1</v>
      </c>
      <c r="L227">
        <v>9368.9</v>
      </c>
      <c r="M227">
        <v>5536.66</v>
      </c>
      <c r="N227">
        <v>3832.24</v>
      </c>
      <c r="O227" t="s">
        <v>29</v>
      </c>
      <c r="P227">
        <v>1878.75</v>
      </c>
      <c r="Q227" t="s">
        <v>40</v>
      </c>
      <c r="R227" t="s">
        <v>31</v>
      </c>
      <c r="S227">
        <v>5</v>
      </c>
      <c r="T227">
        <v>7</v>
      </c>
      <c r="U227" t="s">
        <v>56</v>
      </c>
      <c r="V227" t="s">
        <v>33</v>
      </c>
      <c r="W227">
        <v>1</v>
      </c>
    </row>
    <row r="228" spans="1:23" x14ac:dyDescent="0.25">
      <c r="A228" t="s">
        <v>497</v>
      </c>
      <c r="B228" s="1">
        <v>45775</v>
      </c>
      <c r="C228" t="s">
        <v>498</v>
      </c>
      <c r="D228" t="s">
        <v>124</v>
      </c>
      <c r="E228" t="s">
        <v>46</v>
      </c>
      <c r="F228" t="s">
        <v>37</v>
      </c>
      <c r="G228" t="s">
        <v>161</v>
      </c>
      <c r="H228">
        <v>4</v>
      </c>
      <c r="I228">
        <v>12635</v>
      </c>
      <c r="J228">
        <v>5</v>
      </c>
      <c r="K228">
        <v>2527</v>
      </c>
      <c r="L228">
        <v>48013</v>
      </c>
      <c r="M228">
        <v>34865.49</v>
      </c>
      <c r="N228">
        <v>13147.51</v>
      </c>
      <c r="O228" t="s">
        <v>29</v>
      </c>
      <c r="P228">
        <v>517.65</v>
      </c>
      <c r="Q228" t="s">
        <v>40</v>
      </c>
      <c r="R228" t="s">
        <v>31</v>
      </c>
      <c r="S228">
        <v>5</v>
      </c>
      <c r="T228">
        <v>6</v>
      </c>
      <c r="U228" t="s">
        <v>32</v>
      </c>
      <c r="V228" t="s">
        <v>42</v>
      </c>
    </row>
    <row r="229" spans="1:23" x14ac:dyDescent="0.25">
      <c r="A229" t="s">
        <v>499</v>
      </c>
      <c r="B229" s="1">
        <v>45959</v>
      </c>
      <c r="C229" t="s">
        <v>500</v>
      </c>
      <c r="E229" t="s">
        <v>46</v>
      </c>
      <c r="F229" t="s">
        <v>47</v>
      </c>
      <c r="G229" t="s">
        <v>105</v>
      </c>
      <c r="H229">
        <v>2</v>
      </c>
      <c r="I229">
        <v>14758</v>
      </c>
      <c r="J229">
        <v>0</v>
      </c>
      <c r="K229">
        <v>0</v>
      </c>
      <c r="L229">
        <v>29516</v>
      </c>
      <c r="M229">
        <v>22333.8</v>
      </c>
      <c r="N229">
        <v>7182.2</v>
      </c>
      <c r="O229" t="s">
        <v>91</v>
      </c>
      <c r="P229">
        <v>1218.9100000000001</v>
      </c>
      <c r="Q229" t="s">
        <v>73</v>
      </c>
      <c r="R229" t="s">
        <v>41</v>
      </c>
      <c r="S229">
        <v>2</v>
      </c>
      <c r="T229">
        <v>1</v>
      </c>
      <c r="U229" t="s">
        <v>32</v>
      </c>
      <c r="V229" t="s">
        <v>33</v>
      </c>
      <c r="W229">
        <v>3</v>
      </c>
    </row>
    <row r="230" spans="1:23" x14ac:dyDescent="0.25">
      <c r="A230" t="s">
        <v>501</v>
      </c>
      <c r="B230" s="1">
        <v>45770</v>
      </c>
      <c r="C230" t="s">
        <v>364</v>
      </c>
      <c r="D230" t="s">
        <v>154</v>
      </c>
      <c r="E230" t="s">
        <v>46</v>
      </c>
      <c r="F230" t="s">
        <v>47</v>
      </c>
      <c r="G230" t="s">
        <v>146</v>
      </c>
      <c r="H230">
        <v>4</v>
      </c>
      <c r="I230">
        <v>24489</v>
      </c>
      <c r="J230">
        <v>5</v>
      </c>
      <c r="K230">
        <v>4897.8</v>
      </c>
      <c r="L230">
        <v>93058.2</v>
      </c>
      <c r="M230">
        <v>56983.85</v>
      </c>
      <c r="N230">
        <v>36074.35</v>
      </c>
      <c r="O230" t="s">
        <v>91</v>
      </c>
      <c r="P230">
        <v>1782.72</v>
      </c>
      <c r="Q230" t="s">
        <v>30</v>
      </c>
      <c r="R230" t="s">
        <v>41</v>
      </c>
      <c r="S230">
        <v>2</v>
      </c>
      <c r="T230">
        <v>1</v>
      </c>
      <c r="U230" t="s">
        <v>32</v>
      </c>
      <c r="V230" t="s">
        <v>33</v>
      </c>
      <c r="W230">
        <v>1</v>
      </c>
    </row>
    <row r="231" spans="1:23" x14ac:dyDescent="0.25">
      <c r="A231" t="s">
        <v>502</v>
      </c>
      <c r="B231" s="1">
        <v>45661</v>
      </c>
      <c r="C231" t="s">
        <v>75</v>
      </c>
      <c r="D231" t="s">
        <v>25</v>
      </c>
      <c r="E231" t="s">
        <v>36</v>
      </c>
      <c r="F231" t="s">
        <v>47</v>
      </c>
      <c r="G231" t="s">
        <v>64</v>
      </c>
      <c r="H231">
        <v>1</v>
      </c>
      <c r="I231">
        <v>17733</v>
      </c>
      <c r="J231">
        <v>15</v>
      </c>
      <c r="K231">
        <v>2659.95</v>
      </c>
      <c r="L231">
        <v>15073.05</v>
      </c>
      <c r="M231">
        <v>11401.64</v>
      </c>
      <c r="N231">
        <v>3671.41</v>
      </c>
      <c r="O231" t="s">
        <v>91</v>
      </c>
      <c r="P231">
        <v>711.87</v>
      </c>
      <c r="Q231" t="s">
        <v>68</v>
      </c>
      <c r="R231" t="s">
        <v>41</v>
      </c>
      <c r="S231">
        <v>2</v>
      </c>
      <c r="T231">
        <v>3</v>
      </c>
      <c r="U231" t="s">
        <v>56</v>
      </c>
      <c r="V231" t="s">
        <v>33</v>
      </c>
      <c r="W231">
        <v>4</v>
      </c>
    </row>
    <row r="232" spans="1:23" x14ac:dyDescent="0.25">
      <c r="A232" t="s">
        <v>503</v>
      </c>
      <c r="B232" s="1">
        <v>45694</v>
      </c>
      <c r="C232" t="s">
        <v>504</v>
      </c>
      <c r="D232" t="s">
        <v>67</v>
      </c>
      <c r="E232" t="s">
        <v>26</v>
      </c>
      <c r="F232" t="s">
        <v>47</v>
      </c>
      <c r="G232" t="s">
        <v>138</v>
      </c>
      <c r="H232">
        <v>1</v>
      </c>
      <c r="I232">
        <v>23173</v>
      </c>
      <c r="J232">
        <v>15</v>
      </c>
      <c r="K232">
        <v>3475.95</v>
      </c>
      <c r="L232">
        <v>19697.05</v>
      </c>
      <c r="M232">
        <v>14663.55</v>
      </c>
      <c r="N232">
        <v>5033.5</v>
      </c>
      <c r="O232" t="s">
        <v>29</v>
      </c>
      <c r="P232">
        <v>451.43</v>
      </c>
      <c r="Q232" t="s">
        <v>30</v>
      </c>
      <c r="R232" t="s">
        <v>31</v>
      </c>
      <c r="S232">
        <v>5</v>
      </c>
      <c r="T232">
        <v>3</v>
      </c>
      <c r="U232" t="s">
        <v>32</v>
      </c>
      <c r="V232" t="s">
        <v>33</v>
      </c>
      <c r="W232">
        <v>5</v>
      </c>
    </row>
    <row r="233" spans="1:23" x14ac:dyDescent="0.25">
      <c r="A233" t="s">
        <v>505</v>
      </c>
      <c r="B233" s="1">
        <v>46020</v>
      </c>
      <c r="C233" t="s">
        <v>506</v>
      </c>
      <c r="D233" t="s">
        <v>97</v>
      </c>
      <c r="E233" t="s">
        <v>36</v>
      </c>
      <c r="F233" t="s">
        <v>53</v>
      </c>
      <c r="G233" t="s">
        <v>268</v>
      </c>
      <c r="H233">
        <v>1</v>
      </c>
      <c r="I233">
        <v>59777</v>
      </c>
      <c r="J233">
        <v>20</v>
      </c>
      <c r="K233">
        <v>11955.4</v>
      </c>
      <c r="L233">
        <v>47821.599999999999</v>
      </c>
      <c r="M233">
        <v>31441.3</v>
      </c>
      <c r="N233">
        <v>16380.3</v>
      </c>
      <c r="O233" t="s">
        <v>60</v>
      </c>
      <c r="P233">
        <v>582.91999999999996</v>
      </c>
      <c r="Q233" t="s">
        <v>73</v>
      </c>
      <c r="R233" t="s">
        <v>41</v>
      </c>
      <c r="S233">
        <v>2</v>
      </c>
      <c r="T233">
        <v>2</v>
      </c>
      <c r="U233" t="s">
        <v>32</v>
      </c>
      <c r="V233" t="s">
        <v>33</v>
      </c>
      <c r="W233">
        <v>4</v>
      </c>
    </row>
    <row r="234" spans="1:23" x14ac:dyDescent="0.25">
      <c r="A234" t="s">
        <v>507</v>
      </c>
      <c r="B234" s="1">
        <v>45981</v>
      </c>
      <c r="C234" t="s">
        <v>112</v>
      </c>
      <c r="D234" t="s">
        <v>154</v>
      </c>
      <c r="E234" t="s">
        <v>36</v>
      </c>
      <c r="F234" t="s">
        <v>37</v>
      </c>
      <c r="G234" t="s">
        <v>224</v>
      </c>
      <c r="H234">
        <v>1</v>
      </c>
      <c r="I234">
        <v>39809</v>
      </c>
      <c r="J234">
        <v>0</v>
      </c>
      <c r="K234">
        <v>0</v>
      </c>
      <c r="L234">
        <v>39809</v>
      </c>
      <c r="M234">
        <v>26119.8</v>
      </c>
      <c r="N234">
        <v>13689.2</v>
      </c>
      <c r="O234" t="s">
        <v>60</v>
      </c>
      <c r="P234">
        <v>611.41999999999996</v>
      </c>
      <c r="Q234" t="s">
        <v>40</v>
      </c>
      <c r="R234" t="s">
        <v>41</v>
      </c>
      <c r="S234">
        <v>2</v>
      </c>
      <c r="T234">
        <v>2</v>
      </c>
      <c r="U234" t="s">
        <v>32</v>
      </c>
      <c r="V234" t="s">
        <v>33</v>
      </c>
      <c r="W234">
        <v>1</v>
      </c>
    </row>
    <row r="235" spans="1:23" x14ac:dyDescent="0.25">
      <c r="A235" t="s">
        <v>508</v>
      </c>
      <c r="B235" s="1">
        <v>45688</v>
      </c>
      <c r="C235" t="s">
        <v>509</v>
      </c>
      <c r="D235" t="s">
        <v>63</v>
      </c>
      <c r="E235" t="s">
        <v>26</v>
      </c>
      <c r="F235" t="s">
        <v>47</v>
      </c>
      <c r="G235" t="s">
        <v>105</v>
      </c>
      <c r="H235">
        <v>3</v>
      </c>
      <c r="I235">
        <v>17747</v>
      </c>
      <c r="J235">
        <v>20</v>
      </c>
      <c r="K235">
        <v>10648.2</v>
      </c>
      <c r="L235">
        <v>42592.800000000003</v>
      </c>
      <c r="M235">
        <v>30717.91</v>
      </c>
      <c r="N235">
        <v>11874.89</v>
      </c>
      <c r="O235" t="s">
        <v>39</v>
      </c>
      <c r="P235">
        <v>2019.45</v>
      </c>
      <c r="Q235" t="s">
        <v>40</v>
      </c>
      <c r="R235" t="s">
        <v>41</v>
      </c>
      <c r="S235">
        <v>2</v>
      </c>
      <c r="T235">
        <v>1</v>
      </c>
      <c r="U235" t="s">
        <v>32</v>
      </c>
      <c r="V235" t="s">
        <v>33</v>
      </c>
      <c r="W235">
        <v>5</v>
      </c>
    </row>
    <row r="236" spans="1:23" x14ac:dyDescent="0.25">
      <c r="A236" t="s">
        <v>510</v>
      </c>
      <c r="B236" s="1">
        <v>45775</v>
      </c>
      <c r="C236" t="s">
        <v>511</v>
      </c>
      <c r="D236" t="s">
        <v>97</v>
      </c>
      <c r="E236" t="s">
        <v>46</v>
      </c>
      <c r="F236" t="s">
        <v>37</v>
      </c>
      <c r="G236" t="s">
        <v>161</v>
      </c>
      <c r="H236">
        <v>1</v>
      </c>
      <c r="I236">
        <v>13476</v>
      </c>
      <c r="J236">
        <v>0</v>
      </c>
      <c r="K236">
        <v>0</v>
      </c>
      <c r="L236">
        <v>13476</v>
      </c>
      <c r="M236">
        <v>10210.39</v>
      </c>
      <c r="N236">
        <v>3265.61</v>
      </c>
      <c r="O236" t="s">
        <v>60</v>
      </c>
      <c r="P236">
        <v>911.89</v>
      </c>
      <c r="Q236" t="s">
        <v>30</v>
      </c>
      <c r="R236" t="s">
        <v>41</v>
      </c>
      <c r="S236">
        <v>2</v>
      </c>
      <c r="T236">
        <v>6</v>
      </c>
      <c r="U236" t="s">
        <v>56</v>
      </c>
      <c r="V236" t="s">
        <v>33</v>
      </c>
      <c r="W236">
        <v>3</v>
      </c>
    </row>
    <row r="237" spans="1:23" x14ac:dyDescent="0.25">
      <c r="A237" t="s">
        <v>512</v>
      </c>
      <c r="B237" s="1">
        <v>45692</v>
      </c>
      <c r="C237" t="s">
        <v>345</v>
      </c>
      <c r="D237" t="s">
        <v>154</v>
      </c>
      <c r="E237" t="s">
        <v>46</v>
      </c>
      <c r="F237" t="s">
        <v>86</v>
      </c>
      <c r="G237" t="s">
        <v>87</v>
      </c>
      <c r="H237">
        <v>2</v>
      </c>
      <c r="I237">
        <v>71225</v>
      </c>
      <c r="J237">
        <v>0</v>
      </c>
      <c r="K237">
        <v>0</v>
      </c>
      <c r="L237">
        <v>142450</v>
      </c>
      <c r="M237">
        <v>101731.47</v>
      </c>
      <c r="N237">
        <v>40718.53</v>
      </c>
      <c r="O237" t="s">
        <v>91</v>
      </c>
      <c r="P237">
        <v>1554.38</v>
      </c>
      <c r="Q237" t="s">
        <v>30</v>
      </c>
      <c r="R237" t="s">
        <v>31</v>
      </c>
      <c r="S237">
        <v>5</v>
      </c>
      <c r="T237">
        <v>6</v>
      </c>
      <c r="U237" t="s">
        <v>56</v>
      </c>
      <c r="V237" t="s">
        <v>33</v>
      </c>
      <c r="W237">
        <v>2</v>
      </c>
    </row>
    <row r="238" spans="1:23" x14ac:dyDescent="0.25">
      <c r="A238" t="s">
        <v>513</v>
      </c>
      <c r="B238" s="1">
        <v>45674</v>
      </c>
      <c r="C238" t="s">
        <v>514</v>
      </c>
      <c r="D238" t="s">
        <v>79</v>
      </c>
      <c r="E238" t="s">
        <v>26</v>
      </c>
      <c r="F238" t="s">
        <v>27</v>
      </c>
      <c r="G238" t="s">
        <v>113</v>
      </c>
      <c r="H238">
        <v>1</v>
      </c>
      <c r="I238">
        <v>10303</v>
      </c>
      <c r="J238">
        <v>0</v>
      </c>
      <c r="K238">
        <v>0</v>
      </c>
      <c r="L238">
        <v>10303</v>
      </c>
      <c r="M238">
        <v>6079.07</v>
      </c>
      <c r="N238">
        <v>4223.93</v>
      </c>
      <c r="O238" t="s">
        <v>29</v>
      </c>
      <c r="P238">
        <v>2163.81</v>
      </c>
      <c r="Q238" t="s">
        <v>40</v>
      </c>
      <c r="R238" t="s">
        <v>41</v>
      </c>
      <c r="S238">
        <v>2</v>
      </c>
      <c r="T238">
        <v>0</v>
      </c>
      <c r="U238" t="s">
        <v>32</v>
      </c>
      <c r="V238" t="s">
        <v>50</v>
      </c>
      <c r="W238">
        <v>2</v>
      </c>
    </row>
    <row r="239" spans="1:23" x14ac:dyDescent="0.25">
      <c r="A239" t="s">
        <v>515</v>
      </c>
      <c r="B239" s="1">
        <v>45827</v>
      </c>
      <c r="C239" t="s">
        <v>316</v>
      </c>
      <c r="D239" t="s">
        <v>79</v>
      </c>
      <c r="E239" t="s">
        <v>46</v>
      </c>
      <c r="F239" t="s">
        <v>37</v>
      </c>
      <c r="G239" t="s">
        <v>313</v>
      </c>
      <c r="H239">
        <v>4</v>
      </c>
      <c r="I239">
        <v>15627</v>
      </c>
      <c r="J239">
        <v>20</v>
      </c>
      <c r="K239">
        <v>12501.6</v>
      </c>
      <c r="L239">
        <v>50006.400000000001</v>
      </c>
      <c r="M239">
        <v>37620.83</v>
      </c>
      <c r="N239">
        <v>12385.57</v>
      </c>
      <c r="O239" t="s">
        <v>55</v>
      </c>
      <c r="P239">
        <v>1967.58</v>
      </c>
      <c r="Q239" t="s">
        <v>73</v>
      </c>
      <c r="R239" t="s">
        <v>31</v>
      </c>
      <c r="S239">
        <v>5</v>
      </c>
      <c r="T239">
        <v>5</v>
      </c>
      <c r="U239" t="s">
        <v>32</v>
      </c>
      <c r="V239" t="s">
        <v>33</v>
      </c>
      <c r="W239">
        <v>1</v>
      </c>
    </row>
    <row r="240" spans="1:23" x14ac:dyDescent="0.25">
      <c r="A240" t="s">
        <v>516</v>
      </c>
      <c r="B240" s="1">
        <v>45694</v>
      </c>
      <c r="C240" t="s">
        <v>517</v>
      </c>
      <c r="D240" t="s">
        <v>71</v>
      </c>
      <c r="E240" t="s">
        <v>46</v>
      </c>
      <c r="F240" t="s">
        <v>86</v>
      </c>
      <c r="G240" t="s">
        <v>127</v>
      </c>
      <c r="H240">
        <v>1</v>
      </c>
      <c r="I240">
        <v>41968</v>
      </c>
      <c r="J240">
        <v>15</v>
      </c>
      <c r="K240">
        <v>6295.2</v>
      </c>
      <c r="L240">
        <v>35672.800000000003</v>
      </c>
      <c r="M240">
        <v>24673.25</v>
      </c>
      <c r="N240">
        <v>10999.55</v>
      </c>
      <c r="O240" t="s">
        <v>29</v>
      </c>
      <c r="P240">
        <v>451.4</v>
      </c>
      <c r="Q240" t="s">
        <v>40</v>
      </c>
      <c r="R240" t="s">
        <v>31</v>
      </c>
      <c r="S240">
        <v>5</v>
      </c>
      <c r="T240">
        <v>4</v>
      </c>
      <c r="U240" t="s">
        <v>32</v>
      </c>
      <c r="V240" t="s">
        <v>50</v>
      </c>
      <c r="W240">
        <v>1</v>
      </c>
    </row>
    <row r="241" spans="1:23" x14ac:dyDescent="0.25">
      <c r="A241" t="s">
        <v>518</v>
      </c>
      <c r="B241" s="1">
        <v>45921</v>
      </c>
      <c r="C241" t="s">
        <v>519</v>
      </c>
      <c r="D241" t="s">
        <v>71</v>
      </c>
      <c r="E241" t="s">
        <v>36</v>
      </c>
      <c r="F241" t="s">
        <v>53</v>
      </c>
      <c r="G241" t="s">
        <v>54</v>
      </c>
      <c r="H241">
        <v>1</v>
      </c>
      <c r="I241">
        <v>84385</v>
      </c>
      <c r="J241">
        <v>25</v>
      </c>
      <c r="K241">
        <v>21096.25</v>
      </c>
      <c r="L241">
        <v>63288.75</v>
      </c>
      <c r="M241">
        <v>47269.09</v>
      </c>
      <c r="N241">
        <v>16019.66</v>
      </c>
      <c r="O241" t="s">
        <v>29</v>
      </c>
      <c r="P241">
        <v>613.79</v>
      </c>
      <c r="Q241" t="s">
        <v>40</v>
      </c>
      <c r="R241" t="s">
        <v>41</v>
      </c>
      <c r="S241">
        <v>2</v>
      </c>
      <c r="T241">
        <v>3</v>
      </c>
      <c r="U241" t="s">
        <v>56</v>
      </c>
      <c r="V241" t="s">
        <v>33</v>
      </c>
      <c r="W241">
        <v>5</v>
      </c>
    </row>
    <row r="242" spans="1:23" x14ac:dyDescent="0.25">
      <c r="A242" t="s">
        <v>520</v>
      </c>
      <c r="B242" s="1">
        <v>45779</v>
      </c>
      <c r="C242" t="s">
        <v>521</v>
      </c>
      <c r="D242" t="s">
        <v>90</v>
      </c>
      <c r="E242" t="s">
        <v>46</v>
      </c>
      <c r="F242" t="s">
        <v>47</v>
      </c>
      <c r="G242" t="s">
        <v>48</v>
      </c>
      <c r="H242">
        <v>2</v>
      </c>
      <c r="I242">
        <v>20587</v>
      </c>
      <c r="J242">
        <v>10</v>
      </c>
      <c r="K242">
        <v>4117.3999999999996</v>
      </c>
      <c r="L242">
        <v>37056.6</v>
      </c>
      <c r="M242">
        <v>23879.48</v>
      </c>
      <c r="N242">
        <v>13177.12</v>
      </c>
      <c r="O242" t="s">
        <v>55</v>
      </c>
      <c r="P242">
        <v>662.73</v>
      </c>
      <c r="Q242" t="s">
        <v>73</v>
      </c>
      <c r="R242" t="s">
        <v>31</v>
      </c>
      <c r="S242">
        <v>5</v>
      </c>
      <c r="T242">
        <v>0</v>
      </c>
      <c r="U242" t="s">
        <v>32</v>
      </c>
      <c r="V242" t="s">
        <v>50</v>
      </c>
      <c r="W242">
        <v>5</v>
      </c>
    </row>
    <row r="243" spans="1:23" x14ac:dyDescent="0.25">
      <c r="A243" t="s">
        <v>522</v>
      </c>
      <c r="B243" s="1">
        <v>45800</v>
      </c>
      <c r="C243" t="s">
        <v>201</v>
      </c>
      <c r="D243" t="s">
        <v>63</v>
      </c>
      <c r="E243" t="s">
        <v>26</v>
      </c>
      <c r="F243" t="s">
        <v>86</v>
      </c>
      <c r="G243" t="s">
        <v>180</v>
      </c>
      <c r="H243">
        <v>2</v>
      </c>
      <c r="I243">
        <v>49684</v>
      </c>
      <c r="J243">
        <v>0</v>
      </c>
      <c r="K243">
        <v>0</v>
      </c>
      <c r="L243">
        <v>99368</v>
      </c>
      <c r="M243">
        <v>76975.58</v>
      </c>
      <c r="N243">
        <v>22392.42</v>
      </c>
      <c r="O243" t="s">
        <v>29</v>
      </c>
      <c r="P243">
        <v>977.25</v>
      </c>
      <c r="Q243" t="s">
        <v>30</v>
      </c>
      <c r="R243" t="s">
        <v>41</v>
      </c>
      <c r="S243">
        <v>2</v>
      </c>
      <c r="T243">
        <v>1</v>
      </c>
      <c r="U243" t="s">
        <v>32</v>
      </c>
      <c r="V243" t="s">
        <v>33</v>
      </c>
      <c r="W243">
        <v>5</v>
      </c>
    </row>
    <row r="244" spans="1:23" x14ac:dyDescent="0.25">
      <c r="A244" t="s">
        <v>523</v>
      </c>
      <c r="B244" s="1">
        <v>46000</v>
      </c>
      <c r="C244" t="s">
        <v>524</v>
      </c>
      <c r="D244" t="s">
        <v>67</v>
      </c>
      <c r="E244" t="s">
        <v>26</v>
      </c>
      <c r="F244" t="s">
        <v>27</v>
      </c>
      <c r="G244" t="s">
        <v>164</v>
      </c>
      <c r="H244">
        <v>3</v>
      </c>
      <c r="I244">
        <v>29189</v>
      </c>
      <c r="J244">
        <v>0</v>
      </c>
      <c r="K244">
        <v>0</v>
      </c>
      <c r="L244">
        <v>87567</v>
      </c>
      <c r="M244">
        <v>67906.33</v>
      </c>
      <c r="N244">
        <v>19660.669999999998</v>
      </c>
      <c r="O244" t="s">
        <v>91</v>
      </c>
      <c r="P244">
        <v>1432.54</v>
      </c>
      <c r="Q244" t="s">
        <v>68</v>
      </c>
      <c r="R244" t="s">
        <v>41</v>
      </c>
      <c r="S244">
        <v>2</v>
      </c>
      <c r="T244">
        <v>3</v>
      </c>
      <c r="U244" t="s">
        <v>56</v>
      </c>
      <c r="V244" t="s">
        <v>33</v>
      </c>
      <c r="W244">
        <v>5</v>
      </c>
    </row>
    <row r="245" spans="1:23" x14ac:dyDescent="0.25">
      <c r="A245" t="s">
        <v>525</v>
      </c>
      <c r="B245" s="1">
        <v>45906</v>
      </c>
      <c r="C245" t="s">
        <v>526</v>
      </c>
      <c r="D245" t="s">
        <v>79</v>
      </c>
      <c r="E245" t="s">
        <v>46</v>
      </c>
      <c r="F245" t="s">
        <v>37</v>
      </c>
      <c r="G245" t="s">
        <v>313</v>
      </c>
      <c r="H245">
        <v>1</v>
      </c>
      <c r="I245">
        <v>29530</v>
      </c>
      <c r="J245">
        <v>0</v>
      </c>
      <c r="K245">
        <v>0</v>
      </c>
      <c r="L245">
        <v>29530</v>
      </c>
      <c r="M245">
        <v>20987.02</v>
      </c>
      <c r="N245">
        <v>8542.98</v>
      </c>
      <c r="O245" t="s">
        <v>91</v>
      </c>
      <c r="P245">
        <v>272.74</v>
      </c>
      <c r="Q245" t="s">
        <v>30</v>
      </c>
      <c r="R245" t="s">
        <v>41</v>
      </c>
      <c r="S245">
        <v>2</v>
      </c>
      <c r="T245">
        <v>3</v>
      </c>
      <c r="U245" t="s">
        <v>56</v>
      </c>
      <c r="V245" t="s">
        <v>33</v>
      </c>
      <c r="W245">
        <v>5</v>
      </c>
    </row>
    <row r="246" spans="1:23" x14ac:dyDescent="0.25">
      <c r="A246" t="s">
        <v>527</v>
      </c>
      <c r="B246" s="1">
        <v>45767</v>
      </c>
      <c r="C246" t="s">
        <v>528</v>
      </c>
      <c r="D246" t="s">
        <v>25</v>
      </c>
      <c r="E246" t="s">
        <v>36</v>
      </c>
      <c r="F246" t="s">
        <v>53</v>
      </c>
      <c r="G246" t="s">
        <v>54</v>
      </c>
      <c r="H246">
        <v>1</v>
      </c>
      <c r="I246">
        <v>77825</v>
      </c>
      <c r="J246">
        <v>0</v>
      </c>
      <c r="K246">
        <v>0</v>
      </c>
      <c r="L246">
        <v>77825</v>
      </c>
      <c r="M246">
        <v>59147.27</v>
      </c>
      <c r="N246">
        <v>18677.73</v>
      </c>
      <c r="O246" t="s">
        <v>60</v>
      </c>
      <c r="P246">
        <v>257.35000000000002</v>
      </c>
      <c r="Q246" t="s">
        <v>30</v>
      </c>
      <c r="R246" t="s">
        <v>41</v>
      </c>
      <c r="S246">
        <v>2</v>
      </c>
      <c r="T246">
        <v>1</v>
      </c>
      <c r="U246" t="s">
        <v>32</v>
      </c>
      <c r="V246" t="s">
        <v>33</v>
      </c>
      <c r="W246">
        <v>5</v>
      </c>
    </row>
    <row r="247" spans="1:23" x14ac:dyDescent="0.25">
      <c r="A247" t="s">
        <v>529</v>
      </c>
      <c r="B247" s="1">
        <v>45934</v>
      </c>
      <c r="C247" t="s">
        <v>303</v>
      </c>
      <c r="D247" t="s">
        <v>25</v>
      </c>
      <c r="E247" t="s">
        <v>26</v>
      </c>
      <c r="F247" t="s">
        <v>37</v>
      </c>
      <c r="G247" t="s">
        <v>161</v>
      </c>
      <c r="H247">
        <v>1</v>
      </c>
      <c r="I247">
        <v>10439</v>
      </c>
      <c r="J247">
        <v>25</v>
      </c>
      <c r="K247">
        <v>2609.75</v>
      </c>
      <c r="L247">
        <v>7829.25</v>
      </c>
      <c r="M247">
        <v>5736.6</v>
      </c>
      <c r="N247">
        <v>2092.65</v>
      </c>
      <c r="O247" t="s">
        <v>60</v>
      </c>
      <c r="P247">
        <v>284.07</v>
      </c>
      <c r="Q247" t="s">
        <v>30</v>
      </c>
      <c r="R247" t="s">
        <v>31</v>
      </c>
      <c r="S247">
        <v>5</v>
      </c>
      <c r="T247">
        <v>4</v>
      </c>
      <c r="U247" t="s">
        <v>32</v>
      </c>
      <c r="V247" t="s">
        <v>33</v>
      </c>
      <c r="W247">
        <v>5</v>
      </c>
    </row>
    <row r="248" spans="1:23" x14ac:dyDescent="0.25">
      <c r="A248" t="s">
        <v>530</v>
      </c>
      <c r="B248" s="1">
        <v>45725</v>
      </c>
      <c r="C248" t="s">
        <v>531</v>
      </c>
      <c r="D248" t="s">
        <v>63</v>
      </c>
      <c r="E248" t="s">
        <v>26</v>
      </c>
      <c r="F248" t="s">
        <v>37</v>
      </c>
      <c r="G248" t="s">
        <v>224</v>
      </c>
      <c r="H248">
        <v>2</v>
      </c>
      <c r="I248">
        <v>10756</v>
      </c>
      <c r="J248">
        <v>25</v>
      </c>
      <c r="K248">
        <v>5378</v>
      </c>
      <c r="L248">
        <v>16134</v>
      </c>
      <c r="M248">
        <v>12211.32</v>
      </c>
      <c r="N248">
        <v>3922.68</v>
      </c>
      <c r="O248" t="s">
        <v>55</v>
      </c>
      <c r="P248">
        <v>1944.54</v>
      </c>
      <c r="Q248" t="s">
        <v>68</v>
      </c>
      <c r="R248" t="s">
        <v>41</v>
      </c>
      <c r="S248">
        <v>2</v>
      </c>
      <c r="T248">
        <v>0</v>
      </c>
      <c r="U248" t="s">
        <v>32</v>
      </c>
      <c r="V248" t="s">
        <v>50</v>
      </c>
      <c r="W248">
        <v>5</v>
      </c>
    </row>
    <row r="249" spans="1:23" x14ac:dyDescent="0.25">
      <c r="A249" t="s">
        <v>532</v>
      </c>
      <c r="B249" s="1">
        <v>45950</v>
      </c>
      <c r="C249" t="s">
        <v>533</v>
      </c>
      <c r="D249" t="s">
        <v>63</v>
      </c>
      <c r="E249" t="s">
        <v>26</v>
      </c>
      <c r="F249" t="s">
        <v>86</v>
      </c>
      <c r="G249" t="s">
        <v>87</v>
      </c>
      <c r="H249">
        <v>2</v>
      </c>
      <c r="I249">
        <v>41737</v>
      </c>
      <c r="J249">
        <v>10</v>
      </c>
      <c r="K249">
        <v>8347.4</v>
      </c>
      <c r="L249">
        <v>75126.600000000006</v>
      </c>
      <c r="M249">
        <v>43641.37</v>
      </c>
      <c r="N249">
        <v>31485.23</v>
      </c>
      <c r="O249" t="s">
        <v>39</v>
      </c>
      <c r="P249">
        <v>1447.82</v>
      </c>
      <c r="Q249" t="s">
        <v>40</v>
      </c>
      <c r="R249" t="s">
        <v>31</v>
      </c>
      <c r="S249">
        <v>5</v>
      </c>
      <c r="T249">
        <v>1</v>
      </c>
      <c r="U249" t="s">
        <v>32</v>
      </c>
      <c r="V249" t="s">
        <v>42</v>
      </c>
    </row>
    <row r="250" spans="1:23" x14ac:dyDescent="0.25">
      <c r="A250" t="s">
        <v>534</v>
      </c>
      <c r="B250" s="1">
        <v>45953</v>
      </c>
      <c r="C250" t="s">
        <v>535</v>
      </c>
      <c r="D250" t="s">
        <v>63</v>
      </c>
      <c r="E250" t="s">
        <v>46</v>
      </c>
      <c r="F250" t="s">
        <v>86</v>
      </c>
      <c r="G250" t="s">
        <v>94</v>
      </c>
      <c r="H250">
        <v>1</v>
      </c>
      <c r="I250">
        <v>76854</v>
      </c>
      <c r="J250">
        <v>0</v>
      </c>
      <c r="K250">
        <v>0</v>
      </c>
      <c r="L250">
        <v>76854</v>
      </c>
      <c r="M250">
        <v>42871.32</v>
      </c>
      <c r="N250">
        <v>33982.68</v>
      </c>
      <c r="O250" t="s">
        <v>29</v>
      </c>
      <c r="P250">
        <v>323.74</v>
      </c>
      <c r="Q250" t="s">
        <v>30</v>
      </c>
      <c r="R250" t="s">
        <v>31</v>
      </c>
      <c r="S250">
        <v>5</v>
      </c>
      <c r="T250">
        <v>0</v>
      </c>
      <c r="U250" t="s">
        <v>32</v>
      </c>
      <c r="V250" t="s">
        <v>50</v>
      </c>
      <c r="W250">
        <v>4</v>
      </c>
    </row>
    <row r="251" spans="1:23" x14ac:dyDescent="0.25">
      <c r="A251" t="s">
        <v>536</v>
      </c>
      <c r="B251" s="1">
        <v>45900</v>
      </c>
      <c r="C251" t="s">
        <v>380</v>
      </c>
      <c r="D251" t="s">
        <v>45</v>
      </c>
      <c r="E251" t="s">
        <v>46</v>
      </c>
      <c r="F251" t="s">
        <v>27</v>
      </c>
      <c r="G251" t="s">
        <v>76</v>
      </c>
      <c r="H251">
        <v>2</v>
      </c>
      <c r="I251">
        <v>6073</v>
      </c>
      <c r="J251">
        <v>0</v>
      </c>
      <c r="K251">
        <v>0</v>
      </c>
      <c r="L251">
        <v>12146</v>
      </c>
      <c r="M251">
        <v>6985.01</v>
      </c>
      <c r="N251">
        <v>5160.99</v>
      </c>
      <c r="O251" t="s">
        <v>39</v>
      </c>
      <c r="P251">
        <v>913.9</v>
      </c>
      <c r="Q251" t="s">
        <v>30</v>
      </c>
      <c r="R251" t="s">
        <v>41</v>
      </c>
      <c r="S251">
        <v>2</v>
      </c>
      <c r="T251">
        <v>0</v>
      </c>
      <c r="U251" t="s">
        <v>32</v>
      </c>
      <c r="V251" t="s">
        <v>50</v>
      </c>
      <c r="W251">
        <v>4</v>
      </c>
    </row>
    <row r="252" spans="1:23" x14ac:dyDescent="0.25">
      <c r="A252" t="s">
        <v>537</v>
      </c>
      <c r="B252" s="1">
        <v>45782</v>
      </c>
      <c r="C252" t="s">
        <v>538</v>
      </c>
      <c r="D252" t="s">
        <v>154</v>
      </c>
      <c r="E252" t="s">
        <v>46</v>
      </c>
      <c r="F252" t="s">
        <v>27</v>
      </c>
      <c r="G252" t="s">
        <v>76</v>
      </c>
      <c r="H252">
        <v>1</v>
      </c>
      <c r="I252">
        <v>29346</v>
      </c>
      <c r="J252">
        <v>20</v>
      </c>
      <c r="K252">
        <v>5869.2</v>
      </c>
      <c r="L252">
        <v>23476.799999999999</v>
      </c>
      <c r="M252">
        <v>16002.42</v>
      </c>
      <c r="N252">
        <v>7474.38</v>
      </c>
      <c r="O252" t="s">
        <v>29</v>
      </c>
      <c r="P252">
        <v>1008.31</v>
      </c>
      <c r="Q252" t="s">
        <v>30</v>
      </c>
      <c r="R252" t="s">
        <v>41</v>
      </c>
      <c r="S252">
        <v>2</v>
      </c>
      <c r="T252">
        <v>1</v>
      </c>
      <c r="U252" t="s">
        <v>32</v>
      </c>
      <c r="V252" t="s">
        <v>33</v>
      </c>
      <c r="W252">
        <v>1</v>
      </c>
    </row>
    <row r="253" spans="1:23" x14ac:dyDescent="0.25">
      <c r="A253" t="s">
        <v>539</v>
      </c>
      <c r="B253" s="1">
        <v>45900</v>
      </c>
      <c r="C253" t="s">
        <v>540</v>
      </c>
      <c r="D253" t="s">
        <v>45</v>
      </c>
      <c r="E253" t="s">
        <v>46</v>
      </c>
      <c r="F253" t="s">
        <v>47</v>
      </c>
      <c r="G253" t="s">
        <v>48</v>
      </c>
      <c r="H253">
        <v>1</v>
      </c>
      <c r="I253">
        <v>53810</v>
      </c>
      <c r="J253">
        <v>10</v>
      </c>
      <c r="K253">
        <v>5381</v>
      </c>
      <c r="L253">
        <v>48429</v>
      </c>
      <c r="M253">
        <v>33602.04</v>
      </c>
      <c r="N253">
        <v>14826.96</v>
      </c>
      <c r="O253" t="s">
        <v>29</v>
      </c>
      <c r="P253">
        <v>1628.01</v>
      </c>
      <c r="Q253" t="s">
        <v>40</v>
      </c>
      <c r="R253" t="s">
        <v>41</v>
      </c>
      <c r="S253">
        <v>2</v>
      </c>
      <c r="T253">
        <v>3</v>
      </c>
      <c r="U253" t="s">
        <v>56</v>
      </c>
      <c r="V253" t="s">
        <v>33</v>
      </c>
      <c r="W253">
        <v>2</v>
      </c>
    </row>
    <row r="254" spans="1:23" x14ac:dyDescent="0.25">
      <c r="A254" t="s">
        <v>541</v>
      </c>
      <c r="B254" s="1">
        <v>45866</v>
      </c>
      <c r="C254" t="s">
        <v>249</v>
      </c>
      <c r="D254" t="s">
        <v>79</v>
      </c>
      <c r="E254" t="s">
        <v>46</v>
      </c>
      <c r="F254" t="s">
        <v>47</v>
      </c>
      <c r="G254" t="s">
        <v>105</v>
      </c>
      <c r="H254">
        <v>2</v>
      </c>
      <c r="I254">
        <v>35531</v>
      </c>
      <c r="J254">
        <v>25</v>
      </c>
      <c r="K254">
        <v>17765.5</v>
      </c>
      <c r="L254">
        <v>53296.5</v>
      </c>
      <c r="M254">
        <v>39301.69</v>
      </c>
      <c r="N254">
        <v>13994.81</v>
      </c>
      <c r="O254" t="s">
        <v>39</v>
      </c>
      <c r="P254">
        <v>2340.9899999999998</v>
      </c>
      <c r="Q254" t="s">
        <v>40</v>
      </c>
      <c r="R254" t="s">
        <v>31</v>
      </c>
      <c r="S254">
        <v>5</v>
      </c>
      <c r="T254">
        <v>9</v>
      </c>
      <c r="U254" t="s">
        <v>56</v>
      </c>
      <c r="V254" t="s">
        <v>33</v>
      </c>
      <c r="W254">
        <v>5</v>
      </c>
    </row>
    <row r="255" spans="1:23" x14ac:dyDescent="0.25">
      <c r="A255" t="s">
        <v>542</v>
      </c>
      <c r="B255" s="1">
        <v>45755</v>
      </c>
      <c r="C255" t="s">
        <v>543</v>
      </c>
      <c r="D255" t="s">
        <v>25</v>
      </c>
      <c r="E255" t="s">
        <v>46</v>
      </c>
      <c r="F255" t="s">
        <v>27</v>
      </c>
      <c r="G255" t="s">
        <v>164</v>
      </c>
      <c r="H255">
        <v>1</v>
      </c>
      <c r="I255">
        <v>23103</v>
      </c>
      <c r="J255">
        <v>15</v>
      </c>
      <c r="K255">
        <v>3465.45</v>
      </c>
      <c r="L255">
        <v>19637.55</v>
      </c>
      <c r="M255">
        <v>12536.62</v>
      </c>
      <c r="N255">
        <v>7100.93</v>
      </c>
      <c r="O255" t="s">
        <v>29</v>
      </c>
      <c r="P255">
        <v>2079.1799999999998</v>
      </c>
      <c r="Q255" t="s">
        <v>40</v>
      </c>
      <c r="R255" t="s">
        <v>31</v>
      </c>
      <c r="S255">
        <v>5</v>
      </c>
      <c r="T255">
        <v>0</v>
      </c>
      <c r="U255" t="s">
        <v>32</v>
      </c>
      <c r="V255" t="s">
        <v>50</v>
      </c>
      <c r="W255">
        <v>2</v>
      </c>
    </row>
    <row r="256" spans="1:23" x14ac:dyDescent="0.25">
      <c r="A256" t="s">
        <v>544</v>
      </c>
      <c r="B256" s="1">
        <v>45706</v>
      </c>
      <c r="C256" t="s">
        <v>356</v>
      </c>
      <c r="D256" t="s">
        <v>67</v>
      </c>
      <c r="E256" t="s">
        <v>46</v>
      </c>
      <c r="F256" t="s">
        <v>53</v>
      </c>
      <c r="G256" t="s">
        <v>268</v>
      </c>
      <c r="H256">
        <v>2</v>
      </c>
      <c r="I256">
        <v>67610</v>
      </c>
      <c r="J256">
        <v>10</v>
      </c>
      <c r="K256">
        <v>13522</v>
      </c>
      <c r="L256">
        <v>121698</v>
      </c>
      <c r="M256">
        <v>85672.3</v>
      </c>
      <c r="N256">
        <v>36025.699999999997</v>
      </c>
      <c r="O256" t="s">
        <v>29</v>
      </c>
      <c r="P256">
        <v>2459.9299999999998</v>
      </c>
      <c r="Q256" t="s">
        <v>73</v>
      </c>
      <c r="R256" t="s">
        <v>41</v>
      </c>
      <c r="S256">
        <v>2</v>
      </c>
      <c r="T256">
        <v>3</v>
      </c>
      <c r="U256" t="s">
        <v>32</v>
      </c>
      <c r="V256" t="s">
        <v>50</v>
      </c>
      <c r="W256">
        <v>5</v>
      </c>
    </row>
    <row r="257" spans="1:23" x14ac:dyDescent="0.25">
      <c r="A257" t="s">
        <v>545</v>
      </c>
      <c r="B257" s="1">
        <v>45707</v>
      </c>
      <c r="C257" t="s">
        <v>546</v>
      </c>
      <c r="D257" t="s">
        <v>45</v>
      </c>
      <c r="E257" t="s">
        <v>46</v>
      </c>
      <c r="F257" t="s">
        <v>53</v>
      </c>
      <c r="G257" t="s">
        <v>82</v>
      </c>
      <c r="H257">
        <v>1</v>
      </c>
      <c r="I257">
        <v>47559</v>
      </c>
      <c r="J257">
        <v>0</v>
      </c>
      <c r="K257">
        <v>0</v>
      </c>
      <c r="L257">
        <v>47559</v>
      </c>
      <c r="M257">
        <v>35189.17</v>
      </c>
      <c r="N257">
        <v>12369.83</v>
      </c>
      <c r="O257" t="s">
        <v>29</v>
      </c>
      <c r="P257">
        <v>849.08</v>
      </c>
      <c r="Q257" t="s">
        <v>83</v>
      </c>
      <c r="R257" t="s">
        <v>31</v>
      </c>
      <c r="S257">
        <v>5</v>
      </c>
      <c r="T257">
        <v>4</v>
      </c>
      <c r="U257" t="s">
        <v>32</v>
      </c>
      <c r="V257" t="s">
        <v>33</v>
      </c>
      <c r="W257">
        <v>5</v>
      </c>
    </row>
    <row r="258" spans="1:23" x14ac:dyDescent="0.25">
      <c r="A258" t="s">
        <v>547</v>
      </c>
      <c r="B258" s="1">
        <v>45995</v>
      </c>
      <c r="C258" t="s">
        <v>548</v>
      </c>
      <c r="D258" t="s">
        <v>25</v>
      </c>
      <c r="E258" t="s">
        <v>46</v>
      </c>
      <c r="F258" t="s">
        <v>47</v>
      </c>
      <c r="G258" t="s">
        <v>105</v>
      </c>
      <c r="H258">
        <v>1</v>
      </c>
      <c r="I258">
        <v>20842</v>
      </c>
      <c r="J258">
        <v>5</v>
      </c>
      <c r="K258">
        <v>1042.0999999999999</v>
      </c>
      <c r="L258">
        <v>19799.900000000001</v>
      </c>
      <c r="M258">
        <v>13859.21</v>
      </c>
      <c r="N258">
        <v>5940.69</v>
      </c>
      <c r="O258" t="s">
        <v>49</v>
      </c>
      <c r="P258">
        <v>179.81</v>
      </c>
      <c r="Q258" t="s">
        <v>68</v>
      </c>
      <c r="R258" t="s">
        <v>41</v>
      </c>
      <c r="S258">
        <v>2</v>
      </c>
      <c r="T258">
        <v>4</v>
      </c>
      <c r="U258" t="s">
        <v>56</v>
      </c>
      <c r="V258" t="s">
        <v>33</v>
      </c>
      <c r="W258">
        <v>2</v>
      </c>
    </row>
    <row r="259" spans="1:23" x14ac:dyDescent="0.25">
      <c r="A259" t="s">
        <v>549</v>
      </c>
      <c r="B259" s="1">
        <v>45878</v>
      </c>
      <c r="C259" t="s">
        <v>550</v>
      </c>
      <c r="D259" t="s">
        <v>90</v>
      </c>
      <c r="E259" t="s">
        <v>26</v>
      </c>
      <c r="F259" t="s">
        <v>47</v>
      </c>
      <c r="G259" t="s">
        <v>138</v>
      </c>
      <c r="H259">
        <v>1</v>
      </c>
      <c r="I259">
        <v>15898</v>
      </c>
      <c r="J259">
        <v>20</v>
      </c>
      <c r="K259">
        <v>3179.6</v>
      </c>
      <c r="L259">
        <v>12718.4</v>
      </c>
      <c r="M259">
        <v>10063.65</v>
      </c>
      <c r="N259">
        <v>2654.75</v>
      </c>
      <c r="O259" t="s">
        <v>91</v>
      </c>
      <c r="P259">
        <v>1245.1099999999999</v>
      </c>
      <c r="Q259" t="s">
        <v>30</v>
      </c>
      <c r="R259" t="s">
        <v>41</v>
      </c>
      <c r="S259">
        <v>2</v>
      </c>
      <c r="T259">
        <v>4</v>
      </c>
      <c r="U259" t="s">
        <v>32</v>
      </c>
      <c r="V259" t="s">
        <v>50</v>
      </c>
      <c r="W259">
        <v>2</v>
      </c>
    </row>
    <row r="260" spans="1:23" x14ac:dyDescent="0.25">
      <c r="A260" t="s">
        <v>551</v>
      </c>
      <c r="B260" s="1">
        <v>45839</v>
      </c>
      <c r="C260" t="s">
        <v>249</v>
      </c>
      <c r="D260" t="s">
        <v>25</v>
      </c>
      <c r="E260" t="s">
        <v>46</v>
      </c>
      <c r="F260" t="s">
        <v>37</v>
      </c>
      <c r="G260" t="s">
        <v>100</v>
      </c>
      <c r="H260">
        <v>2</v>
      </c>
      <c r="I260">
        <v>36881</v>
      </c>
      <c r="J260">
        <v>10</v>
      </c>
      <c r="K260">
        <v>7376.2</v>
      </c>
      <c r="L260">
        <v>66385.8</v>
      </c>
      <c r="M260">
        <v>43876.12</v>
      </c>
      <c r="N260">
        <v>22509.68</v>
      </c>
      <c r="O260" t="s">
        <v>91</v>
      </c>
      <c r="P260">
        <v>2449.94</v>
      </c>
      <c r="Q260" t="s">
        <v>40</v>
      </c>
      <c r="R260" t="s">
        <v>41</v>
      </c>
      <c r="S260">
        <v>2</v>
      </c>
      <c r="T260">
        <v>0</v>
      </c>
      <c r="U260" t="s">
        <v>32</v>
      </c>
      <c r="V260" t="s">
        <v>42</v>
      </c>
    </row>
    <row r="261" spans="1:23" x14ac:dyDescent="0.25">
      <c r="A261" t="s">
        <v>552</v>
      </c>
      <c r="B261" s="1">
        <v>45874</v>
      </c>
      <c r="C261" t="s">
        <v>553</v>
      </c>
      <c r="D261" t="s">
        <v>45</v>
      </c>
      <c r="E261" t="s">
        <v>36</v>
      </c>
      <c r="F261" t="s">
        <v>27</v>
      </c>
      <c r="G261" t="s">
        <v>72</v>
      </c>
      <c r="H261">
        <v>1</v>
      </c>
      <c r="I261">
        <v>28095</v>
      </c>
      <c r="J261">
        <v>20</v>
      </c>
      <c r="K261">
        <v>5619</v>
      </c>
      <c r="L261">
        <v>22476</v>
      </c>
      <c r="M261">
        <v>15498.92</v>
      </c>
      <c r="N261">
        <v>6977.08</v>
      </c>
      <c r="O261" t="s">
        <v>60</v>
      </c>
      <c r="P261">
        <v>1286.6400000000001</v>
      </c>
      <c r="Q261" t="s">
        <v>83</v>
      </c>
      <c r="R261" t="s">
        <v>31</v>
      </c>
      <c r="S261">
        <v>5</v>
      </c>
      <c r="T261">
        <v>1</v>
      </c>
      <c r="U261" t="s">
        <v>32</v>
      </c>
      <c r="V261" t="s">
        <v>42</v>
      </c>
    </row>
    <row r="262" spans="1:23" x14ac:dyDescent="0.25">
      <c r="A262" t="s">
        <v>554</v>
      </c>
      <c r="B262" s="1">
        <v>45868</v>
      </c>
      <c r="C262" t="s">
        <v>555</v>
      </c>
      <c r="D262" t="s">
        <v>45</v>
      </c>
      <c r="E262" t="s">
        <v>36</v>
      </c>
      <c r="F262" t="s">
        <v>37</v>
      </c>
      <c r="G262" t="s">
        <v>38</v>
      </c>
      <c r="H262">
        <v>1</v>
      </c>
      <c r="I262">
        <v>34751</v>
      </c>
      <c r="J262">
        <v>10</v>
      </c>
      <c r="K262">
        <v>3475.1</v>
      </c>
      <c r="L262">
        <v>31275.9</v>
      </c>
      <c r="M262">
        <v>20757.009999999998</v>
      </c>
      <c r="N262">
        <v>10518.89</v>
      </c>
      <c r="O262" t="s">
        <v>55</v>
      </c>
      <c r="P262">
        <v>281.25</v>
      </c>
      <c r="Q262" t="s">
        <v>40</v>
      </c>
      <c r="R262" t="s">
        <v>41</v>
      </c>
      <c r="S262">
        <v>2</v>
      </c>
      <c r="T262">
        <v>1</v>
      </c>
      <c r="U262" t="s">
        <v>32</v>
      </c>
      <c r="V262" t="s">
        <v>33</v>
      </c>
      <c r="W262">
        <v>2</v>
      </c>
    </row>
    <row r="263" spans="1:23" x14ac:dyDescent="0.25">
      <c r="A263" t="s">
        <v>556</v>
      </c>
      <c r="B263" s="1">
        <v>45897</v>
      </c>
      <c r="C263" t="s">
        <v>438</v>
      </c>
      <c r="D263" t="s">
        <v>90</v>
      </c>
      <c r="E263" t="s">
        <v>26</v>
      </c>
      <c r="F263" t="s">
        <v>86</v>
      </c>
      <c r="G263" t="s">
        <v>110</v>
      </c>
      <c r="H263">
        <v>1</v>
      </c>
      <c r="I263">
        <v>44240</v>
      </c>
      <c r="J263">
        <v>10</v>
      </c>
      <c r="K263">
        <v>4424</v>
      </c>
      <c r="L263">
        <v>39816</v>
      </c>
      <c r="M263">
        <v>27110.13</v>
      </c>
      <c r="N263">
        <v>12705.87</v>
      </c>
      <c r="O263" t="s">
        <v>49</v>
      </c>
      <c r="P263">
        <v>402.69</v>
      </c>
      <c r="Q263" t="s">
        <v>73</v>
      </c>
      <c r="R263" t="s">
        <v>31</v>
      </c>
      <c r="S263">
        <v>5</v>
      </c>
      <c r="T263">
        <v>4</v>
      </c>
      <c r="U263" t="s">
        <v>32</v>
      </c>
      <c r="V263" t="s">
        <v>33</v>
      </c>
      <c r="W263">
        <v>5</v>
      </c>
    </row>
    <row r="264" spans="1:23" x14ac:dyDescent="0.25">
      <c r="A264" t="s">
        <v>557</v>
      </c>
      <c r="B264" s="1">
        <v>45685</v>
      </c>
      <c r="C264" t="s">
        <v>558</v>
      </c>
      <c r="D264" t="s">
        <v>63</v>
      </c>
      <c r="E264" t="s">
        <v>46</v>
      </c>
      <c r="F264" t="s">
        <v>47</v>
      </c>
      <c r="G264" t="s">
        <v>64</v>
      </c>
      <c r="H264">
        <v>1</v>
      </c>
      <c r="I264">
        <v>45782</v>
      </c>
      <c r="J264">
        <v>10</v>
      </c>
      <c r="K264">
        <v>4578.2</v>
      </c>
      <c r="L264">
        <v>41203.800000000003</v>
      </c>
      <c r="M264">
        <v>31649.34</v>
      </c>
      <c r="N264">
        <v>9554.4599999999991</v>
      </c>
      <c r="O264" t="s">
        <v>39</v>
      </c>
      <c r="P264">
        <v>615.86</v>
      </c>
      <c r="Q264" t="s">
        <v>40</v>
      </c>
      <c r="R264" t="s">
        <v>31</v>
      </c>
      <c r="S264">
        <v>5</v>
      </c>
      <c r="T264">
        <v>1</v>
      </c>
      <c r="U264" t="s">
        <v>32</v>
      </c>
      <c r="V264" t="s">
        <v>33</v>
      </c>
      <c r="W264">
        <v>4</v>
      </c>
    </row>
    <row r="265" spans="1:23" x14ac:dyDescent="0.25">
      <c r="A265" t="s">
        <v>559</v>
      </c>
      <c r="B265" s="1">
        <v>46002</v>
      </c>
      <c r="C265" t="s">
        <v>560</v>
      </c>
      <c r="D265" t="s">
        <v>154</v>
      </c>
      <c r="E265" t="s">
        <v>36</v>
      </c>
      <c r="F265" t="s">
        <v>53</v>
      </c>
      <c r="G265" t="s">
        <v>59</v>
      </c>
      <c r="H265">
        <v>1</v>
      </c>
      <c r="I265">
        <v>74004</v>
      </c>
      <c r="J265">
        <v>0</v>
      </c>
      <c r="K265">
        <v>0</v>
      </c>
      <c r="L265">
        <v>74004</v>
      </c>
      <c r="M265">
        <v>44915.35</v>
      </c>
      <c r="N265">
        <v>29088.65</v>
      </c>
      <c r="O265" t="s">
        <v>29</v>
      </c>
      <c r="P265">
        <v>808.11</v>
      </c>
      <c r="Q265" t="s">
        <v>83</v>
      </c>
      <c r="R265" t="s">
        <v>41</v>
      </c>
      <c r="S265">
        <v>2</v>
      </c>
      <c r="T265">
        <v>0</v>
      </c>
      <c r="U265" t="s">
        <v>32</v>
      </c>
      <c r="V265" t="s">
        <v>50</v>
      </c>
      <c r="W265">
        <v>5</v>
      </c>
    </row>
    <row r="266" spans="1:23" x14ac:dyDescent="0.25">
      <c r="A266" t="s">
        <v>561</v>
      </c>
      <c r="B266" s="1">
        <v>45992</v>
      </c>
      <c r="C266" t="s">
        <v>398</v>
      </c>
      <c r="D266" t="s">
        <v>71</v>
      </c>
      <c r="E266" t="s">
        <v>46</v>
      </c>
      <c r="F266" t="s">
        <v>53</v>
      </c>
      <c r="G266" t="s">
        <v>268</v>
      </c>
      <c r="H266">
        <v>2</v>
      </c>
      <c r="I266">
        <v>107622</v>
      </c>
      <c r="J266">
        <v>20</v>
      </c>
      <c r="K266">
        <v>43048.800000000003</v>
      </c>
      <c r="L266">
        <v>172195.20000000001</v>
      </c>
      <c r="M266">
        <v>106917.51</v>
      </c>
      <c r="N266">
        <v>65277.69</v>
      </c>
      <c r="O266" t="s">
        <v>60</v>
      </c>
      <c r="P266">
        <v>864.22</v>
      </c>
      <c r="Q266" t="s">
        <v>30</v>
      </c>
      <c r="R266" t="s">
        <v>41</v>
      </c>
      <c r="S266">
        <v>2</v>
      </c>
      <c r="T266">
        <v>0</v>
      </c>
      <c r="U266" t="s">
        <v>32</v>
      </c>
      <c r="V266" t="s">
        <v>42</v>
      </c>
    </row>
    <row r="267" spans="1:23" x14ac:dyDescent="0.25">
      <c r="A267" t="s">
        <v>562</v>
      </c>
      <c r="B267" s="1">
        <v>45988</v>
      </c>
      <c r="C267" t="s">
        <v>563</v>
      </c>
      <c r="D267" t="s">
        <v>90</v>
      </c>
      <c r="E267" t="s">
        <v>36</v>
      </c>
      <c r="F267" t="s">
        <v>27</v>
      </c>
      <c r="G267" t="s">
        <v>72</v>
      </c>
      <c r="H267">
        <v>2</v>
      </c>
      <c r="I267">
        <v>14476</v>
      </c>
      <c r="J267">
        <v>10</v>
      </c>
      <c r="K267">
        <v>2895.2</v>
      </c>
      <c r="L267">
        <v>26056.799999999999</v>
      </c>
      <c r="M267">
        <v>19975.810000000001</v>
      </c>
      <c r="N267">
        <v>6080.99</v>
      </c>
      <c r="O267" t="s">
        <v>55</v>
      </c>
      <c r="P267">
        <v>1978.25</v>
      </c>
      <c r="Q267" t="s">
        <v>68</v>
      </c>
      <c r="R267" t="s">
        <v>41</v>
      </c>
      <c r="S267">
        <v>2</v>
      </c>
      <c r="T267">
        <v>1</v>
      </c>
      <c r="U267" t="s">
        <v>32</v>
      </c>
      <c r="V267" t="s">
        <v>33</v>
      </c>
      <c r="W267">
        <v>4</v>
      </c>
    </row>
    <row r="268" spans="1:23" x14ac:dyDescent="0.25">
      <c r="A268" t="s">
        <v>564</v>
      </c>
      <c r="B268" s="1">
        <v>45708</v>
      </c>
      <c r="C268" t="s">
        <v>565</v>
      </c>
      <c r="D268" t="s">
        <v>25</v>
      </c>
      <c r="E268" t="s">
        <v>26</v>
      </c>
      <c r="F268" t="s">
        <v>37</v>
      </c>
      <c r="G268" t="s">
        <v>161</v>
      </c>
      <c r="H268">
        <v>1</v>
      </c>
      <c r="I268">
        <v>4783</v>
      </c>
      <c r="J268">
        <v>15</v>
      </c>
      <c r="K268">
        <v>717.45</v>
      </c>
      <c r="L268">
        <v>4065.55</v>
      </c>
      <c r="M268">
        <v>2343.3000000000002</v>
      </c>
      <c r="N268">
        <v>1722.25</v>
      </c>
      <c r="O268" t="s">
        <v>49</v>
      </c>
      <c r="P268">
        <v>148.74</v>
      </c>
      <c r="Q268" t="s">
        <v>73</v>
      </c>
      <c r="R268" t="s">
        <v>41</v>
      </c>
      <c r="S268">
        <v>2</v>
      </c>
      <c r="T268">
        <v>5</v>
      </c>
      <c r="U268" t="s">
        <v>56</v>
      </c>
      <c r="V268" t="s">
        <v>33</v>
      </c>
      <c r="W268">
        <v>3</v>
      </c>
    </row>
    <row r="269" spans="1:23" x14ac:dyDescent="0.25">
      <c r="A269" t="s">
        <v>566</v>
      </c>
      <c r="B269" s="1">
        <v>45689</v>
      </c>
      <c r="C269" t="s">
        <v>567</v>
      </c>
      <c r="D269" t="s">
        <v>90</v>
      </c>
      <c r="E269" t="s">
        <v>46</v>
      </c>
      <c r="F269" t="s">
        <v>86</v>
      </c>
      <c r="G269" t="s">
        <v>87</v>
      </c>
      <c r="H269">
        <v>3</v>
      </c>
      <c r="I269">
        <v>84562</v>
      </c>
      <c r="J269">
        <v>0</v>
      </c>
      <c r="K269">
        <v>0</v>
      </c>
      <c r="L269">
        <v>253686</v>
      </c>
      <c r="M269">
        <v>145444.35</v>
      </c>
      <c r="N269">
        <v>108241.65</v>
      </c>
      <c r="O269" t="s">
        <v>29</v>
      </c>
      <c r="P269">
        <v>1709.71</v>
      </c>
      <c r="Q269" t="s">
        <v>40</v>
      </c>
      <c r="R269" t="s">
        <v>31</v>
      </c>
      <c r="S269">
        <v>5</v>
      </c>
      <c r="T269">
        <v>3</v>
      </c>
      <c r="U269" t="s">
        <v>32</v>
      </c>
      <c r="V269" t="s">
        <v>42</v>
      </c>
    </row>
    <row r="270" spans="1:23" x14ac:dyDescent="0.25">
      <c r="A270" t="s">
        <v>568</v>
      </c>
      <c r="B270" s="1">
        <v>45864</v>
      </c>
      <c r="C270" t="s">
        <v>221</v>
      </c>
      <c r="D270" t="s">
        <v>63</v>
      </c>
      <c r="E270" t="s">
        <v>26</v>
      </c>
      <c r="F270" t="s">
        <v>47</v>
      </c>
      <c r="G270" t="s">
        <v>138</v>
      </c>
      <c r="H270">
        <v>3</v>
      </c>
      <c r="I270">
        <v>36716</v>
      </c>
      <c r="J270">
        <v>10</v>
      </c>
      <c r="K270">
        <v>11014.8</v>
      </c>
      <c r="L270">
        <v>99133.2</v>
      </c>
      <c r="M270">
        <v>61411.12</v>
      </c>
      <c r="N270">
        <v>37722.080000000002</v>
      </c>
      <c r="O270" t="s">
        <v>39</v>
      </c>
      <c r="P270">
        <v>343.49</v>
      </c>
      <c r="Q270" t="s">
        <v>30</v>
      </c>
      <c r="R270" t="s">
        <v>41</v>
      </c>
      <c r="S270">
        <v>2</v>
      </c>
      <c r="T270">
        <v>1</v>
      </c>
      <c r="U270" t="s">
        <v>32</v>
      </c>
      <c r="V270" t="s">
        <v>33</v>
      </c>
      <c r="W270">
        <v>5</v>
      </c>
    </row>
    <row r="271" spans="1:23" x14ac:dyDescent="0.25">
      <c r="A271" t="s">
        <v>569</v>
      </c>
      <c r="B271" s="1">
        <v>45831</v>
      </c>
      <c r="C271" t="s">
        <v>570</v>
      </c>
      <c r="D271" t="s">
        <v>63</v>
      </c>
      <c r="E271" t="s">
        <v>46</v>
      </c>
      <c r="F271" t="s">
        <v>86</v>
      </c>
      <c r="G271" t="s">
        <v>180</v>
      </c>
      <c r="H271">
        <v>1</v>
      </c>
      <c r="I271">
        <v>57463</v>
      </c>
      <c r="J271">
        <v>0</v>
      </c>
      <c r="K271">
        <v>0</v>
      </c>
      <c r="L271">
        <v>57463</v>
      </c>
      <c r="M271">
        <v>33836.83</v>
      </c>
      <c r="N271">
        <v>23626.17</v>
      </c>
      <c r="O271" t="s">
        <v>91</v>
      </c>
      <c r="P271">
        <v>1679.68</v>
      </c>
      <c r="Q271" t="s">
        <v>30</v>
      </c>
      <c r="R271" t="s">
        <v>31</v>
      </c>
      <c r="S271">
        <v>5</v>
      </c>
      <c r="T271">
        <v>5</v>
      </c>
      <c r="U271" t="s">
        <v>32</v>
      </c>
      <c r="V271" t="s">
        <v>33</v>
      </c>
      <c r="W271">
        <v>5</v>
      </c>
    </row>
    <row r="272" spans="1:23" x14ac:dyDescent="0.25">
      <c r="A272" t="s">
        <v>571</v>
      </c>
      <c r="B272" s="1">
        <v>45713</v>
      </c>
      <c r="C272" t="s">
        <v>572</v>
      </c>
      <c r="D272" t="s">
        <v>79</v>
      </c>
      <c r="E272" t="s">
        <v>26</v>
      </c>
      <c r="F272" t="s">
        <v>86</v>
      </c>
      <c r="G272" t="s">
        <v>180</v>
      </c>
      <c r="H272">
        <v>1</v>
      </c>
      <c r="I272">
        <v>71234</v>
      </c>
      <c r="J272">
        <v>0</v>
      </c>
      <c r="K272">
        <v>0</v>
      </c>
      <c r="L272">
        <v>71234</v>
      </c>
      <c r="M272">
        <v>51961.18</v>
      </c>
      <c r="N272">
        <v>19272.82</v>
      </c>
      <c r="O272" t="s">
        <v>55</v>
      </c>
      <c r="P272">
        <v>958.61</v>
      </c>
      <c r="Q272" t="s">
        <v>30</v>
      </c>
      <c r="R272" t="s">
        <v>31</v>
      </c>
      <c r="S272">
        <v>5</v>
      </c>
      <c r="T272">
        <v>7</v>
      </c>
      <c r="U272" t="s">
        <v>56</v>
      </c>
      <c r="V272" t="s">
        <v>33</v>
      </c>
      <c r="W272">
        <v>5</v>
      </c>
    </row>
    <row r="273" spans="1:23" x14ac:dyDescent="0.25">
      <c r="A273" t="s">
        <v>573</v>
      </c>
      <c r="B273" s="1">
        <v>45785</v>
      </c>
      <c r="C273" t="s">
        <v>574</v>
      </c>
      <c r="D273" t="s">
        <v>67</v>
      </c>
      <c r="E273" t="s">
        <v>46</v>
      </c>
      <c r="F273" t="s">
        <v>37</v>
      </c>
      <c r="G273" t="s">
        <v>224</v>
      </c>
      <c r="H273">
        <v>2</v>
      </c>
      <c r="I273">
        <v>4216</v>
      </c>
      <c r="J273">
        <v>15</v>
      </c>
      <c r="K273">
        <v>1264.8</v>
      </c>
      <c r="L273">
        <v>7167.2</v>
      </c>
      <c r="M273">
        <v>5788.39</v>
      </c>
      <c r="N273">
        <v>1378.81</v>
      </c>
      <c r="O273" t="s">
        <v>60</v>
      </c>
      <c r="P273">
        <v>1431.2</v>
      </c>
      <c r="Q273" t="s">
        <v>73</v>
      </c>
      <c r="R273" t="s">
        <v>31</v>
      </c>
      <c r="S273">
        <v>5</v>
      </c>
      <c r="T273">
        <v>2</v>
      </c>
      <c r="U273" t="s">
        <v>32</v>
      </c>
      <c r="V273" t="s">
        <v>33</v>
      </c>
      <c r="W273">
        <v>5</v>
      </c>
    </row>
    <row r="274" spans="1:23" x14ac:dyDescent="0.25">
      <c r="A274" t="s">
        <v>575</v>
      </c>
      <c r="B274" s="1">
        <v>45756</v>
      </c>
      <c r="C274" t="s">
        <v>576</v>
      </c>
      <c r="D274" t="s">
        <v>90</v>
      </c>
      <c r="E274" t="s">
        <v>36</v>
      </c>
      <c r="F274" t="s">
        <v>86</v>
      </c>
      <c r="G274" t="s">
        <v>94</v>
      </c>
      <c r="H274">
        <v>2</v>
      </c>
      <c r="I274">
        <v>50572</v>
      </c>
      <c r="J274">
        <v>10</v>
      </c>
      <c r="K274">
        <v>10114.4</v>
      </c>
      <c r="L274">
        <v>91029.6</v>
      </c>
      <c r="M274">
        <v>65987.72</v>
      </c>
      <c r="N274">
        <v>25041.88</v>
      </c>
      <c r="O274" t="s">
        <v>49</v>
      </c>
      <c r="P274">
        <v>347.33</v>
      </c>
      <c r="Q274" t="s">
        <v>73</v>
      </c>
      <c r="R274" t="s">
        <v>31</v>
      </c>
      <c r="S274">
        <v>5</v>
      </c>
      <c r="T274">
        <v>7</v>
      </c>
      <c r="U274" t="s">
        <v>56</v>
      </c>
      <c r="V274" t="s">
        <v>33</v>
      </c>
      <c r="W274">
        <v>4</v>
      </c>
    </row>
    <row r="275" spans="1:23" x14ac:dyDescent="0.25">
      <c r="A275" t="s">
        <v>577</v>
      </c>
      <c r="B275" s="1">
        <v>45755</v>
      </c>
      <c r="C275" t="s">
        <v>578</v>
      </c>
      <c r="D275" t="s">
        <v>67</v>
      </c>
      <c r="E275" t="s">
        <v>36</v>
      </c>
      <c r="F275" t="s">
        <v>27</v>
      </c>
      <c r="G275" t="s">
        <v>164</v>
      </c>
      <c r="H275">
        <v>1</v>
      </c>
      <c r="I275">
        <v>9827</v>
      </c>
      <c r="J275">
        <v>5</v>
      </c>
      <c r="K275">
        <v>491.35</v>
      </c>
      <c r="L275">
        <v>9335.65</v>
      </c>
      <c r="M275">
        <v>6367.78</v>
      </c>
      <c r="N275">
        <v>2967.87</v>
      </c>
      <c r="O275" t="s">
        <v>55</v>
      </c>
      <c r="P275">
        <v>1428.06</v>
      </c>
      <c r="Q275" t="s">
        <v>30</v>
      </c>
      <c r="R275" t="s">
        <v>41</v>
      </c>
      <c r="S275">
        <v>2</v>
      </c>
      <c r="T275">
        <v>2</v>
      </c>
      <c r="U275" t="s">
        <v>32</v>
      </c>
      <c r="V275" t="s">
        <v>33</v>
      </c>
      <c r="W275">
        <v>4</v>
      </c>
    </row>
    <row r="276" spans="1:23" x14ac:dyDescent="0.25">
      <c r="A276" t="s">
        <v>579</v>
      </c>
      <c r="B276" s="1">
        <v>45932</v>
      </c>
      <c r="C276" t="s">
        <v>580</v>
      </c>
      <c r="D276" t="s">
        <v>90</v>
      </c>
      <c r="E276" t="s">
        <v>26</v>
      </c>
      <c r="F276" t="s">
        <v>53</v>
      </c>
      <c r="G276" t="s">
        <v>151</v>
      </c>
      <c r="H276">
        <v>1</v>
      </c>
      <c r="I276">
        <v>24491</v>
      </c>
      <c r="J276">
        <v>0</v>
      </c>
      <c r="K276">
        <v>0</v>
      </c>
      <c r="L276">
        <v>24491</v>
      </c>
      <c r="M276">
        <v>18370.3</v>
      </c>
      <c r="N276">
        <v>6120.7</v>
      </c>
      <c r="O276" t="s">
        <v>39</v>
      </c>
      <c r="P276">
        <v>1891.56</v>
      </c>
      <c r="Q276" t="s">
        <v>30</v>
      </c>
      <c r="R276" t="s">
        <v>31</v>
      </c>
      <c r="S276">
        <v>5</v>
      </c>
      <c r="T276">
        <v>3</v>
      </c>
      <c r="U276" t="s">
        <v>32</v>
      </c>
      <c r="V276" t="s">
        <v>33</v>
      </c>
      <c r="W276">
        <v>1</v>
      </c>
    </row>
    <row r="277" spans="1:23" x14ac:dyDescent="0.25">
      <c r="A277" t="s">
        <v>581</v>
      </c>
      <c r="B277" s="1">
        <v>45887</v>
      </c>
      <c r="C277" t="s">
        <v>582</v>
      </c>
      <c r="D277" t="s">
        <v>124</v>
      </c>
      <c r="E277" t="s">
        <v>26</v>
      </c>
      <c r="F277" t="s">
        <v>53</v>
      </c>
      <c r="G277" t="s">
        <v>54</v>
      </c>
      <c r="H277">
        <v>1</v>
      </c>
      <c r="I277">
        <v>91924</v>
      </c>
      <c r="J277">
        <v>20</v>
      </c>
      <c r="K277">
        <v>18384.8</v>
      </c>
      <c r="L277">
        <v>73539.199999999997</v>
      </c>
      <c r="M277">
        <v>52582.81</v>
      </c>
      <c r="N277">
        <v>20956.39</v>
      </c>
      <c r="O277" t="s">
        <v>49</v>
      </c>
      <c r="P277">
        <v>417.86</v>
      </c>
      <c r="Q277" t="s">
        <v>83</v>
      </c>
      <c r="R277" t="s">
        <v>31</v>
      </c>
      <c r="S277">
        <v>5</v>
      </c>
      <c r="T277">
        <v>6</v>
      </c>
      <c r="U277" t="s">
        <v>32</v>
      </c>
      <c r="V277" t="s">
        <v>42</v>
      </c>
    </row>
    <row r="278" spans="1:23" x14ac:dyDescent="0.25">
      <c r="A278" t="s">
        <v>583</v>
      </c>
      <c r="B278" s="1">
        <v>45729</v>
      </c>
      <c r="C278" t="s">
        <v>584</v>
      </c>
      <c r="D278" t="s">
        <v>79</v>
      </c>
      <c r="E278" t="s">
        <v>46</v>
      </c>
      <c r="F278" t="s">
        <v>27</v>
      </c>
      <c r="G278" t="s">
        <v>28</v>
      </c>
      <c r="H278">
        <v>2</v>
      </c>
      <c r="I278">
        <v>14124</v>
      </c>
      <c r="J278">
        <v>25</v>
      </c>
      <c r="K278">
        <v>7062</v>
      </c>
      <c r="L278">
        <v>21186</v>
      </c>
      <c r="M278">
        <v>12437.85</v>
      </c>
      <c r="N278">
        <v>8748.15</v>
      </c>
      <c r="O278" t="s">
        <v>91</v>
      </c>
      <c r="P278">
        <v>598.92999999999995</v>
      </c>
      <c r="Q278" t="s">
        <v>83</v>
      </c>
      <c r="R278" t="s">
        <v>31</v>
      </c>
      <c r="S278">
        <v>5</v>
      </c>
      <c r="T278">
        <v>5</v>
      </c>
      <c r="U278" t="s">
        <v>32</v>
      </c>
      <c r="V278" t="s">
        <v>33</v>
      </c>
      <c r="W278">
        <v>5</v>
      </c>
    </row>
    <row r="279" spans="1:23" x14ac:dyDescent="0.25">
      <c r="A279" t="s">
        <v>585</v>
      </c>
      <c r="B279" s="1">
        <v>45874</v>
      </c>
      <c r="C279" t="s">
        <v>535</v>
      </c>
      <c r="D279" t="s">
        <v>71</v>
      </c>
      <c r="E279" t="s">
        <v>26</v>
      </c>
      <c r="F279" t="s">
        <v>53</v>
      </c>
      <c r="G279" t="s">
        <v>59</v>
      </c>
      <c r="H279">
        <v>2</v>
      </c>
      <c r="I279">
        <v>66496</v>
      </c>
      <c r="J279">
        <v>0</v>
      </c>
      <c r="K279">
        <v>0</v>
      </c>
      <c r="L279">
        <v>132992</v>
      </c>
      <c r="M279">
        <v>101550.58</v>
      </c>
      <c r="N279">
        <v>31441.42</v>
      </c>
      <c r="O279" t="s">
        <v>91</v>
      </c>
      <c r="P279">
        <v>235.95</v>
      </c>
      <c r="Q279" t="s">
        <v>30</v>
      </c>
      <c r="R279" t="s">
        <v>41</v>
      </c>
      <c r="S279">
        <v>2</v>
      </c>
      <c r="T279">
        <v>6</v>
      </c>
      <c r="U279" t="s">
        <v>32</v>
      </c>
      <c r="V279" t="s">
        <v>50</v>
      </c>
      <c r="W279">
        <v>2</v>
      </c>
    </row>
    <row r="280" spans="1:23" x14ac:dyDescent="0.25">
      <c r="A280" t="s">
        <v>586</v>
      </c>
      <c r="B280" s="1">
        <v>45751</v>
      </c>
      <c r="C280" t="s">
        <v>587</v>
      </c>
      <c r="D280" t="s">
        <v>154</v>
      </c>
      <c r="E280" t="s">
        <v>26</v>
      </c>
      <c r="F280" t="s">
        <v>53</v>
      </c>
      <c r="G280" t="s">
        <v>151</v>
      </c>
      <c r="H280">
        <v>2</v>
      </c>
      <c r="I280">
        <v>46189</v>
      </c>
      <c r="J280">
        <v>5</v>
      </c>
      <c r="K280">
        <v>4618.8999999999996</v>
      </c>
      <c r="L280">
        <v>87759.1</v>
      </c>
      <c r="M280">
        <v>51657.97</v>
      </c>
      <c r="N280">
        <v>36101.129999999997</v>
      </c>
      <c r="O280" t="s">
        <v>55</v>
      </c>
      <c r="P280">
        <v>750.28</v>
      </c>
      <c r="Q280" t="s">
        <v>68</v>
      </c>
      <c r="R280" t="s">
        <v>41</v>
      </c>
      <c r="S280">
        <v>2</v>
      </c>
      <c r="T280">
        <v>2</v>
      </c>
      <c r="U280" t="s">
        <v>32</v>
      </c>
      <c r="V280" t="s">
        <v>33</v>
      </c>
      <c r="W280">
        <v>4</v>
      </c>
    </row>
    <row r="281" spans="1:23" x14ac:dyDescent="0.25">
      <c r="A281" t="s">
        <v>588</v>
      </c>
      <c r="B281" s="1">
        <v>45800</v>
      </c>
      <c r="C281" t="s">
        <v>96</v>
      </c>
      <c r="D281" t="s">
        <v>67</v>
      </c>
      <c r="E281" t="s">
        <v>36</v>
      </c>
      <c r="F281" t="s">
        <v>37</v>
      </c>
      <c r="G281" t="s">
        <v>224</v>
      </c>
      <c r="H281">
        <v>2</v>
      </c>
      <c r="I281">
        <v>4299</v>
      </c>
      <c r="J281">
        <v>25</v>
      </c>
      <c r="K281">
        <v>2149.5</v>
      </c>
      <c r="L281">
        <v>6448.5</v>
      </c>
      <c r="M281">
        <v>3956.94</v>
      </c>
      <c r="N281">
        <v>2491.56</v>
      </c>
      <c r="O281" t="s">
        <v>29</v>
      </c>
      <c r="P281">
        <v>1032.3699999999999</v>
      </c>
      <c r="Q281" t="s">
        <v>40</v>
      </c>
      <c r="R281" t="s">
        <v>31</v>
      </c>
      <c r="S281">
        <v>5</v>
      </c>
      <c r="T281">
        <v>4</v>
      </c>
      <c r="U281" t="s">
        <v>32</v>
      </c>
      <c r="V281" t="s">
        <v>33</v>
      </c>
      <c r="W281">
        <v>5</v>
      </c>
    </row>
    <row r="282" spans="1:23" x14ac:dyDescent="0.25">
      <c r="A282" t="s">
        <v>589</v>
      </c>
      <c r="B282" s="1">
        <v>45894</v>
      </c>
      <c r="C282" t="s">
        <v>398</v>
      </c>
      <c r="D282" t="s">
        <v>124</v>
      </c>
      <c r="E282" t="s">
        <v>46</v>
      </c>
      <c r="F282" t="s">
        <v>37</v>
      </c>
      <c r="G282" t="s">
        <v>161</v>
      </c>
      <c r="H282">
        <v>1</v>
      </c>
      <c r="I282">
        <v>15555</v>
      </c>
      <c r="J282">
        <v>0</v>
      </c>
      <c r="K282">
        <v>0</v>
      </c>
      <c r="L282">
        <v>15555</v>
      </c>
      <c r="M282">
        <v>11369.75</v>
      </c>
      <c r="N282">
        <v>4185.25</v>
      </c>
      <c r="O282" t="s">
        <v>39</v>
      </c>
      <c r="P282">
        <v>1037.6400000000001</v>
      </c>
      <c r="Q282" t="s">
        <v>68</v>
      </c>
      <c r="R282" t="s">
        <v>31</v>
      </c>
      <c r="S282">
        <v>5</v>
      </c>
      <c r="T282">
        <v>5</v>
      </c>
      <c r="U282" t="s">
        <v>32</v>
      </c>
      <c r="V282" t="s">
        <v>33</v>
      </c>
      <c r="W282">
        <v>5</v>
      </c>
    </row>
    <row r="283" spans="1:23" x14ac:dyDescent="0.25">
      <c r="A283" t="s">
        <v>590</v>
      </c>
      <c r="B283" s="1">
        <v>45785</v>
      </c>
      <c r="C283" t="s">
        <v>591</v>
      </c>
      <c r="D283" t="s">
        <v>45</v>
      </c>
      <c r="E283" t="s">
        <v>46</v>
      </c>
      <c r="F283" t="s">
        <v>27</v>
      </c>
      <c r="G283" t="s">
        <v>72</v>
      </c>
      <c r="H283">
        <v>2</v>
      </c>
      <c r="I283">
        <v>29239</v>
      </c>
      <c r="J283">
        <v>20</v>
      </c>
      <c r="K283">
        <v>11695.6</v>
      </c>
      <c r="L283">
        <v>46782.400000000001</v>
      </c>
      <c r="M283">
        <v>32234.2</v>
      </c>
      <c r="N283">
        <v>14548.2</v>
      </c>
      <c r="O283" t="s">
        <v>60</v>
      </c>
      <c r="P283">
        <v>1223.0899999999999</v>
      </c>
      <c r="Q283" t="s">
        <v>40</v>
      </c>
      <c r="R283" t="s">
        <v>31</v>
      </c>
      <c r="S283">
        <v>5</v>
      </c>
      <c r="T283">
        <v>6</v>
      </c>
      <c r="U283" t="s">
        <v>56</v>
      </c>
      <c r="V283" t="s">
        <v>33</v>
      </c>
      <c r="W283">
        <v>5</v>
      </c>
    </row>
    <row r="284" spans="1:23" x14ac:dyDescent="0.25">
      <c r="A284" t="s">
        <v>592</v>
      </c>
      <c r="B284" s="1">
        <v>45696</v>
      </c>
      <c r="C284" t="s">
        <v>593</v>
      </c>
      <c r="D284" t="s">
        <v>25</v>
      </c>
      <c r="E284" t="s">
        <v>26</v>
      </c>
      <c r="F284" t="s">
        <v>86</v>
      </c>
      <c r="G284" t="s">
        <v>127</v>
      </c>
      <c r="H284">
        <v>1</v>
      </c>
      <c r="I284">
        <v>60079</v>
      </c>
      <c r="J284">
        <v>5</v>
      </c>
      <c r="K284">
        <v>3003.95</v>
      </c>
      <c r="L284">
        <v>57075.05</v>
      </c>
      <c r="M284">
        <v>32524.39</v>
      </c>
      <c r="N284">
        <v>24550.66</v>
      </c>
      <c r="O284" t="s">
        <v>91</v>
      </c>
      <c r="P284">
        <v>2248.12</v>
      </c>
      <c r="Q284" t="s">
        <v>68</v>
      </c>
      <c r="R284" t="s">
        <v>41</v>
      </c>
      <c r="S284">
        <v>2</v>
      </c>
      <c r="T284">
        <v>0</v>
      </c>
      <c r="U284" t="s">
        <v>32</v>
      </c>
      <c r="V284" t="s">
        <v>42</v>
      </c>
    </row>
    <row r="285" spans="1:23" x14ac:dyDescent="0.25">
      <c r="A285" t="s">
        <v>594</v>
      </c>
      <c r="B285" s="1">
        <v>45884</v>
      </c>
      <c r="C285" t="s">
        <v>595</v>
      </c>
      <c r="D285" t="s">
        <v>154</v>
      </c>
      <c r="E285" t="s">
        <v>46</v>
      </c>
      <c r="F285" t="s">
        <v>47</v>
      </c>
      <c r="G285" t="s">
        <v>64</v>
      </c>
      <c r="H285">
        <v>1</v>
      </c>
      <c r="I285">
        <v>48420</v>
      </c>
      <c r="J285">
        <v>10</v>
      </c>
      <c r="K285">
        <v>4842</v>
      </c>
      <c r="L285">
        <v>43578</v>
      </c>
      <c r="M285">
        <v>25464.68</v>
      </c>
      <c r="N285">
        <v>18113.32</v>
      </c>
      <c r="O285" t="s">
        <v>60</v>
      </c>
      <c r="P285">
        <v>455.55</v>
      </c>
      <c r="Q285" t="s">
        <v>30</v>
      </c>
      <c r="R285" t="s">
        <v>31</v>
      </c>
      <c r="S285">
        <v>5</v>
      </c>
      <c r="T285">
        <v>2</v>
      </c>
      <c r="U285" t="s">
        <v>32</v>
      </c>
      <c r="V285" t="s">
        <v>50</v>
      </c>
      <c r="W285">
        <v>2</v>
      </c>
    </row>
    <row r="286" spans="1:23" x14ac:dyDescent="0.25">
      <c r="A286" t="s">
        <v>596</v>
      </c>
      <c r="B286" s="1">
        <v>45939</v>
      </c>
      <c r="C286" t="s">
        <v>597</v>
      </c>
      <c r="D286" t="s">
        <v>25</v>
      </c>
      <c r="E286" t="s">
        <v>36</v>
      </c>
      <c r="F286" t="s">
        <v>27</v>
      </c>
      <c r="G286" t="s">
        <v>113</v>
      </c>
      <c r="H286">
        <v>2</v>
      </c>
      <c r="I286">
        <v>22443</v>
      </c>
      <c r="J286">
        <v>0</v>
      </c>
      <c r="K286">
        <v>0</v>
      </c>
      <c r="L286">
        <v>44886</v>
      </c>
      <c r="M286">
        <v>29676.74</v>
      </c>
      <c r="N286">
        <v>15209.26</v>
      </c>
      <c r="O286" t="s">
        <v>91</v>
      </c>
      <c r="P286">
        <v>2490.0300000000002</v>
      </c>
      <c r="Q286" t="s">
        <v>40</v>
      </c>
      <c r="R286" t="s">
        <v>41</v>
      </c>
      <c r="S286">
        <v>2</v>
      </c>
      <c r="T286">
        <v>6</v>
      </c>
      <c r="U286" t="s">
        <v>32</v>
      </c>
      <c r="V286" t="s">
        <v>42</v>
      </c>
    </row>
    <row r="287" spans="1:23" x14ac:dyDescent="0.25">
      <c r="A287" t="s">
        <v>598</v>
      </c>
      <c r="B287" s="1">
        <v>45708</v>
      </c>
      <c r="C287" t="s">
        <v>599</v>
      </c>
      <c r="D287" t="s">
        <v>90</v>
      </c>
      <c r="E287" t="s">
        <v>46</v>
      </c>
      <c r="F287" t="s">
        <v>27</v>
      </c>
      <c r="G287" t="s">
        <v>113</v>
      </c>
      <c r="H287">
        <v>3</v>
      </c>
      <c r="I287">
        <v>22487</v>
      </c>
      <c r="J287">
        <v>0</v>
      </c>
      <c r="K287">
        <v>0</v>
      </c>
      <c r="L287">
        <v>67461</v>
      </c>
      <c r="M287">
        <v>53747.11</v>
      </c>
      <c r="N287">
        <v>13713.89</v>
      </c>
      <c r="O287" t="s">
        <v>49</v>
      </c>
      <c r="P287">
        <v>68.03</v>
      </c>
      <c r="Q287" t="s">
        <v>30</v>
      </c>
      <c r="R287" t="s">
        <v>41</v>
      </c>
      <c r="S287">
        <v>2</v>
      </c>
      <c r="T287">
        <v>1</v>
      </c>
      <c r="U287" t="s">
        <v>32</v>
      </c>
      <c r="V287" t="s">
        <v>33</v>
      </c>
      <c r="W287">
        <v>1</v>
      </c>
    </row>
    <row r="288" spans="1:23" x14ac:dyDescent="0.25">
      <c r="A288" t="s">
        <v>600</v>
      </c>
      <c r="B288" s="1">
        <v>45683</v>
      </c>
      <c r="C288" t="s">
        <v>601</v>
      </c>
      <c r="D288" t="s">
        <v>97</v>
      </c>
      <c r="E288" t="s">
        <v>26</v>
      </c>
      <c r="F288" t="s">
        <v>37</v>
      </c>
      <c r="G288" t="s">
        <v>224</v>
      </c>
      <c r="H288">
        <v>2</v>
      </c>
      <c r="I288">
        <v>19762</v>
      </c>
      <c r="J288">
        <v>0</v>
      </c>
      <c r="K288">
        <v>0</v>
      </c>
      <c r="L288">
        <v>39524</v>
      </c>
      <c r="M288">
        <v>27698.080000000002</v>
      </c>
      <c r="N288">
        <v>11825.92</v>
      </c>
      <c r="O288" t="s">
        <v>60</v>
      </c>
      <c r="P288">
        <v>505.24</v>
      </c>
      <c r="Q288" t="s">
        <v>73</v>
      </c>
      <c r="R288" t="s">
        <v>41</v>
      </c>
      <c r="S288">
        <v>2</v>
      </c>
      <c r="T288">
        <v>1</v>
      </c>
      <c r="U288" t="s">
        <v>32</v>
      </c>
      <c r="V288" t="s">
        <v>33</v>
      </c>
      <c r="W288">
        <v>2</v>
      </c>
    </row>
    <row r="289" spans="1:23" x14ac:dyDescent="0.25">
      <c r="A289" t="s">
        <v>602</v>
      </c>
      <c r="B289" s="1">
        <v>45991</v>
      </c>
      <c r="C289" t="s">
        <v>195</v>
      </c>
      <c r="D289" t="s">
        <v>67</v>
      </c>
      <c r="E289" t="s">
        <v>46</v>
      </c>
      <c r="F289" t="s">
        <v>47</v>
      </c>
      <c r="G289" t="s">
        <v>138</v>
      </c>
      <c r="H289">
        <v>2</v>
      </c>
      <c r="I289">
        <v>45250</v>
      </c>
      <c r="J289">
        <v>0</v>
      </c>
      <c r="K289">
        <v>0</v>
      </c>
      <c r="L289">
        <v>90500</v>
      </c>
      <c r="M289">
        <v>71136.05</v>
      </c>
      <c r="N289">
        <v>19363.95</v>
      </c>
      <c r="O289" t="s">
        <v>49</v>
      </c>
      <c r="P289">
        <v>442.2</v>
      </c>
      <c r="Q289" t="s">
        <v>30</v>
      </c>
      <c r="R289" t="s">
        <v>31</v>
      </c>
      <c r="S289">
        <v>5</v>
      </c>
      <c r="T289">
        <v>6</v>
      </c>
      <c r="U289" t="s">
        <v>56</v>
      </c>
      <c r="V289" t="s">
        <v>33</v>
      </c>
      <c r="W289">
        <v>5</v>
      </c>
    </row>
    <row r="290" spans="1:23" x14ac:dyDescent="0.25">
      <c r="A290" t="s">
        <v>603</v>
      </c>
      <c r="B290" s="1">
        <v>45934</v>
      </c>
      <c r="C290" t="s">
        <v>604</v>
      </c>
      <c r="D290" t="s">
        <v>25</v>
      </c>
      <c r="E290" t="s">
        <v>46</v>
      </c>
      <c r="F290" t="s">
        <v>53</v>
      </c>
      <c r="G290" t="s">
        <v>151</v>
      </c>
      <c r="H290">
        <v>1</v>
      </c>
      <c r="I290">
        <v>44361</v>
      </c>
      <c r="J290">
        <v>0</v>
      </c>
      <c r="K290">
        <v>0</v>
      </c>
      <c r="L290">
        <v>44361</v>
      </c>
      <c r="M290">
        <v>31830.03</v>
      </c>
      <c r="N290">
        <v>12530.97</v>
      </c>
      <c r="O290" t="s">
        <v>29</v>
      </c>
      <c r="P290">
        <v>2374.2399999999998</v>
      </c>
      <c r="Q290" t="s">
        <v>73</v>
      </c>
      <c r="R290" t="s">
        <v>31</v>
      </c>
      <c r="S290">
        <v>5</v>
      </c>
      <c r="T290">
        <v>5</v>
      </c>
      <c r="U290" t="s">
        <v>32</v>
      </c>
      <c r="V290" t="s">
        <v>33</v>
      </c>
      <c r="W290">
        <v>5</v>
      </c>
    </row>
    <row r="291" spans="1:23" x14ac:dyDescent="0.25">
      <c r="A291" t="s">
        <v>605</v>
      </c>
      <c r="B291" s="1">
        <v>45665</v>
      </c>
      <c r="C291" t="s">
        <v>606</v>
      </c>
      <c r="D291" t="s">
        <v>25</v>
      </c>
      <c r="E291" t="s">
        <v>26</v>
      </c>
      <c r="F291" t="s">
        <v>53</v>
      </c>
      <c r="G291" t="s">
        <v>151</v>
      </c>
      <c r="H291">
        <v>1</v>
      </c>
      <c r="I291">
        <v>31972</v>
      </c>
      <c r="J291">
        <v>25</v>
      </c>
      <c r="K291">
        <v>7993</v>
      </c>
      <c r="L291">
        <v>23979</v>
      </c>
      <c r="M291">
        <v>17780.93</v>
      </c>
      <c r="N291">
        <v>6198.07</v>
      </c>
      <c r="O291" t="s">
        <v>60</v>
      </c>
      <c r="P291">
        <v>748.86</v>
      </c>
      <c r="Q291" t="s">
        <v>83</v>
      </c>
      <c r="R291" t="s">
        <v>31</v>
      </c>
      <c r="S291">
        <v>5</v>
      </c>
      <c r="T291">
        <v>3</v>
      </c>
      <c r="U291" t="s">
        <v>32</v>
      </c>
      <c r="V291" t="s">
        <v>33</v>
      </c>
      <c r="W291">
        <v>3</v>
      </c>
    </row>
    <row r="292" spans="1:23" x14ac:dyDescent="0.25">
      <c r="A292" t="s">
        <v>607</v>
      </c>
      <c r="B292" s="1">
        <v>45705</v>
      </c>
      <c r="C292" t="s">
        <v>608</v>
      </c>
      <c r="D292" t="s">
        <v>124</v>
      </c>
      <c r="E292" t="s">
        <v>46</v>
      </c>
      <c r="F292" t="s">
        <v>27</v>
      </c>
      <c r="G292" t="s">
        <v>28</v>
      </c>
      <c r="H292">
        <v>1</v>
      </c>
      <c r="I292">
        <v>5284</v>
      </c>
      <c r="J292">
        <v>10</v>
      </c>
      <c r="K292">
        <v>528.4</v>
      </c>
      <c r="L292">
        <v>4755.6000000000004</v>
      </c>
      <c r="M292">
        <v>3058.86</v>
      </c>
      <c r="N292">
        <v>1696.74</v>
      </c>
      <c r="O292" t="s">
        <v>39</v>
      </c>
      <c r="P292">
        <v>1832.6</v>
      </c>
      <c r="Q292" t="s">
        <v>40</v>
      </c>
      <c r="R292" t="s">
        <v>31</v>
      </c>
      <c r="S292">
        <v>5</v>
      </c>
      <c r="T292">
        <v>4</v>
      </c>
      <c r="U292" t="s">
        <v>32</v>
      </c>
      <c r="V292" t="s">
        <v>33</v>
      </c>
      <c r="W292">
        <v>4</v>
      </c>
    </row>
    <row r="293" spans="1:23" x14ac:dyDescent="0.25">
      <c r="A293" t="s">
        <v>609</v>
      </c>
      <c r="B293" s="1">
        <v>45779</v>
      </c>
      <c r="C293" t="s">
        <v>610</v>
      </c>
      <c r="D293" t="s">
        <v>79</v>
      </c>
      <c r="E293" t="s">
        <v>36</v>
      </c>
      <c r="F293" t="s">
        <v>86</v>
      </c>
      <c r="G293" t="s">
        <v>127</v>
      </c>
      <c r="H293">
        <v>1</v>
      </c>
      <c r="I293">
        <v>29437</v>
      </c>
      <c r="J293">
        <v>0</v>
      </c>
      <c r="K293">
        <v>0</v>
      </c>
      <c r="L293">
        <v>29437</v>
      </c>
      <c r="M293">
        <v>17499.91</v>
      </c>
      <c r="N293">
        <v>11937.09</v>
      </c>
      <c r="O293" t="s">
        <v>91</v>
      </c>
      <c r="P293">
        <v>546.15</v>
      </c>
      <c r="Q293" t="s">
        <v>68</v>
      </c>
      <c r="R293" t="s">
        <v>31</v>
      </c>
      <c r="S293">
        <v>5</v>
      </c>
      <c r="T293">
        <v>4</v>
      </c>
      <c r="U293" t="s">
        <v>32</v>
      </c>
      <c r="V293" t="s">
        <v>33</v>
      </c>
      <c r="W293">
        <v>4</v>
      </c>
    </row>
    <row r="294" spans="1:23" x14ac:dyDescent="0.25">
      <c r="A294" t="s">
        <v>611</v>
      </c>
      <c r="B294" s="1">
        <v>45743</v>
      </c>
      <c r="C294" t="s">
        <v>612</v>
      </c>
      <c r="D294" t="s">
        <v>71</v>
      </c>
      <c r="E294" t="s">
        <v>26</v>
      </c>
      <c r="F294" t="s">
        <v>37</v>
      </c>
      <c r="G294" t="s">
        <v>224</v>
      </c>
      <c r="H294">
        <v>1</v>
      </c>
      <c r="I294">
        <v>5407</v>
      </c>
      <c r="J294">
        <v>10</v>
      </c>
      <c r="K294">
        <v>540.70000000000005</v>
      </c>
      <c r="L294">
        <v>4866.3</v>
      </c>
      <c r="M294">
        <v>2924.87</v>
      </c>
      <c r="N294">
        <v>1941.43</v>
      </c>
      <c r="O294" t="s">
        <v>49</v>
      </c>
      <c r="P294">
        <v>476.35</v>
      </c>
      <c r="Q294" t="s">
        <v>73</v>
      </c>
      <c r="R294" t="s">
        <v>31</v>
      </c>
      <c r="S294">
        <v>5</v>
      </c>
      <c r="T294">
        <v>3</v>
      </c>
      <c r="U294" t="s">
        <v>32</v>
      </c>
      <c r="V294" t="s">
        <v>33</v>
      </c>
      <c r="W294">
        <v>5</v>
      </c>
    </row>
    <row r="295" spans="1:23" x14ac:dyDescent="0.25">
      <c r="A295" t="s">
        <v>613</v>
      </c>
      <c r="B295" s="1">
        <v>45866</v>
      </c>
      <c r="C295" t="s">
        <v>245</v>
      </c>
      <c r="D295" t="s">
        <v>25</v>
      </c>
      <c r="E295" t="s">
        <v>26</v>
      </c>
      <c r="F295" t="s">
        <v>27</v>
      </c>
      <c r="G295" t="s">
        <v>28</v>
      </c>
      <c r="H295">
        <v>2</v>
      </c>
      <c r="I295">
        <v>18507</v>
      </c>
      <c r="J295">
        <v>0</v>
      </c>
      <c r="K295">
        <v>0</v>
      </c>
      <c r="L295">
        <v>37014</v>
      </c>
      <c r="M295">
        <v>29334.93</v>
      </c>
      <c r="N295">
        <v>7679.07</v>
      </c>
      <c r="O295" t="s">
        <v>60</v>
      </c>
      <c r="P295">
        <v>798.02</v>
      </c>
      <c r="Q295" t="s">
        <v>30</v>
      </c>
      <c r="R295" t="s">
        <v>31</v>
      </c>
      <c r="S295">
        <v>5</v>
      </c>
      <c r="T295">
        <v>6</v>
      </c>
      <c r="U295" t="s">
        <v>56</v>
      </c>
      <c r="V295" t="s">
        <v>33</v>
      </c>
      <c r="W295">
        <v>5</v>
      </c>
    </row>
    <row r="296" spans="1:23" x14ac:dyDescent="0.25">
      <c r="A296" t="s">
        <v>614</v>
      </c>
      <c r="B296" s="1">
        <v>45906</v>
      </c>
      <c r="C296" t="s">
        <v>615</v>
      </c>
      <c r="D296" t="s">
        <v>154</v>
      </c>
      <c r="E296" t="s">
        <v>46</v>
      </c>
      <c r="F296" t="s">
        <v>86</v>
      </c>
      <c r="G296" t="s">
        <v>94</v>
      </c>
      <c r="H296">
        <v>3</v>
      </c>
      <c r="I296">
        <v>76165</v>
      </c>
      <c r="J296">
        <v>0</v>
      </c>
      <c r="K296">
        <v>0</v>
      </c>
      <c r="L296">
        <v>228495</v>
      </c>
      <c r="M296">
        <v>177453.68</v>
      </c>
      <c r="N296">
        <v>51041.32</v>
      </c>
      <c r="O296" t="s">
        <v>39</v>
      </c>
      <c r="P296">
        <v>468.91</v>
      </c>
      <c r="Q296" t="s">
        <v>73</v>
      </c>
      <c r="R296" t="s">
        <v>31</v>
      </c>
      <c r="S296">
        <v>5</v>
      </c>
      <c r="T296">
        <v>1</v>
      </c>
      <c r="U296" t="s">
        <v>32</v>
      </c>
      <c r="V296" t="s">
        <v>50</v>
      </c>
      <c r="W296">
        <v>2</v>
      </c>
    </row>
    <row r="297" spans="1:23" x14ac:dyDescent="0.25">
      <c r="A297" t="s">
        <v>616</v>
      </c>
      <c r="B297" s="1">
        <v>45904</v>
      </c>
      <c r="C297" t="s">
        <v>137</v>
      </c>
      <c r="D297" t="s">
        <v>63</v>
      </c>
      <c r="E297" t="s">
        <v>46</v>
      </c>
      <c r="F297" t="s">
        <v>37</v>
      </c>
      <c r="G297" t="s">
        <v>161</v>
      </c>
      <c r="H297">
        <v>2</v>
      </c>
      <c r="I297">
        <v>13695</v>
      </c>
      <c r="J297">
        <v>10</v>
      </c>
      <c r="K297">
        <v>2739</v>
      </c>
      <c r="L297">
        <v>24651</v>
      </c>
      <c r="M297">
        <v>16542.689999999999</v>
      </c>
      <c r="N297">
        <v>8108.31</v>
      </c>
      <c r="O297" t="s">
        <v>39</v>
      </c>
      <c r="P297">
        <v>2317</v>
      </c>
      <c r="Q297" t="s">
        <v>30</v>
      </c>
      <c r="R297" t="s">
        <v>41</v>
      </c>
      <c r="S297">
        <v>2</v>
      </c>
      <c r="T297">
        <v>1</v>
      </c>
      <c r="U297" t="s">
        <v>32</v>
      </c>
      <c r="V297" t="s">
        <v>33</v>
      </c>
      <c r="W297">
        <v>1</v>
      </c>
    </row>
    <row r="298" spans="1:23" x14ac:dyDescent="0.25">
      <c r="A298" t="s">
        <v>617</v>
      </c>
      <c r="B298" s="1">
        <v>45767</v>
      </c>
      <c r="C298" t="s">
        <v>618</v>
      </c>
      <c r="D298" t="s">
        <v>25</v>
      </c>
      <c r="E298" t="s">
        <v>46</v>
      </c>
      <c r="F298" t="s">
        <v>27</v>
      </c>
      <c r="G298" t="s">
        <v>76</v>
      </c>
      <c r="H298">
        <v>2</v>
      </c>
      <c r="I298">
        <v>19029</v>
      </c>
      <c r="J298">
        <v>0</v>
      </c>
      <c r="K298">
        <v>0</v>
      </c>
      <c r="L298">
        <v>38058</v>
      </c>
      <c r="M298">
        <v>29148.07</v>
      </c>
      <c r="N298">
        <v>8909.93</v>
      </c>
      <c r="O298" t="s">
        <v>91</v>
      </c>
      <c r="P298">
        <v>458.33</v>
      </c>
      <c r="Q298" t="s">
        <v>30</v>
      </c>
      <c r="R298" t="s">
        <v>41</v>
      </c>
      <c r="S298">
        <v>2</v>
      </c>
      <c r="T298">
        <v>2</v>
      </c>
      <c r="U298" t="s">
        <v>32</v>
      </c>
      <c r="V298" t="s">
        <v>50</v>
      </c>
      <c r="W298">
        <v>5</v>
      </c>
    </row>
    <row r="299" spans="1:23" x14ac:dyDescent="0.25">
      <c r="A299" t="s">
        <v>619</v>
      </c>
      <c r="B299" s="1">
        <v>45863</v>
      </c>
      <c r="C299" t="s">
        <v>620</v>
      </c>
      <c r="D299" t="s">
        <v>79</v>
      </c>
      <c r="E299" t="s">
        <v>46</v>
      </c>
      <c r="F299" t="s">
        <v>53</v>
      </c>
      <c r="G299" t="s">
        <v>268</v>
      </c>
      <c r="H299">
        <v>2</v>
      </c>
      <c r="I299">
        <v>37883</v>
      </c>
      <c r="J299">
        <v>0</v>
      </c>
      <c r="K299">
        <v>0</v>
      </c>
      <c r="L299">
        <v>75766</v>
      </c>
      <c r="M299">
        <v>54112.14</v>
      </c>
      <c r="N299">
        <v>21653.86</v>
      </c>
      <c r="O299" t="s">
        <v>39</v>
      </c>
      <c r="P299">
        <v>2352.0300000000002</v>
      </c>
      <c r="Q299" t="s">
        <v>73</v>
      </c>
      <c r="R299" t="s">
        <v>31</v>
      </c>
      <c r="S299">
        <v>5</v>
      </c>
      <c r="T299">
        <v>5</v>
      </c>
      <c r="U299" t="s">
        <v>32</v>
      </c>
      <c r="V299" t="s">
        <v>33</v>
      </c>
      <c r="W299">
        <v>5</v>
      </c>
    </row>
    <row r="300" spans="1:23" x14ac:dyDescent="0.25">
      <c r="A300" t="s">
        <v>621</v>
      </c>
      <c r="B300" s="1">
        <v>45688</v>
      </c>
      <c r="C300" t="s">
        <v>622</v>
      </c>
      <c r="D300" t="s">
        <v>97</v>
      </c>
      <c r="E300" t="s">
        <v>26</v>
      </c>
      <c r="F300" t="s">
        <v>47</v>
      </c>
      <c r="G300" t="s">
        <v>138</v>
      </c>
      <c r="H300">
        <v>3</v>
      </c>
      <c r="I300">
        <v>32848</v>
      </c>
      <c r="J300">
        <v>25</v>
      </c>
      <c r="K300">
        <v>24636</v>
      </c>
      <c r="L300">
        <v>73908</v>
      </c>
      <c r="M300">
        <v>59475.14</v>
      </c>
      <c r="N300">
        <v>14432.86</v>
      </c>
      <c r="O300" t="s">
        <v>60</v>
      </c>
      <c r="P300">
        <v>1846.72</v>
      </c>
      <c r="Q300" t="s">
        <v>30</v>
      </c>
      <c r="R300" t="s">
        <v>41</v>
      </c>
      <c r="S300">
        <v>2</v>
      </c>
      <c r="T300">
        <v>3</v>
      </c>
      <c r="U300" t="s">
        <v>32</v>
      </c>
      <c r="V300" t="s">
        <v>50</v>
      </c>
      <c r="W300">
        <v>2</v>
      </c>
    </row>
    <row r="301" spans="1:23" x14ac:dyDescent="0.25">
      <c r="A301" t="s">
        <v>623</v>
      </c>
      <c r="B301" s="1">
        <v>45742</v>
      </c>
      <c r="C301" t="s">
        <v>624</v>
      </c>
      <c r="D301" t="s">
        <v>90</v>
      </c>
      <c r="E301" t="s">
        <v>46</v>
      </c>
      <c r="F301" t="s">
        <v>86</v>
      </c>
      <c r="G301" t="s">
        <v>127</v>
      </c>
      <c r="H301">
        <v>1</v>
      </c>
      <c r="I301">
        <v>17481</v>
      </c>
      <c r="J301">
        <v>15</v>
      </c>
      <c r="K301">
        <v>2622.15</v>
      </c>
      <c r="L301">
        <v>14858.85</v>
      </c>
      <c r="M301">
        <v>11396.66</v>
      </c>
      <c r="N301">
        <v>3462.19</v>
      </c>
      <c r="O301" t="s">
        <v>39</v>
      </c>
      <c r="P301">
        <v>1874.4</v>
      </c>
      <c r="Q301" t="s">
        <v>30</v>
      </c>
      <c r="R301" t="s">
        <v>31</v>
      </c>
      <c r="S301">
        <v>5</v>
      </c>
      <c r="T301">
        <v>6</v>
      </c>
      <c r="U301" t="s">
        <v>56</v>
      </c>
      <c r="V301" t="s">
        <v>33</v>
      </c>
      <c r="W301">
        <v>5</v>
      </c>
    </row>
    <row r="302" spans="1:23" x14ac:dyDescent="0.25">
      <c r="A302" t="s">
        <v>625</v>
      </c>
      <c r="B302" s="1">
        <v>45852</v>
      </c>
      <c r="C302" t="s">
        <v>423</v>
      </c>
      <c r="D302" t="s">
        <v>154</v>
      </c>
      <c r="E302" t="s">
        <v>46</v>
      </c>
      <c r="F302" t="s">
        <v>27</v>
      </c>
      <c r="G302" t="s">
        <v>76</v>
      </c>
      <c r="H302">
        <v>4</v>
      </c>
      <c r="I302">
        <v>22855</v>
      </c>
      <c r="J302">
        <v>0</v>
      </c>
      <c r="K302">
        <v>0</v>
      </c>
      <c r="L302">
        <v>91420</v>
      </c>
      <c r="M302">
        <v>50444.38</v>
      </c>
      <c r="N302">
        <v>40975.620000000003</v>
      </c>
      <c r="O302" t="s">
        <v>91</v>
      </c>
      <c r="P302">
        <v>1478.37</v>
      </c>
      <c r="Q302" t="s">
        <v>40</v>
      </c>
      <c r="R302" t="s">
        <v>41</v>
      </c>
      <c r="S302">
        <v>2</v>
      </c>
      <c r="T302">
        <v>3</v>
      </c>
      <c r="U302" t="s">
        <v>32</v>
      </c>
      <c r="V302" t="s">
        <v>50</v>
      </c>
      <c r="W302">
        <v>2</v>
      </c>
    </row>
    <row r="303" spans="1:23" x14ac:dyDescent="0.25">
      <c r="A303" t="s">
        <v>626</v>
      </c>
      <c r="B303" s="1">
        <v>45659</v>
      </c>
      <c r="C303" t="s">
        <v>228</v>
      </c>
      <c r="D303" t="s">
        <v>71</v>
      </c>
      <c r="E303" t="s">
        <v>26</v>
      </c>
      <c r="F303" t="s">
        <v>47</v>
      </c>
      <c r="G303" t="s">
        <v>146</v>
      </c>
      <c r="H303">
        <v>1</v>
      </c>
      <c r="I303">
        <v>26791</v>
      </c>
      <c r="J303">
        <v>25</v>
      </c>
      <c r="K303">
        <v>6697.75</v>
      </c>
      <c r="L303">
        <v>20093.25</v>
      </c>
      <c r="M303">
        <v>15065.14</v>
      </c>
      <c r="N303">
        <v>5028.1099999999997</v>
      </c>
      <c r="O303" t="s">
        <v>39</v>
      </c>
      <c r="P303">
        <v>205.63</v>
      </c>
      <c r="Q303" t="s">
        <v>73</v>
      </c>
      <c r="R303" t="s">
        <v>31</v>
      </c>
      <c r="S303">
        <v>5</v>
      </c>
      <c r="T303">
        <v>3</v>
      </c>
      <c r="U303" t="s">
        <v>32</v>
      </c>
      <c r="V303" t="s">
        <v>33</v>
      </c>
      <c r="W303">
        <v>5</v>
      </c>
    </row>
    <row r="304" spans="1:23" x14ac:dyDescent="0.25">
      <c r="A304" t="s">
        <v>627</v>
      </c>
      <c r="B304" s="1">
        <v>45857</v>
      </c>
      <c r="C304" t="s">
        <v>93</v>
      </c>
      <c r="D304" t="s">
        <v>63</v>
      </c>
      <c r="E304" t="s">
        <v>46</v>
      </c>
      <c r="F304" t="s">
        <v>86</v>
      </c>
      <c r="G304" t="s">
        <v>127</v>
      </c>
      <c r="H304">
        <v>3</v>
      </c>
      <c r="I304">
        <v>9728</v>
      </c>
      <c r="J304">
        <v>20</v>
      </c>
      <c r="K304">
        <v>5836.8</v>
      </c>
      <c r="L304">
        <v>23347.200000000001</v>
      </c>
      <c r="M304">
        <v>19108.98</v>
      </c>
      <c r="N304">
        <v>4238.22</v>
      </c>
      <c r="O304" t="s">
        <v>60</v>
      </c>
      <c r="P304">
        <v>1305.1199999999999</v>
      </c>
      <c r="Q304" t="s">
        <v>30</v>
      </c>
      <c r="R304" t="s">
        <v>41</v>
      </c>
      <c r="S304">
        <v>2</v>
      </c>
      <c r="T304">
        <v>3</v>
      </c>
      <c r="U304" t="s">
        <v>56</v>
      </c>
      <c r="V304" t="s">
        <v>33</v>
      </c>
      <c r="W304">
        <v>5</v>
      </c>
    </row>
    <row r="305" spans="1:23" x14ac:dyDescent="0.25">
      <c r="A305" t="s">
        <v>628</v>
      </c>
      <c r="B305" s="1">
        <v>45793</v>
      </c>
      <c r="C305" t="s">
        <v>629</v>
      </c>
      <c r="D305" t="s">
        <v>25</v>
      </c>
      <c r="E305" t="s">
        <v>26</v>
      </c>
      <c r="F305" t="s">
        <v>86</v>
      </c>
      <c r="G305" t="s">
        <v>127</v>
      </c>
      <c r="H305">
        <v>1</v>
      </c>
      <c r="I305">
        <v>82238</v>
      </c>
      <c r="J305">
        <v>10</v>
      </c>
      <c r="K305">
        <v>8223.7999999999993</v>
      </c>
      <c r="L305">
        <v>74014.2</v>
      </c>
      <c r="M305">
        <v>49921.24</v>
      </c>
      <c r="N305">
        <v>24092.959999999999</v>
      </c>
      <c r="O305" t="s">
        <v>29</v>
      </c>
      <c r="P305">
        <v>321.64</v>
      </c>
      <c r="Q305" t="s">
        <v>73</v>
      </c>
      <c r="R305" t="s">
        <v>31</v>
      </c>
      <c r="S305">
        <v>5</v>
      </c>
      <c r="T305">
        <v>2</v>
      </c>
      <c r="U305" t="s">
        <v>32</v>
      </c>
      <c r="V305" t="s">
        <v>50</v>
      </c>
      <c r="W305">
        <v>2</v>
      </c>
    </row>
    <row r="306" spans="1:23" x14ac:dyDescent="0.25">
      <c r="A306" t="s">
        <v>630</v>
      </c>
      <c r="B306" s="1">
        <v>45890</v>
      </c>
      <c r="C306" t="s">
        <v>631</v>
      </c>
      <c r="D306" t="s">
        <v>63</v>
      </c>
      <c r="E306" t="s">
        <v>26</v>
      </c>
      <c r="F306" t="s">
        <v>27</v>
      </c>
      <c r="G306" t="s">
        <v>72</v>
      </c>
      <c r="H306">
        <v>3</v>
      </c>
      <c r="I306">
        <v>28557</v>
      </c>
      <c r="J306">
        <v>0</v>
      </c>
      <c r="K306">
        <v>0</v>
      </c>
      <c r="L306">
        <v>85671</v>
      </c>
      <c r="M306">
        <v>59695.75</v>
      </c>
      <c r="N306">
        <v>25975.25</v>
      </c>
      <c r="O306" t="s">
        <v>39</v>
      </c>
      <c r="P306">
        <v>1776.52</v>
      </c>
      <c r="Q306" t="s">
        <v>73</v>
      </c>
      <c r="R306" t="s">
        <v>41</v>
      </c>
      <c r="S306">
        <v>2</v>
      </c>
      <c r="T306">
        <v>1</v>
      </c>
      <c r="U306" t="s">
        <v>32</v>
      </c>
      <c r="V306" t="s">
        <v>33</v>
      </c>
      <c r="W306">
        <v>3</v>
      </c>
    </row>
    <row r="307" spans="1:23" x14ac:dyDescent="0.25">
      <c r="A307" t="s">
        <v>632</v>
      </c>
      <c r="B307" s="1">
        <v>45804</v>
      </c>
      <c r="C307" t="s">
        <v>633</v>
      </c>
      <c r="D307" t="s">
        <v>25</v>
      </c>
      <c r="E307" t="s">
        <v>46</v>
      </c>
      <c r="F307" t="s">
        <v>53</v>
      </c>
      <c r="G307" t="s">
        <v>82</v>
      </c>
      <c r="H307">
        <v>1</v>
      </c>
      <c r="I307">
        <v>57891</v>
      </c>
      <c r="J307">
        <v>0</v>
      </c>
      <c r="K307">
        <v>0</v>
      </c>
      <c r="L307">
        <v>57891</v>
      </c>
      <c r="M307">
        <v>35245.58</v>
      </c>
      <c r="N307">
        <v>22645.42</v>
      </c>
      <c r="O307" t="s">
        <v>91</v>
      </c>
      <c r="P307">
        <v>633.36</v>
      </c>
      <c r="Q307" t="s">
        <v>40</v>
      </c>
      <c r="R307" t="s">
        <v>31</v>
      </c>
      <c r="S307">
        <v>5</v>
      </c>
      <c r="T307">
        <v>6</v>
      </c>
      <c r="U307" t="s">
        <v>32</v>
      </c>
      <c r="V307" t="s">
        <v>42</v>
      </c>
    </row>
    <row r="308" spans="1:23" x14ac:dyDescent="0.25">
      <c r="A308" t="s">
        <v>634</v>
      </c>
      <c r="B308" s="1">
        <v>45874</v>
      </c>
      <c r="C308" t="s">
        <v>494</v>
      </c>
      <c r="D308" t="s">
        <v>97</v>
      </c>
      <c r="E308" t="s">
        <v>26</v>
      </c>
      <c r="F308" t="s">
        <v>37</v>
      </c>
      <c r="G308" t="s">
        <v>38</v>
      </c>
      <c r="H308">
        <v>1</v>
      </c>
      <c r="I308">
        <v>5138</v>
      </c>
      <c r="J308">
        <v>20</v>
      </c>
      <c r="K308">
        <v>1027.5999999999999</v>
      </c>
      <c r="L308">
        <v>4110.3999999999996</v>
      </c>
      <c r="M308">
        <v>2647.17</v>
      </c>
      <c r="N308">
        <v>1463.23</v>
      </c>
      <c r="O308" t="s">
        <v>49</v>
      </c>
      <c r="P308">
        <v>248.87</v>
      </c>
      <c r="Q308" t="s">
        <v>40</v>
      </c>
      <c r="R308" t="s">
        <v>41</v>
      </c>
      <c r="S308">
        <v>2</v>
      </c>
      <c r="T308">
        <v>1</v>
      </c>
      <c r="U308" t="s">
        <v>32</v>
      </c>
      <c r="V308" t="s">
        <v>50</v>
      </c>
      <c r="W308">
        <v>5</v>
      </c>
    </row>
    <row r="309" spans="1:23" x14ac:dyDescent="0.25">
      <c r="A309" t="s">
        <v>635</v>
      </c>
      <c r="B309" s="1">
        <v>46014</v>
      </c>
      <c r="C309" t="s">
        <v>253</v>
      </c>
      <c r="D309" t="s">
        <v>63</v>
      </c>
      <c r="E309" t="s">
        <v>26</v>
      </c>
      <c r="F309" t="s">
        <v>37</v>
      </c>
      <c r="G309" t="s">
        <v>313</v>
      </c>
      <c r="H309">
        <v>1</v>
      </c>
      <c r="I309">
        <v>18848</v>
      </c>
      <c r="J309">
        <v>10</v>
      </c>
      <c r="K309">
        <v>1884.8</v>
      </c>
      <c r="L309">
        <v>16963.2</v>
      </c>
      <c r="M309">
        <v>9903.84</v>
      </c>
      <c r="N309">
        <v>7059.36</v>
      </c>
      <c r="O309" t="s">
        <v>55</v>
      </c>
      <c r="P309">
        <v>1788.88</v>
      </c>
      <c r="Q309" t="s">
        <v>83</v>
      </c>
      <c r="R309" t="s">
        <v>31</v>
      </c>
      <c r="S309">
        <v>5</v>
      </c>
      <c r="T309">
        <v>3</v>
      </c>
      <c r="U309" t="s">
        <v>32</v>
      </c>
      <c r="V309" t="s">
        <v>33</v>
      </c>
      <c r="W309">
        <v>4</v>
      </c>
    </row>
    <row r="310" spans="1:23" x14ac:dyDescent="0.25">
      <c r="A310" t="s">
        <v>636</v>
      </c>
      <c r="B310" s="1">
        <v>45942</v>
      </c>
      <c r="C310" t="s">
        <v>637</v>
      </c>
      <c r="D310" t="s">
        <v>71</v>
      </c>
      <c r="E310" t="s">
        <v>46</v>
      </c>
      <c r="F310" t="s">
        <v>53</v>
      </c>
      <c r="G310" t="s">
        <v>151</v>
      </c>
      <c r="H310">
        <v>1</v>
      </c>
      <c r="I310">
        <v>95479</v>
      </c>
      <c r="J310">
        <v>0</v>
      </c>
      <c r="K310">
        <v>0</v>
      </c>
      <c r="L310">
        <v>95479</v>
      </c>
      <c r="M310">
        <v>75934.73</v>
      </c>
      <c r="N310">
        <v>19544.27</v>
      </c>
      <c r="O310" t="s">
        <v>55</v>
      </c>
      <c r="P310">
        <v>1735.45</v>
      </c>
      <c r="Q310" t="s">
        <v>83</v>
      </c>
      <c r="R310" t="s">
        <v>31</v>
      </c>
      <c r="S310">
        <v>5</v>
      </c>
      <c r="T310">
        <v>6</v>
      </c>
      <c r="U310" t="s">
        <v>56</v>
      </c>
      <c r="V310" t="s">
        <v>33</v>
      </c>
      <c r="W310">
        <v>3</v>
      </c>
    </row>
    <row r="311" spans="1:23" x14ac:dyDescent="0.25">
      <c r="A311" t="s">
        <v>638</v>
      </c>
      <c r="B311" s="1">
        <v>45996</v>
      </c>
      <c r="C311" t="s">
        <v>163</v>
      </c>
      <c r="D311" t="s">
        <v>45</v>
      </c>
      <c r="E311" t="s">
        <v>46</v>
      </c>
      <c r="F311" t="s">
        <v>53</v>
      </c>
      <c r="G311" t="s">
        <v>82</v>
      </c>
      <c r="H311">
        <v>1</v>
      </c>
      <c r="I311">
        <v>20898</v>
      </c>
      <c r="J311">
        <v>10</v>
      </c>
      <c r="K311">
        <v>2089.8000000000002</v>
      </c>
      <c r="L311">
        <v>18808.2</v>
      </c>
      <c r="M311">
        <v>11159.85</v>
      </c>
      <c r="N311">
        <v>7648.35</v>
      </c>
      <c r="O311" t="s">
        <v>91</v>
      </c>
      <c r="P311">
        <v>1511.54</v>
      </c>
      <c r="Q311" t="s">
        <v>83</v>
      </c>
      <c r="R311" t="s">
        <v>31</v>
      </c>
      <c r="S311">
        <v>5</v>
      </c>
      <c r="T311">
        <v>4</v>
      </c>
      <c r="U311" t="s">
        <v>32</v>
      </c>
      <c r="V311" t="s">
        <v>42</v>
      </c>
    </row>
    <row r="312" spans="1:23" x14ac:dyDescent="0.25">
      <c r="A312" t="s">
        <v>639</v>
      </c>
      <c r="B312" s="1">
        <v>45907</v>
      </c>
      <c r="C312" t="s">
        <v>640</v>
      </c>
      <c r="D312" t="s">
        <v>124</v>
      </c>
      <c r="E312" t="s">
        <v>46</v>
      </c>
      <c r="F312" t="s">
        <v>37</v>
      </c>
      <c r="G312" t="s">
        <v>224</v>
      </c>
      <c r="H312">
        <v>1</v>
      </c>
      <c r="I312">
        <v>10467</v>
      </c>
      <c r="J312">
        <v>5</v>
      </c>
      <c r="K312">
        <v>523.35</v>
      </c>
      <c r="L312">
        <v>9943.65</v>
      </c>
      <c r="M312">
        <v>7940.29</v>
      </c>
      <c r="N312">
        <v>2003.36</v>
      </c>
      <c r="O312" t="s">
        <v>49</v>
      </c>
      <c r="P312">
        <v>315.22000000000003</v>
      </c>
      <c r="Q312" t="s">
        <v>30</v>
      </c>
      <c r="R312" t="s">
        <v>41</v>
      </c>
      <c r="S312">
        <v>2</v>
      </c>
      <c r="T312">
        <v>2</v>
      </c>
      <c r="U312" t="s">
        <v>32</v>
      </c>
      <c r="V312" t="s">
        <v>50</v>
      </c>
      <c r="W312">
        <v>5</v>
      </c>
    </row>
    <row r="313" spans="1:23" x14ac:dyDescent="0.25">
      <c r="A313" t="s">
        <v>641</v>
      </c>
      <c r="B313" s="1">
        <v>45737</v>
      </c>
      <c r="C313" t="s">
        <v>440</v>
      </c>
      <c r="D313" t="s">
        <v>71</v>
      </c>
      <c r="E313" t="s">
        <v>46</v>
      </c>
      <c r="F313" t="s">
        <v>53</v>
      </c>
      <c r="G313" t="s">
        <v>268</v>
      </c>
      <c r="H313">
        <v>1</v>
      </c>
      <c r="I313">
        <v>23790</v>
      </c>
      <c r="J313">
        <v>25</v>
      </c>
      <c r="K313">
        <v>5947.5</v>
      </c>
      <c r="L313">
        <v>17842.5</v>
      </c>
      <c r="M313">
        <v>10468.129999999999</v>
      </c>
      <c r="N313">
        <v>7374.37</v>
      </c>
      <c r="O313" t="s">
        <v>60</v>
      </c>
      <c r="P313">
        <v>1860.91</v>
      </c>
      <c r="Q313" t="s">
        <v>83</v>
      </c>
      <c r="R313" t="s">
        <v>41</v>
      </c>
      <c r="S313">
        <v>2</v>
      </c>
      <c r="T313">
        <v>4</v>
      </c>
      <c r="U313" t="s">
        <v>56</v>
      </c>
      <c r="V313" t="s">
        <v>33</v>
      </c>
      <c r="W313">
        <v>5</v>
      </c>
    </row>
    <row r="314" spans="1:23" x14ac:dyDescent="0.25">
      <c r="A314" t="s">
        <v>642</v>
      </c>
      <c r="B314" s="1">
        <v>45755</v>
      </c>
      <c r="C314" t="s">
        <v>643</v>
      </c>
      <c r="D314" t="s">
        <v>71</v>
      </c>
      <c r="E314" t="s">
        <v>26</v>
      </c>
      <c r="F314" t="s">
        <v>86</v>
      </c>
      <c r="G314" t="s">
        <v>127</v>
      </c>
      <c r="H314">
        <v>2</v>
      </c>
      <c r="I314">
        <v>35605</v>
      </c>
      <c r="J314">
        <v>10</v>
      </c>
      <c r="K314">
        <v>7121</v>
      </c>
      <c r="L314">
        <v>64089</v>
      </c>
      <c r="M314">
        <v>52292.77</v>
      </c>
      <c r="N314">
        <v>11796.23</v>
      </c>
      <c r="O314" t="s">
        <v>39</v>
      </c>
      <c r="P314">
        <v>360.1</v>
      </c>
      <c r="Q314" t="s">
        <v>30</v>
      </c>
      <c r="R314" t="s">
        <v>31</v>
      </c>
      <c r="S314">
        <v>5</v>
      </c>
      <c r="T314">
        <v>6</v>
      </c>
      <c r="U314" t="s">
        <v>56</v>
      </c>
      <c r="V314" t="s">
        <v>33</v>
      </c>
      <c r="W314">
        <v>5</v>
      </c>
    </row>
    <row r="315" spans="1:23" x14ac:dyDescent="0.25">
      <c r="A315" t="s">
        <v>644</v>
      </c>
      <c r="B315" s="1">
        <v>45809</v>
      </c>
      <c r="C315" t="s">
        <v>645</v>
      </c>
      <c r="D315" t="s">
        <v>67</v>
      </c>
      <c r="E315" t="s">
        <v>46</v>
      </c>
      <c r="F315" t="s">
        <v>86</v>
      </c>
      <c r="G315" t="s">
        <v>87</v>
      </c>
      <c r="H315">
        <v>1</v>
      </c>
      <c r="I315">
        <v>17141</v>
      </c>
      <c r="J315">
        <v>15</v>
      </c>
      <c r="K315">
        <v>2571.15</v>
      </c>
      <c r="L315">
        <v>14569.85</v>
      </c>
      <c r="M315">
        <v>9589.42</v>
      </c>
      <c r="N315">
        <v>4980.43</v>
      </c>
      <c r="O315" t="s">
        <v>49</v>
      </c>
      <c r="P315">
        <v>466.38</v>
      </c>
      <c r="Q315" t="s">
        <v>68</v>
      </c>
      <c r="R315" t="s">
        <v>31</v>
      </c>
      <c r="S315">
        <v>5</v>
      </c>
      <c r="T315">
        <v>5</v>
      </c>
      <c r="U315" t="s">
        <v>32</v>
      </c>
      <c r="V315" t="s">
        <v>42</v>
      </c>
    </row>
    <row r="316" spans="1:23" x14ac:dyDescent="0.25">
      <c r="A316" t="s">
        <v>646</v>
      </c>
      <c r="B316" s="1">
        <v>45769</v>
      </c>
      <c r="C316" t="s">
        <v>593</v>
      </c>
      <c r="D316" t="s">
        <v>25</v>
      </c>
      <c r="E316" t="s">
        <v>26</v>
      </c>
      <c r="F316" t="s">
        <v>53</v>
      </c>
      <c r="G316" t="s">
        <v>59</v>
      </c>
      <c r="H316">
        <v>4</v>
      </c>
      <c r="I316">
        <v>25090</v>
      </c>
      <c r="J316">
        <v>10</v>
      </c>
      <c r="K316">
        <v>10036</v>
      </c>
      <c r="L316">
        <v>90324</v>
      </c>
      <c r="M316">
        <v>68330.16</v>
      </c>
      <c r="N316">
        <v>21993.84</v>
      </c>
      <c r="O316" t="s">
        <v>91</v>
      </c>
      <c r="P316">
        <v>2015.83</v>
      </c>
      <c r="Q316" t="s">
        <v>30</v>
      </c>
      <c r="R316" t="s">
        <v>41</v>
      </c>
      <c r="S316">
        <v>2</v>
      </c>
      <c r="T316">
        <v>6</v>
      </c>
      <c r="U316" t="s">
        <v>32</v>
      </c>
      <c r="V316" t="s">
        <v>42</v>
      </c>
    </row>
    <row r="317" spans="1:23" x14ac:dyDescent="0.25">
      <c r="A317" t="s">
        <v>647</v>
      </c>
      <c r="B317" s="1">
        <v>45687</v>
      </c>
      <c r="C317" t="s">
        <v>648</v>
      </c>
      <c r="D317" t="s">
        <v>67</v>
      </c>
      <c r="E317" t="s">
        <v>46</v>
      </c>
      <c r="F317" t="s">
        <v>86</v>
      </c>
      <c r="G317" t="s">
        <v>127</v>
      </c>
      <c r="H317">
        <v>2</v>
      </c>
      <c r="I317">
        <v>38858</v>
      </c>
      <c r="J317">
        <v>5</v>
      </c>
      <c r="K317">
        <v>3885.8</v>
      </c>
      <c r="L317">
        <v>73830.2</v>
      </c>
      <c r="M317">
        <v>53132.65</v>
      </c>
      <c r="N317">
        <v>20697.55</v>
      </c>
      <c r="O317" t="s">
        <v>29</v>
      </c>
      <c r="P317">
        <v>1896.94</v>
      </c>
      <c r="Q317" t="s">
        <v>83</v>
      </c>
      <c r="R317" t="s">
        <v>31</v>
      </c>
      <c r="S317">
        <v>5</v>
      </c>
      <c r="T317">
        <v>5</v>
      </c>
      <c r="U317" t="s">
        <v>32</v>
      </c>
      <c r="V317" t="s">
        <v>33</v>
      </c>
      <c r="W317">
        <v>1</v>
      </c>
    </row>
    <row r="318" spans="1:23" x14ac:dyDescent="0.25">
      <c r="A318" t="s">
        <v>649</v>
      </c>
      <c r="B318" s="1">
        <v>45954</v>
      </c>
      <c r="C318" t="s">
        <v>650</v>
      </c>
      <c r="D318" t="s">
        <v>71</v>
      </c>
      <c r="E318" t="s">
        <v>26</v>
      </c>
      <c r="F318" t="s">
        <v>27</v>
      </c>
      <c r="G318" t="s">
        <v>164</v>
      </c>
      <c r="H318">
        <v>1</v>
      </c>
      <c r="I318">
        <v>28409</v>
      </c>
      <c r="J318">
        <v>25</v>
      </c>
      <c r="K318">
        <v>7102.25</v>
      </c>
      <c r="L318">
        <v>21306.75</v>
      </c>
      <c r="M318">
        <v>16134.42</v>
      </c>
      <c r="N318">
        <v>5172.33</v>
      </c>
      <c r="O318" t="s">
        <v>29</v>
      </c>
      <c r="P318">
        <v>1722.81</v>
      </c>
      <c r="Q318" t="s">
        <v>30</v>
      </c>
      <c r="R318" t="s">
        <v>31</v>
      </c>
      <c r="S318">
        <v>5</v>
      </c>
      <c r="T318">
        <v>6</v>
      </c>
      <c r="U318" t="s">
        <v>56</v>
      </c>
      <c r="V318" t="s">
        <v>33</v>
      </c>
      <c r="W318">
        <v>3</v>
      </c>
    </row>
    <row r="319" spans="1:23" x14ac:dyDescent="0.25">
      <c r="A319" t="s">
        <v>651</v>
      </c>
      <c r="B319" s="1">
        <v>45935</v>
      </c>
      <c r="C319" t="s">
        <v>290</v>
      </c>
      <c r="D319" t="s">
        <v>25</v>
      </c>
      <c r="E319" t="s">
        <v>26</v>
      </c>
      <c r="F319" t="s">
        <v>37</v>
      </c>
      <c r="G319" t="s">
        <v>313</v>
      </c>
      <c r="H319">
        <v>3</v>
      </c>
      <c r="I319">
        <v>33498</v>
      </c>
      <c r="J319">
        <v>10</v>
      </c>
      <c r="K319">
        <v>10049.4</v>
      </c>
      <c r="L319">
        <v>90444.6</v>
      </c>
      <c r="M319">
        <v>70571.759999999995</v>
      </c>
      <c r="N319">
        <v>19872.84</v>
      </c>
      <c r="O319" t="s">
        <v>29</v>
      </c>
      <c r="P319">
        <v>275.58</v>
      </c>
      <c r="Q319" t="s">
        <v>40</v>
      </c>
      <c r="R319" t="s">
        <v>41</v>
      </c>
      <c r="S319">
        <v>2</v>
      </c>
      <c r="T319">
        <v>1</v>
      </c>
      <c r="U319" t="s">
        <v>32</v>
      </c>
      <c r="V319" t="s">
        <v>33</v>
      </c>
      <c r="W319">
        <v>1</v>
      </c>
    </row>
    <row r="320" spans="1:23" x14ac:dyDescent="0.25">
      <c r="A320" t="s">
        <v>652</v>
      </c>
      <c r="B320" s="1">
        <v>45689</v>
      </c>
      <c r="C320" t="s">
        <v>653</v>
      </c>
      <c r="D320" t="s">
        <v>71</v>
      </c>
      <c r="E320" t="s">
        <v>46</v>
      </c>
      <c r="F320" t="s">
        <v>86</v>
      </c>
      <c r="G320" t="s">
        <v>87</v>
      </c>
      <c r="H320">
        <v>1</v>
      </c>
      <c r="I320">
        <v>80560</v>
      </c>
      <c r="J320">
        <v>25</v>
      </c>
      <c r="K320">
        <v>20140</v>
      </c>
      <c r="L320">
        <v>60420</v>
      </c>
      <c r="M320">
        <v>44411.78</v>
      </c>
      <c r="N320">
        <v>16008.22</v>
      </c>
      <c r="O320" t="s">
        <v>91</v>
      </c>
      <c r="P320">
        <v>1493.19</v>
      </c>
      <c r="Q320" t="s">
        <v>68</v>
      </c>
      <c r="R320" t="s">
        <v>41</v>
      </c>
      <c r="S320">
        <v>2</v>
      </c>
      <c r="T320">
        <v>3</v>
      </c>
      <c r="U320" t="s">
        <v>32</v>
      </c>
      <c r="V320" t="s">
        <v>42</v>
      </c>
    </row>
    <row r="321" spans="1:23" x14ac:dyDescent="0.25">
      <c r="A321" t="s">
        <v>654</v>
      </c>
      <c r="B321" s="1">
        <v>45818</v>
      </c>
      <c r="C321" t="s">
        <v>655</v>
      </c>
      <c r="D321" t="s">
        <v>63</v>
      </c>
      <c r="E321" t="s">
        <v>26</v>
      </c>
      <c r="F321" t="s">
        <v>37</v>
      </c>
      <c r="G321" t="s">
        <v>224</v>
      </c>
      <c r="H321">
        <v>1</v>
      </c>
      <c r="I321">
        <v>8025</v>
      </c>
      <c r="J321">
        <v>0</v>
      </c>
      <c r="K321">
        <v>0</v>
      </c>
      <c r="L321">
        <v>8025</v>
      </c>
      <c r="M321">
        <v>5693.14</v>
      </c>
      <c r="N321">
        <v>2331.86</v>
      </c>
      <c r="O321" t="s">
        <v>60</v>
      </c>
      <c r="P321">
        <v>2061.9699999999998</v>
      </c>
      <c r="Q321" t="s">
        <v>40</v>
      </c>
      <c r="R321" t="s">
        <v>41</v>
      </c>
      <c r="S321">
        <v>2</v>
      </c>
      <c r="T321">
        <v>1</v>
      </c>
      <c r="U321" t="s">
        <v>32</v>
      </c>
      <c r="V321" t="s">
        <v>33</v>
      </c>
      <c r="W321">
        <v>3</v>
      </c>
    </row>
    <row r="322" spans="1:23" x14ac:dyDescent="0.25">
      <c r="A322" t="s">
        <v>656</v>
      </c>
      <c r="B322" s="1">
        <v>45687</v>
      </c>
      <c r="C322" t="s">
        <v>657</v>
      </c>
      <c r="D322" t="s">
        <v>79</v>
      </c>
      <c r="E322" t="s">
        <v>46</v>
      </c>
      <c r="F322" t="s">
        <v>53</v>
      </c>
      <c r="G322" t="s">
        <v>59</v>
      </c>
      <c r="H322">
        <v>1</v>
      </c>
      <c r="I322">
        <v>55041</v>
      </c>
      <c r="J322">
        <v>10</v>
      </c>
      <c r="K322">
        <v>5504.1</v>
      </c>
      <c r="L322">
        <v>49536.9</v>
      </c>
      <c r="M322">
        <v>35170.379999999997</v>
      </c>
      <c r="N322">
        <v>14366.52</v>
      </c>
      <c r="O322" t="s">
        <v>60</v>
      </c>
      <c r="P322">
        <v>463.28</v>
      </c>
      <c r="Q322" t="s">
        <v>68</v>
      </c>
      <c r="R322" t="s">
        <v>31</v>
      </c>
      <c r="S322">
        <v>5</v>
      </c>
      <c r="T322">
        <v>6</v>
      </c>
      <c r="U322" t="s">
        <v>32</v>
      </c>
      <c r="V322" t="s">
        <v>50</v>
      </c>
      <c r="W322">
        <v>3</v>
      </c>
    </row>
    <row r="323" spans="1:23" x14ac:dyDescent="0.25">
      <c r="A323" t="s">
        <v>658</v>
      </c>
      <c r="B323" s="1">
        <v>45683</v>
      </c>
      <c r="C323" t="s">
        <v>209</v>
      </c>
      <c r="D323" t="s">
        <v>90</v>
      </c>
      <c r="E323" t="s">
        <v>26</v>
      </c>
      <c r="F323" t="s">
        <v>53</v>
      </c>
      <c r="G323" t="s">
        <v>82</v>
      </c>
      <c r="H323">
        <v>1</v>
      </c>
      <c r="I323">
        <v>76470</v>
      </c>
      <c r="J323">
        <v>0</v>
      </c>
      <c r="K323">
        <v>0</v>
      </c>
      <c r="L323">
        <v>76470</v>
      </c>
      <c r="M323">
        <v>62411.49</v>
      </c>
      <c r="N323">
        <v>14058.51</v>
      </c>
      <c r="O323" t="s">
        <v>60</v>
      </c>
      <c r="P323">
        <v>1516.84</v>
      </c>
      <c r="Q323" t="s">
        <v>30</v>
      </c>
      <c r="R323" t="s">
        <v>41</v>
      </c>
      <c r="S323">
        <v>2</v>
      </c>
      <c r="T323">
        <v>3</v>
      </c>
      <c r="U323" t="s">
        <v>56</v>
      </c>
      <c r="V323" t="s">
        <v>33</v>
      </c>
    </row>
    <row r="324" spans="1:23" x14ac:dyDescent="0.25">
      <c r="A324" t="s">
        <v>659</v>
      </c>
      <c r="B324" s="1">
        <v>45957</v>
      </c>
      <c r="C324" t="s">
        <v>133</v>
      </c>
      <c r="D324" t="s">
        <v>67</v>
      </c>
      <c r="E324" t="s">
        <v>36</v>
      </c>
      <c r="F324" t="s">
        <v>53</v>
      </c>
      <c r="G324" t="s">
        <v>268</v>
      </c>
      <c r="H324">
        <v>2</v>
      </c>
      <c r="I324">
        <v>30840</v>
      </c>
      <c r="J324">
        <v>5</v>
      </c>
      <c r="K324">
        <v>3084</v>
      </c>
      <c r="L324">
        <v>58596</v>
      </c>
      <c r="M324">
        <v>40090.03</v>
      </c>
      <c r="N324">
        <v>18505.97</v>
      </c>
      <c r="O324" t="s">
        <v>29</v>
      </c>
      <c r="P324">
        <v>809.86</v>
      </c>
      <c r="Q324" t="s">
        <v>73</v>
      </c>
      <c r="R324" t="s">
        <v>31</v>
      </c>
      <c r="S324">
        <v>5</v>
      </c>
      <c r="T324">
        <v>3</v>
      </c>
      <c r="U324" t="s">
        <v>32</v>
      </c>
      <c r="V324" t="s">
        <v>33</v>
      </c>
      <c r="W324">
        <v>3</v>
      </c>
    </row>
    <row r="325" spans="1:23" x14ac:dyDescent="0.25">
      <c r="A325" t="s">
        <v>660</v>
      </c>
      <c r="B325" s="1">
        <v>45902</v>
      </c>
      <c r="C325" t="s">
        <v>661</v>
      </c>
      <c r="D325" t="s">
        <v>45</v>
      </c>
      <c r="E325" t="s">
        <v>36</v>
      </c>
      <c r="F325" t="s">
        <v>37</v>
      </c>
      <c r="G325" t="s">
        <v>100</v>
      </c>
      <c r="H325">
        <v>2</v>
      </c>
      <c r="I325">
        <v>21915</v>
      </c>
      <c r="J325">
        <v>0</v>
      </c>
      <c r="K325">
        <v>0</v>
      </c>
      <c r="L325">
        <v>43830</v>
      </c>
      <c r="M325">
        <v>30809.67</v>
      </c>
      <c r="N325">
        <v>13020.33</v>
      </c>
      <c r="O325" t="s">
        <v>49</v>
      </c>
      <c r="P325">
        <v>144.38</v>
      </c>
      <c r="Q325" t="s">
        <v>83</v>
      </c>
      <c r="R325" t="s">
        <v>41</v>
      </c>
      <c r="S325">
        <v>2</v>
      </c>
      <c r="T325">
        <v>3</v>
      </c>
      <c r="U325" t="s">
        <v>32</v>
      </c>
      <c r="V325" t="s">
        <v>42</v>
      </c>
    </row>
    <row r="326" spans="1:23" x14ac:dyDescent="0.25">
      <c r="A326" t="s">
        <v>662</v>
      </c>
      <c r="B326" s="1">
        <v>45915</v>
      </c>
      <c r="C326" t="s">
        <v>219</v>
      </c>
      <c r="D326" t="s">
        <v>71</v>
      </c>
      <c r="E326" t="s">
        <v>26</v>
      </c>
      <c r="F326" t="s">
        <v>86</v>
      </c>
      <c r="G326" t="s">
        <v>110</v>
      </c>
      <c r="H326">
        <v>1</v>
      </c>
      <c r="I326">
        <v>73550</v>
      </c>
      <c r="J326">
        <v>0</v>
      </c>
      <c r="K326">
        <v>0</v>
      </c>
      <c r="L326">
        <v>73550</v>
      </c>
      <c r="M326">
        <v>57945.78</v>
      </c>
      <c r="N326">
        <v>15604.22</v>
      </c>
      <c r="O326" t="s">
        <v>49</v>
      </c>
      <c r="P326">
        <v>145.83000000000001</v>
      </c>
      <c r="Q326" t="s">
        <v>30</v>
      </c>
      <c r="R326" t="s">
        <v>31</v>
      </c>
      <c r="S326">
        <v>5</v>
      </c>
      <c r="T326">
        <v>4</v>
      </c>
      <c r="U326" t="s">
        <v>32</v>
      </c>
      <c r="V326" t="s">
        <v>50</v>
      </c>
      <c r="W326">
        <v>4</v>
      </c>
    </row>
    <row r="327" spans="1:23" x14ac:dyDescent="0.25">
      <c r="A327" t="s">
        <v>663</v>
      </c>
      <c r="B327" s="1">
        <v>45929</v>
      </c>
      <c r="C327" t="s">
        <v>193</v>
      </c>
      <c r="D327" t="s">
        <v>45</v>
      </c>
      <c r="E327" t="s">
        <v>26</v>
      </c>
      <c r="F327" t="s">
        <v>86</v>
      </c>
      <c r="G327" t="s">
        <v>110</v>
      </c>
      <c r="H327">
        <v>1</v>
      </c>
      <c r="I327">
        <v>25365</v>
      </c>
      <c r="J327">
        <v>10</v>
      </c>
      <c r="K327">
        <v>2536.5</v>
      </c>
      <c r="L327">
        <v>22828.5</v>
      </c>
      <c r="M327">
        <v>17758.59</v>
      </c>
      <c r="N327">
        <v>5069.91</v>
      </c>
      <c r="O327" t="s">
        <v>49</v>
      </c>
      <c r="P327">
        <v>423.6</v>
      </c>
      <c r="Q327" t="s">
        <v>83</v>
      </c>
      <c r="R327" t="s">
        <v>41</v>
      </c>
      <c r="S327">
        <v>2</v>
      </c>
      <c r="T327">
        <v>1</v>
      </c>
      <c r="U327" t="s">
        <v>32</v>
      </c>
      <c r="V327" t="s">
        <v>33</v>
      </c>
      <c r="W327">
        <v>5</v>
      </c>
    </row>
    <row r="328" spans="1:23" x14ac:dyDescent="0.25">
      <c r="A328" t="s">
        <v>664</v>
      </c>
      <c r="B328" s="1">
        <v>45738</v>
      </c>
      <c r="C328" t="s">
        <v>237</v>
      </c>
      <c r="D328" t="s">
        <v>63</v>
      </c>
      <c r="E328" t="s">
        <v>46</v>
      </c>
      <c r="F328" t="s">
        <v>47</v>
      </c>
      <c r="G328" t="s">
        <v>105</v>
      </c>
      <c r="H328">
        <v>2</v>
      </c>
      <c r="I328">
        <v>33598</v>
      </c>
      <c r="J328">
        <v>5</v>
      </c>
      <c r="K328">
        <v>3359.8</v>
      </c>
      <c r="L328">
        <v>63836.2</v>
      </c>
      <c r="M328">
        <v>35587.410000000003</v>
      </c>
      <c r="N328">
        <v>28248.79</v>
      </c>
      <c r="O328" t="s">
        <v>49</v>
      </c>
      <c r="P328">
        <v>301.92</v>
      </c>
      <c r="Q328" t="s">
        <v>30</v>
      </c>
      <c r="R328" t="s">
        <v>41</v>
      </c>
      <c r="S328">
        <v>2</v>
      </c>
      <c r="T328">
        <v>4</v>
      </c>
      <c r="U328" t="s">
        <v>56</v>
      </c>
      <c r="V328" t="s">
        <v>33</v>
      </c>
      <c r="W328">
        <v>4</v>
      </c>
    </row>
    <row r="329" spans="1:23" x14ac:dyDescent="0.25">
      <c r="A329" t="s">
        <v>665</v>
      </c>
      <c r="B329" s="1">
        <v>45687</v>
      </c>
      <c r="C329" t="s">
        <v>89</v>
      </c>
      <c r="D329" t="s">
        <v>154</v>
      </c>
      <c r="E329" t="s">
        <v>46</v>
      </c>
      <c r="F329" t="s">
        <v>27</v>
      </c>
      <c r="G329" t="s">
        <v>164</v>
      </c>
      <c r="H329">
        <v>1</v>
      </c>
      <c r="I329">
        <v>9266</v>
      </c>
      <c r="J329">
        <v>20</v>
      </c>
      <c r="K329">
        <v>1853.2</v>
      </c>
      <c r="L329">
        <v>7412.8</v>
      </c>
      <c r="M329">
        <v>5642.65</v>
      </c>
      <c r="N329">
        <v>1770.15</v>
      </c>
      <c r="O329" t="s">
        <v>39</v>
      </c>
      <c r="P329">
        <v>1583.68</v>
      </c>
      <c r="Q329" t="s">
        <v>83</v>
      </c>
      <c r="R329" t="s">
        <v>31</v>
      </c>
      <c r="S329">
        <v>5</v>
      </c>
      <c r="T329">
        <v>6</v>
      </c>
      <c r="U329" t="s">
        <v>56</v>
      </c>
      <c r="V329" t="s">
        <v>33</v>
      </c>
      <c r="W329">
        <v>3</v>
      </c>
    </row>
    <row r="330" spans="1:23" x14ac:dyDescent="0.25">
      <c r="A330" t="s">
        <v>666</v>
      </c>
      <c r="B330" s="1">
        <v>45918</v>
      </c>
      <c r="C330" t="s">
        <v>509</v>
      </c>
      <c r="D330" t="s">
        <v>71</v>
      </c>
      <c r="E330" t="s">
        <v>36</v>
      </c>
      <c r="F330" t="s">
        <v>27</v>
      </c>
      <c r="G330" t="s">
        <v>72</v>
      </c>
      <c r="H330">
        <v>1</v>
      </c>
      <c r="I330">
        <v>20603</v>
      </c>
      <c r="J330">
        <v>10</v>
      </c>
      <c r="K330">
        <v>2060.3000000000002</v>
      </c>
      <c r="L330">
        <v>18542.7</v>
      </c>
      <c r="M330">
        <v>12683.98</v>
      </c>
      <c r="N330">
        <v>5858.72</v>
      </c>
      <c r="O330" t="s">
        <v>49</v>
      </c>
      <c r="P330">
        <v>105.02</v>
      </c>
      <c r="Q330" t="s">
        <v>73</v>
      </c>
      <c r="R330" t="s">
        <v>31</v>
      </c>
      <c r="S330">
        <v>5</v>
      </c>
      <c r="T330">
        <v>6</v>
      </c>
      <c r="U330" t="s">
        <v>56</v>
      </c>
      <c r="V330" t="s">
        <v>33</v>
      </c>
      <c r="W330">
        <v>5</v>
      </c>
    </row>
    <row r="331" spans="1:23" x14ac:dyDescent="0.25">
      <c r="A331" t="s">
        <v>667</v>
      </c>
      <c r="B331" s="1">
        <v>45699</v>
      </c>
      <c r="C331" t="s">
        <v>668</v>
      </c>
      <c r="D331" t="s">
        <v>124</v>
      </c>
      <c r="E331" t="s">
        <v>46</v>
      </c>
      <c r="F331" t="s">
        <v>86</v>
      </c>
      <c r="G331" t="s">
        <v>110</v>
      </c>
      <c r="H331">
        <v>1</v>
      </c>
      <c r="I331">
        <v>63602</v>
      </c>
      <c r="J331">
        <v>0</v>
      </c>
      <c r="K331">
        <v>0</v>
      </c>
      <c r="L331">
        <v>63602</v>
      </c>
      <c r="M331">
        <v>43401.8</v>
      </c>
      <c r="N331">
        <v>20200.2</v>
      </c>
      <c r="O331" t="s">
        <v>60</v>
      </c>
      <c r="P331">
        <v>1455.21</v>
      </c>
      <c r="Q331" t="s">
        <v>30</v>
      </c>
      <c r="R331" t="s">
        <v>31</v>
      </c>
      <c r="S331">
        <v>5</v>
      </c>
      <c r="T331">
        <v>6</v>
      </c>
      <c r="U331" t="s">
        <v>56</v>
      </c>
      <c r="V331" t="s">
        <v>33</v>
      </c>
      <c r="W331">
        <v>3</v>
      </c>
    </row>
    <row r="332" spans="1:23" x14ac:dyDescent="0.25">
      <c r="A332" t="s">
        <v>669</v>
      </c>
      <c r="B332" s="1">
        <v>45753</v>
      </c>
      <c r="C332" t="s">
        <v>500</v>
      </c>
      <c r="D332" t="s">
        <v>25</v>
      </c>
      <c r="E332" t="s">
        <v>26</v>
      </c>
      <c r="F332" t="s">
        <v>47</v>
      </c>
      <c r="G332" t="s">
        <v>48</v>
      </c>
      <c r="H332">
        <v>2</v>
      </c>
      <c r="I332">
        <v>49296</v>
      </c>
      <c r="J332">
        <v>5</v>
      </c>
      <c r="K332">
        <v>4929.6000000000004</v>
      </c>
      <c r="L332">
        <v>93662.399999999994</v>
      </c>
      <c r="M332">
        <v>57911.97</v>
      </c>
      <c r="N332">
        <v>35750.43</v>
      </c>
      <c r="O332" t="s">
        <v>60</v>
      </c>
      <c r="P332">
        <v>2404.5100000000002</v>
      </c>
      <c r="Q332" t="s">
        <v>73</v>
      </c>
      <c r="R332" t="s">
        <v>41</v>
      </c>
      <c r="S332">
        <v>2</v>
      </c>
      <c r="T332">
        <v>1</v>
      </c>
      <c r="U332" t="s">
        <v>32</v>
      </c>
      <c r="V332" t="s">
        <v>33</v>
      </c>
      <c r="W332">
        <v>5</v>
      </c>
    </row>
    <row r="333" spans="1:23" x14ac:dyDescent="0.25">
      <c r="A333" t="s">
        <v>670</v>
      </c>
      <c r="B333" s="1">
        <v>45693</v>
      </c>
      <c r="C333" t="s">
        <v>671</v>
      </c>
      <c r="D333" t="s">
        <v>67</v>
      </c>
      <c r="E333" t="s">
        <v>46</v>
      </c>
      <c r="F333" t="s">
        <v>53</v>
      </c>
      <c r="G333" t="s">
        <v>82</v>
      </c>
      <c r="H333">
        <v>3</v>
      </c>
      <c r="I333">
        <v>42493</v>
      </c>
      <c r="J333">
        <v>10</v>
      </c>
      <c r="K333">
        <v>12747.9</v>
      </c>
      <c r="L333">
        <v>114731.1</v>
      </c>
      <c r="M333">
        <v>69619.33</v>
      </c>
      <c r="N333">
        <v>45111.77</v>
      </c>
      <c r="O333" t="s">
        <v>60</v>
      </c>
      <c r="P333">
        <v>929.52</v>
      </c>
      <c r="Q333" t="s">
        <v>30</v>
      </c>
      <c r="R333" t="s">
        <v>41</v>
      </c>
      <c r="S333">
        <v>2</v>
      </c>
      <c r="T333">
        <v>1</v>
      </c>
      <c r="U333" t="s">
        <v>32</v>
      </c>
      <c r="V333" t="s">
        <v>33</v>
      </c>
      <c r="W333">
        <v>5</v>
      </c>
    </row>
    <row r="334" spans="1:23" x14ac:dyDescent="0.25">
      <c r="A334" t="s">
        <v>672</v>
      </c>
      <c r="B334" s="1">
        <v>45962</v>
      </c>
      <c r="C334" t="s">
        <v>673</v>
      </c>
      <c r="D334" t="s">
        <v>67</v>
      </c>
      <c r="E334" t="s">
        <v>26</v>
      </c>
      <c r="F334" t="s">
        <v>53</v>
      </c>
      <c r="G334" t="s">
        <v>59</v>
      </c>
      <c r="H334">
        <v>3</v>
      </c>
      <c r="I334">
        <v>52610</v>
      </c>
      <c r="J334">
        <v>10</v>
      </c>
      <c r="K334">
        <v>15783</v>
      </c>
      <c r="L334">
        <v>142047</v>
      </c>
      <c r="M334">
        <v>97545.14</v>
      </c>
      <c r="N334">
        <v>44501.86</v>
      </c>
      <c r="O334" t="s">
        <v>60</v>
      </c>
      <c r="P334">
        <v>1877.23</v>
      </c>
      <c r="Q334" t="s">
        <v>40</v>
      </c>
      <c r="R334" t="s">
        <v>41</v>
      </c>
      <c r="S334">
        <v>2</v>
      </c>
      <c r="T334">
        <v>2</v>
      </c>
      <c r="U334" t="s">
        <v>32</v>
      </c>
      <c r="V334" t="s">
        <v>33</v>
      </c>
      <c r="W334">
        <v>5</v>
      </c>
    </row>
    <row r="335" spans="1:23" x14ac:dyDescent="0.25">
      <c r="A335" t="s">
        <v>674</v>
      </c>
      <c r="B335" s="1">
        <v>45692</v>
      </c>
      <c r="C335" t="s">
        <v>675</v>
      </c>
      <c r="D335" t="s">
        <v>90</v>
      </c>
      <c r="E335" t="s">
        <v>26</v>
      </c>
      <c r="F335" t="s">
        <v>86</v>
      </c>
      <c r="G335" t="s">
        <v>127</v>
      </c>
      <c r="H335">
        <v>2</v>
      </c>
      <c r="I335">
        <v>23837</v>
      </c>
      <c r="J335">
        <v>5</v>
      </c>
      <c r="K335">
        <v>2383.6999999999998</v>
      </c>
      <c r="L335">
        <v>45290.3</v>
      </c>
      <c r="M335">
        <v>32592.71</v>
      </c>
      <c r="N335">
        <v>12697.59</v>
      </c>
      <c r="O335" t="s">
        <v>49</v>
      </c>
      <c r="P335">
        <v>121.02</v>
      </c>
      <c r="Q335" t="s">
        <v>40</v>
      </c>
      <c r="R335" t="s">
        <v>31</v>
      </c>
      <c r="S335">
        <v>5</v>
      </c>
      <c r="T335">
        <v>3</v>
      </c>
      <c r="U335" t="s">
        <v>32</v>
      </c>
      <c r="V335" t="s">
        <v>33</v>
      </c>
      <c r="W335">
        <v>1</v>
      </c>
    </row>
    <row r="336" spans="1:23" x14ac:dyDescent="0.25">
      <c r="A336" t="s">
        <v>676</v>
      </c>
      <c r="B336" s="1">
        <v>46003</v>
      </c>
      <c r="C336" t="s">
        <v>677</v>
      </c>
      <c r="D336" t="s">
        <v>25</v>
      </c>
      <c r="E336" t="s">
        <v>26</v>
      </c>
      <c r="F336" t="s">
        <v>47</v>
      </c>
      <c r="G336" t="s">
        <v>64</v>
      </c>
      <c r="H336">
        <v>2</v>
      </c>
      <c r="I336">
        <v>18369</v>
      </c>
      <c r="J336">
        <v>5</v>
      </c>
      <c r="K336">
        <v>1836.9</v>
      </c>
      <c r="L336">
        <v>34901.1</v>
      </c>
      <c r="M336">
        <v>19990.919999999998</v>
      </c>
      <c r="N336">
        <v>14910.18</v>
      </c>
      <c r="O336" t="s">
        <v>60</v>
      </c>
      <c r="P336">
        <v>2215.6999999999998</v>
      </c>
      <c r="Q336" t="s">
        <v>40</v>
      </c>
      <c r="R336" t="s">
        <v>31</v>
      </c>
      <c r="S336">
        <v>5</v>
      </c>
      <c r="T336">
        <v>6</v>
      </c>
      <c r="U336" t="s">
        <v>56</v>
      </c>
      <c r="V336" t="s">
        <v>33</v>
      </c>
      <c r="W336">
        <v>4</v>
      </c>
    </row>
    <row r="337" spans="1:23" x14ac:dyDescent="0.25">
      <c r="A337" t="s">
        <v>678</v>
      </c>
      <c r="B337" s="1">
        <v>45778</v>
      </c>
      <c r="C337" t="s">
        <v>679</v>
      </c>
      <c r="D337" t="s">
        <v>97</v>
      </c>
      <c r="E337" t="s">
        <v>26</v>
      </c>
      <c r="F337" t="s">
        <v>47</v>
      </c>
      <c r="G337" t="s">
        <v>138</v>
      </c>
      <c r="H337">
        <v>1</v>
      </c>
      <c r="I337">
        <v>37305</v>
      </c>
      <c r="J337">
        <v>0</v>
      </c>
      <c r="K337">
        <v>0</v>
      </c>
      <c r="L337">
        <v>37305</v>
      </c>
      <c r="M337">
        <v>24557.11</v>
      </c>
      <c r="N337">
        <v>12747.89</v>
      </c>
      <c r="O337" t="s">
        <v>49</v>
      </c>
      <c r="P337">
        <v>90.08</v>
      </c>
      <c r="Q337" t="s">
        <v>73</v>
      </c>
      <c r="R337" t="s">
        <v>41</v>
      </c>
      <c r="S337">
        <v>2</v>
      </c>
      <c r="T337">
        <v>1</v>
      </c>
      <c r="U337" t="s">
        <v>32</v>
      </c>
      <c r="V337" t="s">
        <v>33</v>
      </c>
      <c r="W337">
        <v>2</v>
      </c>
    </row>
    <row r="338" spans="1:23" x14ac:dyDescent="0.25">
      <c r="A338" t="s">
        <v>680</v>
      </c>
      <c r="B338" s="1">
        <v>45864</v>
      </c>
      <c r="C338" t="s">
        <v>345</v>
      </c>
      <c r="D338" t="s">
        <v>90</v>
      </c>
      <c r="E338" t="s">
        <v>26</v>
      </c>
      <c r="F338" t="s">
        <v>47</v>
      </c>
      <c r="G338" t="s">
        <v>64</v>
      </c>
      <c r="H338">
        <v>2</v>
      </c>
      <c r="I338">
        <v>51145</v>
      </c>
      <c r="J338">
        <v>5</v>
      </c>
      <c r="K338">
        <v>5114.5</v>
      </c>
      <c r="L338">
        <v>97175.5</v>
      </c>
      <c r="M338">
        <v>58445.91</v>
      </c>
      <c r="N338">
        <v>38729.589999999997</v>
      </c>
      <c r="O338" t="s">
        <v>49</v>
      </c>
      <c r="P338">
        <v>272.38</v>
      </c>
      <c r="Q338" t="s">
        <v>68</v>
      </c>
      <c r="R338" t="s">
        <v>41</v>
      </c>
      <c r="S338">
        <v>2</v>
      </c>
      <c r="T338">
        <v>1</v>
      </c>
      <c r="U338" t="s">
        <v>32</v>
      </c>
      <c r="V338" t="s">
        <v>33</v>
      </c>
      <c r="W338">
        <v>5</v>
      </c>
    </row>
    <row r="339" spans="1:23" x14ac:dyDescent="0.25">
      <c r="A339" t="s">
        <v>681</v>
      </c>
      <c r="B339" s="1">
        <v>45719</v>
      </c>
      <c r="C339" t="s">
        <v>682</v>
      </c>
      <c r="D339" t="s">
        <v>63</v>
      </c>
      <c r="E339" t="s">
        <v>26</v>
      </c>
      <c r="F339" t="s">
        <v>27</v>
      </c>
      <c r="G339" t="s">
        <v>76</v>
      </c>
      <c r="H339">
        <v>1</v>
      </c>
      <c r="I339">
        <v>13009</v>
      </c>
      <c r="J339">
        <v>5</v>
      </c>
      <c r="K339">
        <v>650.45000000000005</v>
      </c>
      <c r="L339">
        <v>12358.55</v>
      </c>
      <c r="M339">
        <v>8858.2800000000007</v>
      </c>
      <c r="N339">
        <v>3500.27</v>
      </c>
      <c r="O339" t="s">
        <v>49</v>
      </c>
      <c r="P339">
        <v>357.92</v>
      </c>
      <c r="Q339" t="s">
        <v>30</v>
      </c>
      <c r="R339" t="s">
        <v>41</v>
      </c>
      <c r="S339">
        <v>2</v>
      </c>
      <c r="T339">
        <v>1</v>
      </c>
      <c r="U339" t="s">
        <v>32</v>
      </c>
      <c r="V339" t="s">
        <v>33</v>
      </c>
      <c r="W339">
        <v>5</v>
      </c>
    </row>
    <row r="340" spans="1:23" x14ac:dyDescent="0.25">
      <c r="A340" t="s">
        <v>683</v>
      </c>
      <c r="B340" s="1">
        <v>45949</v>
      </c>
      <c r="C340" t="s">
        <v>75</v>
      </c>
      <c r="D340" t="s">
        <v>154</v>
      </c>
      <c r="E340" t="s">
        <v>36</v>
      </c>
      <c r="F340" t="s">
        <v>53</v>
      </c>
      <c r="G340" t="s">
        <v>151</v>
      </c>
      <c r="H340">
        <v>1</v>
      </c>
      <c r="I340">
        <v>36815</v>
      </c>
      <c r="J340">
        <v>10</v>
      </c>
      <c r="K340">
        <v>3681.5</v>
      </c>
      <c r="L340">
        <v>33133.5</v>
      </c>
      <c r="M340">
        <v>18876.98</v>
      </c>
      <c r="N340">
        <v>14256.52</v>
      </c>
      <c r="O340" t="s">
        <v>39</v>
      </c>
      <c r="P340">
        <v>965.58</v>
      </c>
      <c r="Q340" t="s">
        <v>68</v>
      </c>
      <c r="R340" t="s">
        <v>31</v>
      </c>
      <c r="S340">
        <v>5</v>
      </c>
      <c r="T340">
        <v>0</v>
      </c>
      <c r="U340" t="s">
        <v>32</v>
      </c>
      <c r="V340" t="s">
        <v>42</v>
      </c>
    </row>
    <row r="341" spans="1:23" x14ac:dyDescent="0.25">
      <c r="A341" t="s">
        <v>684</v>
      </c>
      <c r="B341" s="1">
        <v>45784</v>
      </c>
      <c r="C341" t="s">
        <v>582</v>
      </c>
      <c r="D341" t="s">
        <v>90</v>
      </c>
      <c r="E341" t="s">
        <v>26</v>
      </c>
      <c r="F341" t="s">
        <v>27</v>
      </c>
      <c r="G341" t="s">
        <v>72</v>
      </c>
      <c r="H341">
        <v>1</v>
      </c>
      <c r="I341">
        <v>7833</v>
      </c>
      <c r="J341">
        <v>0</v>
      </c>
      <c r="K341">
        <v>0</v>
      </c>
      <c r="L341">
        <v>7833</v>
      </c>
      <c r="M341">
        <v>4858.6400000000003</v>
      </c>
      <c r="N341">
        <v>2974.36</v>
      </c>
      <c r="O341" t="s">
        <v>39</v>
      </c>
      <c r="P341">
        <v>2219.16</v>
      </c>
      <c r="Q341" t="s">
        <v>68</v>
      </c>
      <c r="R341" t="s">
        <v>41</v>
      </c>
      <c r="S341">
        <v>2</v>
      </c>
      <c r="T341">
        <v>2</v>
      </c>
      <c r="U341" t="s">
        <v>32</v>
      </c>
      <c r="V341" t="s">
        <v>42</v>
      </c>
    </row>
    <row r="342" spans="1:23" x14ac:dyDescent="0.25">
      <c r="A342" t="s">
        <v>685</v>
      </c>
      <c r="B342" s="1">
        <v>45954</v>
      </c>
      <c r="C342" t="s">
        <v>247</v>
      </c>
      <c r="D342" t="s">
        <v>71</v>
      </c>
      <c r="E342" t="s">
        <v>46</v>
      </c>
      <c r="F342" t="s">
        <v>53</v>
      </c>
      <c r="G342" t="s">
        <v>59</v>
      </c>
      <c r="H342">
        <v>1</v>
      </c>
      <c r="I342">
        <v>25760</v>
      </c>
      <c r="J342">
        <v>15</v>
      </c>
      <c r="K342">
        <v>3864</v>
      </c>
      <c r="L342">
        <v>21896</v>
      </c>
      <c r="M342">
        <v>13715.43</v>
      </c>
      <c r="N342">
        <v>8180.57</v>
      </c>
      <c r="O342" t="s">
        <v>91</v>
      </c>
      <c r="P342">
        <v>919.92</v>
      </c>
      <c r="Q342" t="s">
        <v>68</v>
      </c>
      <c r="R342" t="s">
        <v>41</v>
      </c>
      <c r="S342">
        <v>2</v>
      </c>
      <c r="T342">
        <v>1</v>
      </c>
      <c r="U342" t="s">
        <v>32</v>
      </c>
      <c r="V342" t="s">
        <v>33</v>
      </c>
      <c r="W342">
        <v>5</v>
      </c>
    </row>
    <row r="343" spans="1:23" x14ac:dyDescent="0.25">
      <c r="A343" t="s">
        <v>686</v>
      </c>
      <c r="B343" s="1">
        <v>45962</v>
      </c>
      <c r="C343" t="s">
        <v>687</v>
      </c>
      <c r="D343" t="s">
        <v>97</v>
      </c>
      <c r="E343" t="s">
        <v>26</v>
      </c>
      <c r="F343" t="s">
        <v>86</v>
      </c>
      <c r="G343" t="s">
        <v>127</v>
      </c>
      <c r="H343">
        <v>1</v>
      </c>
      <c r="I343">
        <v>13152</v>
      </c>
      <c r="J343">
        <v>0</v>
      </c>
      <c r="K343">
        <v>0</v>
      </c>
      <c r="L343">
        <v>13152</v>
      </c>
      <c r="M343">
        <v>8903.4699999999993</v>
      </c>
      <c r="N343">
        <v>4248.53</v>
      </c>
      <c r="O343" t="s">
        <v>49</v>
      </c>
      <c r="P343">
        <v>102.21</v>
      </c>
      <c r="Q343" t="s">
        <v>30</v>
      </c>
      <c r="R343" t="s">
        <v>41</v>
      </c>
      <c r="S343">
        <v>2</v>
      </c>
      <c r="T343">
        <v>2</v>
      </c>
      <c r="U343" t="s">
        <v>32</v>
      </c>
      <c r="V343" t="s">
        <v>33</v>
      </c>
      <c r="W343">
        <v>4</v>
      </c>
    </row>
    <row r="344" spans="1:23" x14ac:dyDescent="0.25">
      <c r="A344" t="s">
        <v>688</v>
      </c>
      <c r="B344" s="1">
        <v>45678</v>
      </c>
      <c r="C344" t="s">
        <v>689</v>
      </c>
      <c r="D344" t="s">
        <v>97</v>
      </c>
      <c r="E344" t="s">
        <v>26</v>
      </c>
      <c r="F344" t="s">
        <v>53</v>
      </c>
      <c r="G344" t="s">
        <v>54</v>
      </c>
      <c r="H344">
        <v>1</v>
      </c>
      <c r="I344">
        <v>103340</v>
      </c>
      <c r="J344">
        <v>5</v>
      </c>
      <c r="K344">
        <v>5167</v>
      </c>
      <c r="L344">
        <v>98173</v>
      </c>
      <c r="M344">
        <v>77007.56</v>
      </c>
      <c r="N344">
        <v>21165.439999999999</v>
      </c>
      <c r="O344" t="s">
        <v>60</v>
      </c>
      <c r="P344">
        <v>1370.1</v>
      </c>
      <c r="Q344" t="s">
        <v>73</v>
      </c>
      <c r="R344" t="s">
        <v>31</v>
      </c>
      <c r="S344">
        <v>5</v>
      </c>
      <c r="T344">
        <v>5</v>
      </c>
      <c r="U344" t="s">
        <v>32</v>
      </c>
      <c r="V344" t="s">
        <v>33</v>
      </c>
      <c r="W344">
        <v>5</v>
      </c>
    </row>
    <row r="345" spans="1:23" x14ac:dyDescent="0.25">
      <c r="A345" t="s">
        <v>690</v>
      </c>
      <c r="B345" s="1">
        <v>45975</v>
      </c>
      <c r="C345" t="s">
        <v>691</v>
      </c>
      <c r="D345" t="s">
        <v>45</v>
      </c>
      <c r="E345" t="s">
        <v>26</v>
      </c>
      <c r="F345" t="s">
        <v>37</v>
      </c>
      <c r="G345" t="s">
        <v>38</v>
      </c>
      <c r="H345">
        <v>2</v>
      </c>
      <c r="I345">
        <v>36644</v>
      </c>
      <c r="J345">
        <v>0</v>
      </c>
      <c r="K345">
        <v>0</v>
      </c>
      <c r="L345">
        <v>73288</v>
      </c>
      <c r="M345">
        <v>57867.42</v>
      </c>
      <c r="N345">
        <v>15420.58</v>
      </c>
      <c r="O345" t="s">
        <v>55</v>
      </c>
      <c r="P345">
        <v>2457.0700000000002</v>
      </c>
      <c r="Q345" t="s">
        <v>83</v>
      </c>
      <c r="R345" t="s">
        <v>41</v>
      </c>
      <c r="S345">
        <v>2</v>
      </c>
      <c r="T345">
        <v>1</v>
      </c>
      <c r="U345" t="s">
        <v>32</v>
      </c>
      <c r="V345" t="s">
        <v>33</v>
      </c>
      <c r="W345">
        <v>5</v>
      </c>
    </row>
    <row r="346" spans="1:23" x14ac:dyDescent="0.25">
      <c r="A346" t="s">
        <v>692</v>
      </c>
      <c r="B346" s="1">
        <v>45699</v>
      </c>
      <c r="C346" t="s">
        <v>215</v>
      </c>
      <c r="D346" t="s">
        <v>25</v>
      </c>
      <c r="E346" t="s">
        <v>46</v>
      </c>
      <c r="F346" t="s">
        <v>27</v>
      </c>
      <c r="G346" t="s">
        <v>72</v>
      </c>
      <c r="H346">
        <v>1</v>
      </c>
      <c r="I346">
        <v>18378</v>
      </c>
      <c r="J346">
        <v>0</v>
      </c>
      <c r="K346">
        <v>0</v>
      </c>
      <c r="L346">
        <v>18378</v>
      </c>
      <c r="M346">
        <v>11742.54</v>
      </c>
      <c r="N346">
        <v>6635.46</v>
      </c>
      <c r="O346" t="s">
        <v>91</v>
      </c>
      <c r="P346">
        <v>2379.06</v>
      </c>
      <c r="Q346" t="s">
        <v>40</v>
      </c>
      <c r="R346" t="s">
        <v>41</v>
      </c>
      <c r="S346">
        <v>2</v>
      </c>
      <c r="T346">
        <v>1</v>
      </c>
      <c r="U346" t="s">
        <v>32</v>
      </c>
      <c r="V346" t="s">
        <v>33</v>
      </c>
      <c r="W346">
        <v>3</v>
      </c>
    </row>
    <row r="347" spans="1:23" x14ac:dyDescent="0.25">
      <c r="A347" t="s">
        <v>693</v>
      </c>
      <c r="B347" s="1">
        <v>45872</v>
      </c>
      <c r="C347" t="s">
        <v>631</v>
      </c>
      <c r="D347" t="s">
        <v>63</v>
      </c>
      <c r="E347" t="s">
        <v>26</v>
      </c>
      <c r="F347" t="s">
        <v>47</v>
      </c>
      <c r="G347" t="s">
        <v>146</v>
      </c>
      <c r="H347">
        <v>2</v>
      </c>
      <c r="I347">
        <v>46471</v>
      </c>
      <c r="J347">
        <v>10</v>
      </c>
      <c r="K347">
        <v>9294.2000000000007</v>
      </c>
      <c r="L347">
        <v>83647.8</v>
      </c>
      <c r="M347">
        <v>50026.65</v>
      </c>
      <c r="N347">
        <v>33621.15</v>
      </c>
      <c r="O347" t="s">
        <v>39</v>
      </c>
      <c r="P347">
        <v>2160.4</v>
      </c>
      <c r="Q347" t="s">
        <v>68</v>
      </c>
      <c r="R347" t="s">
        <v>31</v>
      </c>
      <c r="S347">
        <v>5</v>
      </c>
      <c r="T347">
        <v>5</v>
      </c>
      <c r="U347" t="s">
        <v>32</v>
      </c>
      <c r="V347" t="s">
        <v>33</v>
      </c>
      <c r="W347">
        <v>1</v>
      </c>
    </row>
    <row r="348" spans="1:23" x14ac:dyDescent="0.25">
      <c r="A348" t="s">
        <v>694</v>
      </c>
      <c r="B348" s="1">
        <v>45994</v>
      </c>
      <c r="C348" t="s">
        <v>695</v>
      </c>
      <c r="D348" t="s">
        <v>154</v>
      </c>
      <c r="E348" t="s">
        <v>46</v>
      </c>
      <c r="F348" t="s">
        <v>27</v>
      </c>
      <c r="G348" t="s">
        <v>113</v>
      </c>
      <c r="H348">
        <v>2</v>
      </c>
      <c r="I348">
        <v>15265</v>
      </c>
      <c r="J348">
        <v>10</v>
      </c>
      <c r="K348">
        <v>3053</v>
      </c>
      <c r="L348">
        <v>27477</v>
      </c>
      <c r="M348">
        <v>18915.62</v>
      </c>
      <c r="N348">
        <v>8561.3799999999992</v>
      </c>
      <c r="O348" t="s">
        <v>55</v>
      </c>
      <c r="P348">
        <v>1295.81</v>
      </c>
      <c r="Q348" t="s">
        <v>40</v>
      </c>
      <c r="R348" t="s">
        <v>41</v>
      </c>
      <c r="S348">
        <v>2</v>
      </c>
      <c r="T348">
        <v>1</v>
      </c>
      <c r="U348" t="s">
        <v>32</v>
      </c>
      <c r="V348" t="s">
        <v>33</v>
      </c>
      <c r="W348">
        <v>4</v>
      </c>
    </row>
    <row r="349" spans="1:23" x14ac:dyDescent="0.25">
      <c r="A349" t="s">
        <v>696</v>
      </c>
      <c r="B349" s="1">
        <v>45956</v>
      </c>
      <c r="C349" t="s">
        <v>509</v>
      </c>
      <c r="D349" t="s">
        <v>71</v>
      </c>
      <c r="E349" t="s">
        <v>26</v>
      </c>
      <c r="F349" t="s">
        <v>37</v>
      </c>
      <c r="G349" t="s">
        <v>100</v>
      </c>
      <c r="H349">
        <v>1</v>
      </c>
      <c r="I349">
        <v>26396</v>
      </c>
      <c r="J349">
        <v>20</v>
      </c>
      <c r="K349">
        <v>5279.2</v>
      </c>
      <c r="L349">
        <v>21116.799999999999</v>
      </c>
      <c r="M349">
        <v>15470.99</v>
      </c>
      <c r="N349">
        <v>5645.81</v>
      </c>
      <c r="O349" t="s">
        <v>39</v>
      </c>
      <c r="P349">
        <v>1647.99</v>
      </c>
      <c r="Q349" t="s">
        <v>40</v>
      </c>
      <c r="R349" t="s">
        <v>31</v>
      </c>
      <c r="S349">
        <v>5</v>
      </c>
      <c r="T349">
        <v>3</v>
      </c>
      <c r="U349" t="s">
        <v>32</v>
      </c>
      <c r="V349" t="s">
        <v>50</v>
      </c>
      <c r="W349">
        <v>5</v>
      </c>
    </row>
    <row r="350" spans="1:23" x14ac:dyDescent="0.25">
      <c r="A350" t="s">
        <v>697</v>
      </c>
      <c r="B350" s="1">
        <v>45947</v>
      </c>
      <c r="C350" t="s">
        <v>698</v>
      </c>
      <c r="D350" t="s">
        <v>71</v>
      </c>
      <c r="E350" t="s">
        <v>36</v>
      </c>
      <c r="F350" t="s">
        <v>53</v>
      </c>
      <c r="G350" t="s">
        <v>59</v>
      </c>
      <c r="H350">
        <v>1</v>
      </c>
      <c r="I350">
        <v>28478</v>
      </c>
      <c r="J350">
        <v>15</v>
      </c>
      <c r="K350">
        <v>4271.7</v>
      </c>
      <c r="L350">
        <v>24206.3</v>
      </c>
      <c r="M350">
        <v>15244.64</v>
      </c>
      <c r="N350">
        <v>8961.66</v>
      </c>
      <c r="O350" t="s">
        <v>55</v>
      </c>
      <c r="P350">
        <v>1380.85</v>
      </c>
      <c r="Q350" t="s">
        <v>40</v>
      </c>
      <c r="R350" t="s">
        <v>31</v>
      </c>
      <c r="S350">
        <v>5</v>
      </c>
      <c r="T350">
        <v>3</v>
      </c>
      <c r="U350" t="s">
        <v>32</v>
      </c>
      <c r="V350" t="s">
        <v>33</v>
      </c>
      <c r="W350">
        <v>1</v>
      </c>
    </row>
    <row r="351" spans="1:23" x14ac:dyDescent="0.25">
      <c r="A351" t="s">
        <v>699</v>
      </c>
      <c r="B351" s="1">
        <v>45925</v>
      </c>
      <c r="C351" t="s">
        <v>278</v>
      </c>
      <c r="D351" t="s">
        <v>67</v>
      </c>
      <c r="E351" t="s">
        <v>26</v>
      </c>
      <c r="F351" t="s">
        <v>27</v>
      </c>
      <c r="G351" t="s">
        <v>113</v>
      </c>
      <c r="H351">
        <v>2</v>
      </c>
      <c r="I351">
        <v>6179</v>
      </c>
      <c r="J351">
        <v>0</v>
      </c>
      <c r="K351">
        <v>0</v>
      </c>
      <c r="L351">
        <v>12358</v>
      </c>
      <c r="M351">
        <v>7177.06</v>
      </c>
      <c r="N351">
        <v>5180.9399999999996</v>
      </c>
      <c r="O351" t="s">
        <v>49</v>
      </c>
      <c r="P351">
        <v>131.99</v>
      </c>
      <c r="Q351" t="s">
        <v>30</v>
      </c>
      <c r="R351" t="s">
        <v>41</v>
      </c>
      <c r="S351">
        <v>2</v>
      </c>
      <c r="T351">
        <v>1</v>
      </c>
      <c r="U351" t="s">
        <v>32</v>
      </c>
      <c r="V351" t="s">
        <v>50</v>
      </c>
      <c r="W351">
        <v>5</v>
      </c>
    </row>
    <row r="352" spans="1:23" x14ac:dyDescent="0.25">
      <c r="A352" t="s">
        <v>700</v>
      </c>
      <c r="B352" s="1">
        <v>45819</v>
      </c>
      <c r="C352" t="s">
        <v>482</v>
      </c>
      <c r="D352" t="s">
        <v>63</v>
      </c>
      <c r="E352" t="s">
        <v>26</v>
      </c>
      <c r="F352" t="s">
        <v>53</v>
      </c>
      <c r="G352" t="s">
        <v>151</v>
      </c>
      <c r="H352">
        <v>1</v>
      </c>
      <c r="I352">
        <v>96852</v>
      </c>
      <c r="J352">
        <v>5</v>
      </c>
      <c r="K352">
        <v>4842.6000000000004</v>
      </c>
      <c r="L352">
        <v>92009.4</v>
      </c>
      <c r="M352">
        <v>55203.21</v>
      </c>
      <c r="N352">
        <v>36806.19</v>
      </c>
      <c r="O352" t="s">
        <v>39</v>
      </c>
      <c r="P352">
        <v>444.56</v>
      </c>
      <c r="Q352" t="s">
        <v>40</v>
      </c>
      <c r="R352" t="s">
        <v>41</v>
      </c>
      <c r="S352">
        <v>2</v>
      </c>
      <c r="T352">
        <v>6</v>
      </c>
      <c r="U352" t="s">
        <v>32</v>
      </c>
      <c r="V352" t="s">
        <v>50</v>
      </c>
      <c r="W352">
        <v>5</v>
      </c>
    </row>
    <row r="353" spans="1:23" x14ac:dyDescent="0.25">
      <c r="A353" t="s">
        <v>701</v>
      </c>
      <c r="B353" s="1">
        <v>45791</v>
      </c>
      <c r="C353" t="s">
        <v>702</v>
      </c>
      <c r="D353" t="s">
        <v>79</v>
      </c>
      <c r="E353" t="s">
        <v>46</v>
      </c>
      <c r="F353" t="s">
        <v>53</v>
      </c>
      <c r="G353" t="s">
        <v>151</v>
      </c>
      <c r="H353">
        <v>1</v>
      </c>
      <c r="I353">
        <v>99676</v>
      </c>
      <c r="J353">
        <v>10</v>
      </c>
      <c r="K353">
        <v>9967.6</v>
      </c>
      <c r="L353">
        <v>89708.4</v>
      </c>
      <c r="M353">
        <v>64320.46</v>
      </c>
      <c r="N353">
        <v>25387.94</v>
      </c>
      <c r="O353" t="s">
        <v>55</v>
      </c>
      <c r="P353">
        <v>1749.75</v>
      </c>
      <c r="Q353" t="s">
        <v>30</v>
      </c>
      <c r="R353" t="s">
        <v>41</v>
      </c>
      <c r="S353">
        <v>2</v>
      </c>
      <c r="T353">
        <v>5</v>
      </c>
      <c r="U353" t="s">
        <v>32</v>
      </c>
      <c r="V353" t="s">
        <v>42</v>
      </c>
    </row>
    <row r="354" spans="1:23" x14ac:dyDescent="0.25">
      <c r="A354" t="s">
        <v>703</v>
      </c>
      <c r="B354" s="1">
        <v>45762</v>
      </c>
      <c r="C354" t="s">
        <v>704</v>
      </c>
      <c r="D354" t="s">
        <v>154</v>
      </c>
      <c r="E354" t="s">
        <v>46</v>
      </c>
      <c r="F354" t="s">
        <v>86</v>
      </c>
      <c r="G354" t="s">
        <v>180</v>
      </c>
      <c r="H354">
        <v>2</v>
      </c>
      <c r="I354">
        <v>9514</v>
      </c>
      <c r="J354">
        <v>0</v>
      </c>
      <c r="K354">
        <v>0</v>
      </c>
      <c r="L354">
        <v>19028</v>
      </c>
      <c r="M354">
        <v>13803.48</v>
      </c>
      <c r="N354">
        <v>5224.5200000000004</v>
      </c>
      <c r="O354" t="s">
        <v>55</v>
      </c>
      <c r="P354">
        <v>892.11</v>
      </c>
      <c r="Q354" t="s">
        <v>30</v>
      </c>
      <c r="R354" t="s">
        <v>31</v>
      </c>
      <c r="S354">
        <v>5</v>
      </c>
      <c r="T354">
        <v>6</v>
      </c>
      <c r="U354" t="s">
        <v>56</v>
      </c>
      <c r="V354" t="s">
        <v>33</v>
      </c>
      <c r="W354">
        <v>1</v>
      </c>
    </row>
    <row r="355" spans="1:23" x14ac:dyDescent="0.25">
      <c r="A355" t="s">
        <v>705</v>
      </c>
      <c r="B355" s="1">
        <v>46000</v>
      </c>
      <c r="C355" t="s">
        <v>706</v>
      </c>
      <c r="D355" t="s">
        <v>90</v>
      </c>
      <c r="E355" t="s">
        <v>46</v>
      </c>
      <c r="F355" t="s">
        <v>47</v>
      </c>
      <c r="G355" t="s">
        <v>105</v>
      </c>
      <c r="H355">
        <v>1</v>
      </c>
      <c r="I355">
        <v>36180</v>
      </c>
      <c r="J355">
        <v>20</v>
      </c>
      <c r="K355">
        <v>7236</v>
      </c>
      <c r="L355">
        <v>28944</v>
      </c>
      <c r="M355">
        <v>20492.669999999998</v>
      </c>
      <c r="N355">
        <v>8451.33</v>
      </c>
      <c r="O355" t="s">
        <v>55</v>
      </c>
      <c r="P355">
        <v>2107.7399999999998</v>
      </c>
      <c r="Q355" t="s">
        <v>30</v>
      </c>
      <c r="R355" t="s">
        <v>41</v>
      </c>
      <c r="S355">
        <v>2</v>
      </c>
      <c r="T355">
        <v>1</v>
      </c>
      <c r="U355" t="s">
        <v>32</v>
      </c>
      <c r="V355" t="s">
        <v>33</v>
      </c>
      <c r="W355">
        <v>5</v>
      </c>
    </row>
    <row r="356" spans="1:23" x14ac:dyDescent="0.25">
      <c r="A356" t="s">
        <v>707</v>
      </c>
      <c r="B356" s="1">
        <v>45818</v>
      </c>
      <c r="C356" t="s">
        <v>546</v>
      </c>
      <c r="D356" t="s">
        <v>79</v>
      </c>
      <c r="E356" t="s">
        <v>36</v>
      </c>
      <c r="F356" t="s">
        <v>53</v>
      </c>
      <c r="G356" t="s">
        <v>59</v>
      </c>
      <c r="H356">
        <v>1</v>
      </c>
      <c r="I356">
        <v>63484</v>
      </c>
      <c r="J356">
        <v>0</v>
      </c>
      <c r="K356">
        <v>0</v>
      </c>
      <c r="L356">
        <v>63484</v>
      </c>
      <c r="M356">
        <v>43272.22</v>
      </c>
      <c r="N356">
        <v>20211.78</v>
      </c>
      <c r="O356" t="s">
        <v>49</v>
      </c>
      <c r="P356">
        <v>371.43</v>
      </c>
      <c r="Q356" t="s">
        <v>40</v>
      </c>
      <c r="R356" t="s">
        <v>41</v>
      </c>
      <c r="S356">
        <v>2</v>
      </c>
      <c r="T356">
        <v>1</v>
      </c>
      <c r="U356" t="s">
        <v>32</v>
      </c>
      <c r="V356" t="s">
        <v>33</v>
      </c>
      <c r="W356">
        <v>2</v>
      </c>
    </row>
    <row r="357" spans="1:23" x14ac:dyDescent="0.25">
      <c r="A357" t="s">
        <v>708</v>
      </c>
      <c r="B357" s="1">
        <v>45780</v>
      </c>
      <c r="C357" t="s">
        <v>709</v>
      </c>
      <c r="D357" t="s">
        <v>25</v>
      </c>
      <c r="E357" t="s">
        <v>46</v>
      </c>
      <c r="F357" t="s">
        <v>53</v>
      </c>
      <c r="G357" t="s">
        <v>54</v>
      </c>
      <c r="H357">
        <v>3</v>
      </c>
      <c r="I357">
        <v>63675</v>
      </c>
      <c r="J357">
        <v>20</v>
      </c>
      <c r="K357">
        <v>38205</v>
      </c>
      <c r="L357">
        <v>152820</v>
      </c>
      <c r="M357">
        <v>112831.42</v>
      </c>
      <c r="N357">
        <v>39988.58</v>
      </c>
      <c r="O357" t="s">
        <v>29</v>
      </c>
      <c r="P357">
        <v>1870.28</v>
      </c>
      <c r="Q357" t="s">
        <v>30</v>
      </c>
      <c r="R357" t="s">
        <v>31</v>
      </c>
      <c r="S357">
        <v>5</v>
      </c>
      <c r="T357">
        <v>2</v>
      </c>
      <c r="U357" t="s">
        <v>32</v>
      </c>
      <c r="V357" t="s">
        <v>33</v>
      </c>
      <c r="W357">
        <v>3</v>
      </c>
    </row>
    <row r="358" spans="1:23" x14ac:dyDescent="0.25">
      <c r="A358" t="s">
        <v>710</v>
      </c>
      <c r="B358" s="1">
        <v>45793</v>
      </c>
      <c r="C358" t="s">
        <v>711</v>
      </c>
      <c r="D358" t="s">
        <v>97</v>
      </c>
      <c r="E358" t="s">
        <v>26</v>
      </c>
      <c r="F358" t="s">
        <v>86</v>
      </c>
      <c r="G358" t="s">
        <v>127</v>
      </c>
      <c r="H358">
        <v>2</v>
      </c>
      <c r="I358">
        <v>67402</v>
      </c>
      <c r="J358">
        <v>15</v>
      </c>
      <c r="K358">
        <v>20220.599999999999</v>
      </c>
      <c r="L358">
        <v>114583.4</v>
      </c>
      <c r="M358">
        <v>92714.8</v>
      </c>
      <c r="N358">
        <v>21868.6</v>
      </c>
      <c r="O358" t="s">
        <v>91</v>
      </c>
      <c r="P358">
        <v>2039.44</v>
      </c>
      <c r="Q358" t="s">
        <v>68</v>
      </c>
      <c r="R358" t="s">
        <v>41</v>
      </c>
      <c r="S358">
        <v>2</v>
      </c>
      <c r="T358">
        <v>6</v>
      </c>
      <c r="U358" t="s">
        <v>32</v>
      </c>
      <c r="V358" t="s">
        <v>50</v>
      </c>
      <c r="W358">
        <v>4</v>
      </c>
    </row>
    <row r="359" spans="1:23" x14ac:dyDescent="0.25">
      <c r="A359" t="s">
        <v>712</v>
      </c>
      <c r="B359" s="1">
        <v>45860</v>
      </c>
      <c r="C359" t="s">
        <v>466</v>
      </c>
      <c r="D359" t="s">
        <v>79</v>
      </c>
      <c r="E359" t="s">
        <v>26</v>
      </c>
      <c r="F359" t="s">
        <v>37</v>
      </c>
      <c r="G359" t="s">
        <v>161</v>
      </c>
      <c r="H359">
        <v>1</v>
      </c>
      <c r="I359">
        <v>31261</v>
      </c>
      <c r="J359">
        <v>20</v>
      </c>
      <c r="K359">
        <v>6252.2</v>
      </c>
      <c r="L359">
        <v>25008.799999999999</v>
      </c>
      <c r="M359">
        <v>15805.21</v>
      </c>
      <c r="N359">
        <v>9203.59</v>
      </c>
      <c r="O359" t="s">
        <v>49</v>
      </c>
      <c r="P359">
        <v>211.45</v>
      </c>
      <c r="Q359" t="s">
        <v>73</v>
      </c>
      <c r="R359" t="s">
        <v>31</v>
      </c>
      <c r="S359">
        <v>5</v>
      </c>
      <c r="T359">
        <v>4</v>
      </c>
      <c r="U359" t="s">
        <v>32</v>
      </c>
      <c r="V359" t="s">
        <v>33</v>
      </c>
      <c r="W359">
        <v>1</v>
      </c>
    </row>
    <row r="360" spans="1:23" x14ac:dyDescent="0.25">
      <c r="A360" t="s">
        <v>713</v>
      </c>
      <c r="B360" s="1">
        <v>45725</v>
      </c>
      <c r="C360" t="s">
        <v>714</v>
      </c>
      <c r="D360" t="s">
        <v>97</v>
      </c>
      <c r="E360" t="s">
        <v>36</v>
      </c>
      <c r="F360" t="s">
        <v>86</v>
      </c>
      <c r="G360" t="s">
        <v>87</v>
      </c>
      <c r="H360">
        <v>1</v>
      </c>
      <c r="I360">
        <v>35712</v>
      </c>
      <c r="J360">
        <v>20</v>
      </c>
      <c r="K360">
        <v>7142.4</v>
      </c>
      <c r="L360">
        <v>28569.599999999999</v>
      </c>
      <c r="M360">
        <v>17702.07</v>
      </c>
      <c r="N360">
        <v>10867.53</v>
      </c>
      <c r="O360" t="s">
        <v>55</v>
      </c>
      <c r="P360">
        <v>307.36</v>
      </c>
      <c r="Q360" t="s">
        <v>40</v>
      </c>
      <c r="R360" t="s">
        <v>41</v>
      </c>
      <c r="S360">
        <v>2</v>
      </c>
      <c r="T360">
        <v>2</v>
      </c>
      <c r="U360" t="s">
        <v>32</v>
      </c>
      <c r="V360" t="s">
        <v>33</v>
      </c>
      <c r="W360">
        <v>5</v>
      </c>
    </row>
    <row r="361" spans="1:23" x14ac:dyDescent="0.25">
      <c r="A361" t="s">
        <v>715</v>
      </c>
      <c r="B361" s="1">
        <v>46001</v>
      </c>
      <c r="C361" t="s">
        <v>574</v>
      </c>
      <c r="D361" t="s">
        <v>45</v>
      </c>
      <c r="E361" t="s">
        <v>46</v>
      </c>
      <c r="F361" t="s">
        <v>86</v>
      </c>
      <c r="G361" t="s">
        <v>87</v>
      </c>
      <c r="H361">
        <v>1</v>
      </c>
      <c r="I361">
        <v>20539</v>
      </c>
      <c r="J361">
        <v>25</v>
      </c>
      <c r="K361">
        <v>5134.75</v>
      </c>
      <c r="L361">
        <v>15404.25</v>
      </c>
      <c r="M361">
        <v>8646.89</v>
      </c>
      <c r="N361">
        <v>6757.36</v>
      </c>
      <c r="O361" t="s">
        <v>49</v>
      </c>
      <c r="P361">
        <v>103.13</v>
      </c>
      <c r="Q361" t="s">
        <v>68</v>
      </c>
      <c r="R361" t="s">
        <v>31</v>
      </c>
      <c r="S361">
        <v>5</v>
      </c>
      <c r="T361">
        <v>3</v>
      </c>
      <c r="U361" t="s">
        <v>32</v>
      </c>
      <c r="V361" t="s">
        <v>33</v>
      </c>
      <c r="W361">
        <v>5</v>
      </c>
    </row>
    <row r="362" spans="1:23" x14ac:dyDescent="0.25">
      <c r="A362" t="s">
        <v>716</v>
      </c>
      <c r="B362" s="1">
        <v>45988</v>
      </c>
      <c r="C362" t="s">
        <v>717</v>
      </c>
      <c r="D362" t="s">
        <v>67</v>
      </c>
      <c r="E362" t="s">
        <v>26</v>
      </c>
      <c r="F362" t="s">
        <v>86</v>
      </c>
      <c r="G362" t="s">
        <v>87</v>
      </c>
      <c r="H362">
        <v>3</v>
      </c>
      <c r="I362">
        <v>53675</v>
      </c>
      <c r="J362">
        <v>0</v>
      </c>
      <c r="K362">
        <v>0</v>
      </c>
      <c r="L362">
        <v>161025</v>
      </c>
      <c r="M362">
        <v>125457.91</v>
      </c>
      <c r="N362">
        <v>35567.089999999997</v>
      </c>
      <c r="O362" t="s">
        <v>29</v>
      </c>
      <c r="P362">
        <v>1968.78</v>
      </c>
      <c r="Q362" t="s">
        <v>68</v>
      </c>
      <c r="R362" t="s">
        <v>41</v>
      </c>
      <c r="S362">
        <v>2</v>
      </c>
      <c r="T362">
        <v>3</v>
      </c>
      <c r="U362" t="s">
        <v>56</v>
      </c>
      <c r="V362" t="s">
        <v>33</v>
      </c>
      <c r="W362">
        <v>5</v>
      </c>
    </row>
    <row r="363" spans="1:23" x14ac:dyDescent="0.25">
      <c r="A363" t="s">
        <v>718</v>
      </c>
      <c r="B363" s="1">
        <v>45811</v>
      </c>
      <c r="C363" t="s">
        <v>719</v>
      </c>
      <c r="D363" t="s">
        <v>97</v>
      </c>
      <c r="E363" t="s">
        <v>46</v>
      </c>
      <c r="F363" t="s">
        <v>27</v>
      </c>
      <c r="G363" t="s">
        <v>72</v>
      </c>
      <c r="H363">
        <v>1</v>
      </c>
      <c r="I363">
        <v>24125</v>
      </c>
      <c r="J363">
        <v>0</v>
      </c>
      <c r="K363">
        <v>0</v>
      </c>
      <c r="L363">
        <v>24125</v>
      </c>
      <c r="M363">
        <v>18174.95</v>
      </c>
      <c r="N363">
        <v>5950.05</v>
      </c>
      <c r="O363" t="s">
        <v>91</v>
      </c>
      <c r="P363">
        <v>724.82</v>
      </c>
      <c r="Q363" t="s">
        <v>30</v>
      </c>
      <c r="R363" t="s">
        <v>41</v>
      </c>
      <c r="S363">
        <v>2</v>
      </c>
      <c r="T363">
        <v>6</v>
      </c>
      <c r="U363" t="s">
        <v>32</v>
      </c>
      <c r="V363" t="s">
        <v>42</v>
      </c>
    </row>
    <row r="364" spans="1:23" x14ac:dyDescent="0.25">
      <c r="A364" t="s">
        <v>720</v>
      </c>
      <c r="B364" s="1">
        <v>45892</v>
      </c>
      <c r="C364" t="s">
        <v>618</v>
      </c>
      <c r="D364" t="s">
        <v>97</v>
      </c>
      <c r="E364" t="s">
        <v>46</v>
      </c>
      <c r="F364" t="s">
        <v>27</v>
      </c>
      <c r="G364" t="s">
        <v>113</v>
      </c>
      <c r="H364">
        <v>1</v>
      </c>
      <c r="I364">
        <v>5780</v>
      </c>
      <c r="J364">
        <v>10</v>
      </c>
      <c r="K364">
        <v>578</v>
      </c>
      <c r="L364">
        <v>5202</v>
      </c>
      <c r="M364">
        <v>3303.26</v>
      </c>
      <c r="N364">
        <v>1898.74</v>
      </c>
      <c r="O364" t="s">
        <v>49</v>
      </c>
      <c r="P364">
        <v>226.97</v>
      </c>
      <c r="Q364" t="s">
        <v>83</v>
      </c>
      <c r="R364" t="s">
        <v>41</v>
      </c>
      <c r="S364">
        <v>2</v>
      </c>
      <c r="T364">
        <v>1</v>
      </c>
      <c r="U364" t="s">
        <v>32</v>
      </c>
      <c r="V364" t="s">
        <v>33</v>
      </c>
      <c r="W364">
        <v>1</v>
      </c>
    </row>
    <row r="365" spans="1:23" x14ac:dyDescent="0.25">
      <c r="A365" t="s">
        <v>721</v>
      </c>
      <c r="B365" s="1">
        <v>45819</v>
      </c>
      <c r="C365" t="s">
        <v>722</v>
      </c>
      <c r="D365" t="s">
        <v>97</v>
      </c>
      <c r="E365" t="s">
        <v>46</v>
      </c>
      <c r="F365" t="s">
        <v>47</v>
      </c>
      <c r="G365" t="s">
        <v>64</v>
      </c>
      <c r="H365">
        <v>3</v>
      </c>
      <c r="I365">
        <v>43281</v>
      </c>
      <c r="J365">
        <v>10</v>
      </c>
      <c r="K365">
        <v>12984.3</v>
      </c>
      <c r="L365">
        <v>116858.7</v>
      </c>
      <c r="M365">
        <v>64521.62</v>
      </c>
      <c r="N365">
        <v>52337.08</v>
      </c>
      <c r="O365" t="s">
        <v>39</v>
      </c>
      <c r="P365">
        <v>1129.06</v>
      </c>
      <c r="Q365" t="s">
        <v>68</v>
      </c>
      <c r="R365" t="s">
        <v>31</v>
      </c>
      <c r="S365">
        <v>5</v>
      </c>
      <c r="T365">
        <v>5</v>
      </c>
      <c r="U365" t="s">
        <v>32</v>
      </c>
      <c r="V365" t="s">
        <v>33</v>
      </c>
      <c r="W365">
        <v>5</v>
      </c>
    </row>
    <row r="366" spans="1:23" x14ac:dyDescent="0.25">
      <c r="A366" t="s">
        <v>723</v>
      </c>
      <c r="B366" s="1">
        <v>45695</v>
      </c>
      <c r="C366" t="s">
        <v>514</v>
      </c>
      <c r="D366" t="s">
        <v>25</v>
      </c>
      <c r="E366" t="s">
        <v>46</v>
      </c>
      <c r="F366" t="s">
        <v>37</v>
      </c>
      <c r="G366" t="s">
        <v>38</v>
      </c>
      <c r="H366">
        <v>1</v>
      </c>
      <c r="I366">
        <v>25921</v>
      </c>
      <c r="J366">
        <v>15</v>
      </c>
      <c r="K366">
        <v>3888.15</v>
      </c>
      <c r="L366">
        <v>22032.85</v>
      </c>
      <c r="M366">
        <v>16431.580000000002</v>
      </c>
      <c r="N366">
        <v>5601.27</v>
      </c>
      <c r="O366" t="s">
        <v>49</v>
      </c>
      <c r="P366">
        <v>177.77</v>
      </c>
      <c r="Q366" t="s">
        <v>83</v>
      </c>
      <c r="R366" t="s">
        <v>31</v>
      </c>
      <c r="S366">
        <v>5</v>
      </c>
      <c r="T366">
        <v>4</v>
      </c>
      <c r="U366" t="s">
        <v>32</v>
      </c>
      <c r="V366" t="s">
        <v>50</v>
      </c>
      <c r="W366">
        <v>5</v>
      </c>
    </row>
    <row r="367" spans="1:23" x14ac:dyDescent="0.25">
      <c r="A367" t="s">
        <v>724</v>
      </c>
      <c r="B367" s="1">
        <v>45662</v>
      </c>
      <c r="C367" t="s">
        <v>555</v>
      </c>
      <c r="D367" t="s">
        <v>97</v>
      </c>
      <c r="E367" t="s">
        <v>26</v>
      </c>
      <c r="F367" t="s">
        <v>37</v>
      </c>
      <c r="G367" t="s">
        <v>38</v>
      </c>
      <c r="H367">
        <v>1</v>
      </c>
      <c r="I367">
        <v>19816</v>
      </c>
      <c r="J367">
        <v>10</v>
      </c>
      <c r="K367">
        <v>1981.6</v>
      </c>
      <c r="L367">
        <v>17834.400000000001</v>
      </c>
      <c r="M367">
        <v>13307.27</v>
      </c>
      <c r="N367">
        <v>4527.13</v>
      </c>
      <c r="O367" t="s">
        <v>39</v>
      </c>
      <c r="P367">
        <v>337.88</v>
      </c>
      <c r="Q367" t="s">
        <v>73</v>
      </c>
      <c r="R367" t="s">
        <v>31</v>
      </c>
      <c r="S367">
        <v>5</v>
      </c>
      <c r="T367">
        <v>5</v>
      </c>
      <c r="U367" t="s">
        <v>32</v>
      </c>
      <c r="V367" t="s">
        <v>42</v>
      </c>
    </row>
    <row r="368" spans="1:23" x14ac:dyDescent="0.25">
      <c r="A368" t="s">
        <v>725</v>
      </c>
      <c r="B368" s="1">
        <v>45892</v>
      </c>
      <c r="C368" t="s">
        <v>526</v>
      </c>
      <c r="D368" t="s">
        <v>79</v>
      </c>
      <c r="E368" t="s">
        <v>26</v>
      </c>
      <c r="F368" t="s">
        <v>86</v>
      </c>
      <c r="G368" t="s">
        <v>110</v>
      </c>
      <c r="H368">
        <v>3</v>
      </c>
      <c r="I368">
        <v>81030</v>
      </c>
      <c r="J368">
        <v>20</v>
      </c>
      <c r="K368">
        <v>48618</v>
      </c>
      <c r="L368">
        <v>194472</v>
      </c>
      <c r="M368">
        <v>124758.59</v>
      </c>
      <c r="N368">
        <v>69713.41</v>
      </c>
      <c r="O368" t="s">
        <v>55</v>
      </c>
      <c r="P368">
        <v>888.16</v>
      </c>
      <c r="Q368" t="s">
        <v>40</v>
      </c>
      <c r="R368" t="s">
        <v>31</v>
      </c>
      <c r="S368">
        <v>5</v>
      </c>
      <c r="T368">
        <v>5</v>
      </c>
      <c r="U368" t="s">
        <v>32</v>
      </c>
      <c r="V368" t="s">
        <v>33</v>
      </c>
      <c r="W368">
        <v>3</v>
      </c>
    </row>
    <row r="369" spans="1:23" x14ac:dyDescent="0.25">
      <c r="A369" t="s">
        <v>726</v>
      </c>
      <c r="B369" s="1">
        <v>45976</v>
      </c>
      <c r="C369" t="s">
        <v>565</v>
      </c>
      <c r="D369" t="s">
        <v>124</v>
      </c>
      <c r="E369" t="s">
        <v>46</v>
      </c>
      <c r="F369" t="s">
        <v>47</v>
      </c>
      <c r="G369" t="s">
        <v>105</v>
      </c>
      <c r="H369">
        <v>2</v>
      </c>
      <c r="I369">
        <v>30676</v>
      </c>
      <c r="J369">
        <v>15</v>
      </c>
      <c r="K369">
        <v>9202.7999999999993</v>
      </c>
      <c r="L369">
        <v>52149.2</v>
      </c>
      <c r="M369">
        <v>40346.699999999997</v>
      </c>
      <c r="N369">
        <v>11802.5</v>
      </c>
      <c r="O369" t="s">
        <v>55</v>
      </c>
      <c r="P369">
        <v>1177.24</v>
      </c>
      <c r="Q369" t="s">
        <v>68</v>
      </c>
      <c r="R369" t="s">
        <v>31</v>
      </c>
      <c r="S369">
        <v>5</v>
      </c>
      <c r="T369">
        <v>5</v>
      </c>
      <c r="U369" t="s">
        <v>32</v>
      </c>
      <c r="V369" t="s">
        <v>33</v>
      </c>
      <c r="W369">
        <v>1</v>
      </c>
    </row>
    <row r="370" spans="1:23" x14ac:dyDescent="0.25">
      <c r="A370" t="s">
        <v>727</v>
      </c>
      <c r="B370" s="1">
        <v>45946</v>
      </c>
      <c r="C370" t="s">
        <v>380</v>
      </c>
      <c r="D370" t="s">
        <v>79</v>
      </c>
      <c r="E370" t="s">
        <v>26</v>
      </c>
      <c r="F370" t="s">
        <v>27</v>
      </c>
      <c r="G370" t="s">
        <v>76</v>
      </c>
      <c r="H370">
        <v>1</v>
      </c>
      <c r="I370">
        <v>12140</v>
      </c>
      <c r="J370">
        <v>15</v>
      </c>
      <c r="K370">
        <v>1821</v>
      </c>
      <c r="L370">
        <v>10319</v>
      </c>
      <c r="M370">
        <v>8451.86</v>
      </c>
      <c r="N370">
        <v>1867.14</v>
      </c>
      <c r="O370" t="s">
        <v>39</v>
      </c>
      <c r="P370">
        <v>2094.77</v>
      </c>
      <c r="Q370" t="s">
        <v>68</v>
      </c>
      <c r="R370" t="s">
        <v>41</v>
      </c>
      <c r="S370">
        <v>2</v>
      </c>
      <c r="T370">
        <v>5</v>
      </c>
      <c r="U370" t="s">
        <v>32</v>
      </c>
      <c r="V370" t="s">
        <v>50</v>
      </c>
      <c r="W370">
        <v>4</v>
      </c>
    </row>
    <row r="371" spans="1:23" x14ac:dyDescent="0.25">
      <c r="A371" t="s">
        <v>728</v>
      </c>
      <c r="B371" s="1">
        <v>45709</v>
      </c>
      <c r="C371" t="s">
        <v>729</v>
      </c>
      <c r="D371" t="s">
        <v>67</v>
      </c>
      <c r="E371" t="s">
        <v>36</v>
      </c>
      <c r="F371" t="s">
        <v>37</v>
      </c>
      <c r="G371" t="s">
        <v>161</v>
      </c>
      <c r="H371">
        <v>1</v>
      </c>
      <c r="I371">
        <v>35021</v>
      </c>
      <c r="J371">
        <v>0</v>
      </c>
      <c r="K371">
        <v>0</v>
      </c>
      <c r="L371">
        <v>35021</v>
      </c>
      <c r="M371">
        <v>26320.17</v>
      </c>
      <c r="N371">
        <v>8700.83</v>
      </c>
      <c r="O371" t="s">
        <v>91</v>
      </c>
      <c r="P371">
        <v>1583.68</v>
      </c>
      <c r="Q371" t="s">
        <v>30</v>
      </c>
      <c r="R371" t="s">
        <v>41</v>
      </c>
      <c r="S371">
        <v>2</v>
      </c>
      <c r="T371">
        <v>0</v>
      </c>
      <c r="U371" t="s">
        <v>32</v>
      </c>
      <c r="V371" t="s">
        <v>42</v>
      </c>
    </row>
    <row r="372" spans="1:23" x14ac:dyDescent="0.25">
      <c r="A372" t="s">
        <v>730</v>
      </c>
      <c r="B372" s="1">
        <v>45695</v>
      </c>
      <c r="C372" t="s">
        <v>731</v>
      </c>
      <c r="D372" t="s">
        <v>45</v>
      </c>
      <c r="E372" t="s">
        <v>46</v>
      </c>
      <c r="F372" t="s">
        <v>53</v>
      </c>
      <c r="G372" t="s">
        <v>151</v>
      </c>
      <c r="H372">
        <v>1</v>
      </c>
      <c r="I372">
        <v>57688</v>
      </c>
      <c r="J372">
        <v>20</v>
      </c>
      <c r="K372">
        <v>11537.6</v>
      </c>
      <c r="L372">
        <v>46150.400000000001</v>
      </c>
      <c r="M372">
        <v>25731.34</v>
      </c>
      <c r="N372">
        <v>20419.060000000001</v>
      </c>
      <c r="O372" t="s">
        <v>39</v>
      </c>
      <c r="P372">
        <v>1556.14</v>
      </c>
      <c r="Q372" t="s">
        <v>83</v>
      </c>
      <c r="R372" t="s">
        <v>31</v>
      </c>
      <c r="S372">
        <v>5</v>
      </c>
      <c r="T372">
        <v>5</v>
      </c>
      <c r="U372" t="s">
        <v>32</v>
      </c>
      <c r="V372" t="s">
        <v>33</v>
      </c>
      <c r="W372">
        <v>5</v>
      </c>
    </row>
    <row r="373" spans="1:23" x14ac:dyDescent="0.25">
      <c r="A373" t="s">
        <v>732</v>
      </c>
      <c r="B373" s="1">
        <v>45933</v>
      </c>
      <c r="C373" t="s">
        <v>682</v>
      </c>
      <c r="D373" t="s">
        <v>154</v>
      </c>
      <c r="E373" t="s">
        <v>26</v>
      </c>
      <c r="F373" t="s">
        <v>86</v>
      </c>
      <c r="G373" t="s">
        <v>94</v>
      </c>
      <c r="H373">
        <v>1</v>
      </c>
      <c r="I373">
        <v>11856</v>
      </c>
      <c r="J373">
        <v>10</v>
      </c>
      <c r="K373">
        <v>1185.5999999999999</v>
      </c>
      <c r="L373">
        <v>10670.4</v>
      </c>
      <c r="M373">
        <v>7498.69</v>
      </c>
      <c r="N373">
        <v>3171.71</v>
      </c>
      <c r="O373" t="s">
        <v>49</v>
      </c>
      <c r="P373">
        <v>425.51</v>
      </c>
      <c r="Q373" t="s">
        <v>40</v>
      </c>
      <c r="R373" t="s">
        <v>41</v>
      </c>
      <c r="S373">
        <v>2</v>
      </c>
      <c r="T373">
        <v>2</v>
      </c>
      <c r="U373" t="s">
        <v>32</v>
      </c>
      <c r="V373" t="s">
        <v>33</v>
      </c>
      <c r="W373">
        <v>4</v>
      </c>
    </row>
    <row r="374" spans="1:23" x14ac:dyDescent="0.25">
      <c r="A374" t="s">
        <v>733</v>
      </c>
      <c r="B374" s="1">
        <v>45767</v>
      </c>
      <c r="C374" t="s">
        <v>341</v>
      </c>
      <c r="D374" t="s">
        <v>67</v>
      </c>
      <c r="E374" t="s">
        <v>26</v>
      </c>
      <c r="F374" t="s">
        <v>47</v>
      </c>
      <c r="G374" t="s">
        <v>146</v>
      </c>
      <c r="H374">
        <v>1</v>
      </c>
      <c r="I374">
        <v>28313</v>
      </c>
      <c r="J374">
        <v>15</v>
      </c>
      <c r="K374">
        <v>4246.95</v>
      </c>
      <c r="L374">
        <v>24066.05</v>
      </c>
      <c r="M374">
        <v>14749.17</v>
      </c>
      <c r="N374">
        <v>9316.8799999999992</v>
      </c>
      <c r="O374" t="s">
        <v>60</v>
      </c>
      <c r="P374">
        <v>305.39</v>
      </c>
      <c r="Q374" t="s">
        <v>30</v>
      </c>
      <c r="R374" t="s">
        <v>41</v>
      </c>
      <c r="S374">
        <v>2</v>
      </c>
      <c r="T374">
        <v>4</v>
      </c>
      <c r="U374" t="s">
        <v>56</v>
      </c>
      <c r="V374" t="s">
        <v>33</v>
      </c>
      <c r="W374">
        <v>5</v>
      </c>
    </row>
    <row r="375" spans="1:23" x14ac:dyDescent="0.25">
      <c r="A375" t="s">
        <v>734</v>
      </c>
      <c r="B375" s="1">
        <v>45917</v>
      </c>
      <c r="C375" t="s">
        <v>735</v>
      </c>
      <c r="D375" t="s">
        <v>90</v>
      </c>
      <c r="E375" t="s">
        <v>26</v>
      </c>
      <c r="F375" t="s">
        <v>86</v>
      </c>
      <c r="G375" t="s">
        <v>180</v>
      </c>
      <c r="H375">
        <v>2</v>
      </c>
      <c r="I375">
        <v>22224</v>
      </c>
      <c r="J375">
        <v>5</v>
      </c>
      <c r="K375">
        <v>2222.4</v>
      </c>
      <c r="L375">
        <v>42225.599999999999</v>
      </c>
      <c r="M375">
        <v>34113.870000000003</v>
      </c>
      <c r="N375">
        <v>8111.73</v>
      </c>
      <c r="O375" t="s">
        <v>29</v>
      </c>
      <c r="P375">
        <v>1400.03</v>
      </c>
      <c r="Q375" t="s">
        <v>30</v>
      </c>
      <c r="R375" t="s">
        <v>31</v>
      </c>
      <c r="S375">
        <v>5</v>
      </c>
      <c r="T375">
        <v>4</v>
      </c>
      <c r="U375" t="s">
        <v>32</v>
      </c>
      <c r="V375" t="s">
        <v>42</v>
      </c>
    </row>
    <row r="376" spans="1:23" x14ac:dyDescent="0.25">
      <c r="A376" t="s">
        <v>736</v>
      </c>
      <c r="B376" s="1">
        <v>45793</v>
      </c>
      <c r="C376" t="s">
        <v>737</v>
      </c>
      <c r="D376" t="s">
        <v>97</v>
      </c>
      <c r="E376" t="s">
        <v>36</v>
      </c>
      <c r="F376" t="s">
        <v>37</v>
      </c>
      <c r="G376" t="s">
        <v>224</v>
      </c>
      <c r="H376">
        <v>1</v>
      </c>
      <c r="I376">
        <v>9547</v>
      </c>
      <c r="J376">
        <v>25</v>
      </c>
      <c r="K376">
        <v>2386.75</v>
      </c>
      <c r="L376">
        <v>7160.25</v>
      </c>
      <c r="M376">
        <v>5111.3500000000004</v>
      </c>
      <c r="N376">
        <v>2048.9</v>
      </c>
      <c r="O376" t="s">
        <v>91</v>
      </c>
      <c r="P376">
        <v>2182.54</v>
      </c>
      <c r="Q376" t="s">
        <v>83</v>
      </c>
      <c r="R376" t="s">
        <v>31</v>
      </c>
      <c r="S376">
        <v>5</v>
      </c>
      <c r="T376">
        <v>9</v>
      </c>
      <c r="U376" t="s">
        <v>56</v>
      </c>
      <c r="V376" t="s">
        <v>33</v>
      </c>
      <c r="W376">
        <v>4</v>
      </c>
    </row>
    <row r="377" spans="1:23" x14ac:dyDescent="0.25">
      <c r="A377" t="s">
        <v>738</v>
      </c>
      <c r="B377" s="1">
        <v>45725</v>
      </c>
      <c r="C377" t="s">
        <v>96</v>
      </c>
      <c r="D377" t="s">
        <v>71</v>
      </c>
      <c r="E377" t="s">
        <v>36</v>
      </c>
      <c r="F377" t="s">
        <v>86</v>
      </c>
      <c r="G377" t="s">
        <v>127</v>
      </c>
      <c r="H377">
        <v>1</v>
      </c>
      <c r="I377">
        <v>21026</v>
      </c>
      <c r="J377">
        <v>0</v>
      </c>
      <c r="K377">
        <v>0</v>
      </c>
      <c r="L377">
        <v>21026</v>
      </c>
      <c r="M377">
        <v>13184.25</v>
      </c>
      <c r="N377">
        <v>7841.75</v>
      </c>
      <c r="O377" t="s">
        <v>55</v>
      </c>
      <c r="P377">
        <v>406.15</v>
      </c>
      <c r="Q377" t="s">
        <v>73</v>
      </c>
      <c r="R377" t="s">
        <v>41</v>
      </c>
      <c r="S377">
        <v>2</v>
      </c>
      <c r="T377">
        <v>1</v>
      </c>
      <c r="U377" t="s">
        <v>32</v>
      </c>
      <c r="V377" t="s">
        <v>33</v>
      </c>
      <c r="W377">
        <v>5</v>
      </c>
    </row>
    <row r="378" spans="1:23" x14ac:dyDescent="0.25">
      <c r="A378" t="s">
        <v>739</v>
      </c>
      <c r="B378" s="1">
        <v>45836</v>
      </c>
      <c r="C378" t="s">
        <v>148</v>
      </c>
      <c r="D378" t="s">
        <v>45</v>
      </c>
      <c r="E378" t="s">
        <v>46</v>
      </c>
      <c r="F378" t="s">
        <v>27</v>
      </c>
      <c r="G378" t="s">
        <v>76</v>
      </c>
      <c r="H378">
        <v>2</v>
      </c>
      <c r="I378">
        <v>13987</v>
      </c>
      <c r="J378">
        <v>15</v>
      </c>
      <c r="K378">
        <v>4196.1000000000004</v>
      </c>
      <c r="L378">
        <v>23777.9</v>
      </c>
      <c r="M378">
        <v>18811.009999999998</v>
      </c>
      <c r="N378">
        <v>4966.8900000000003</v>
      </c>
      <c r="O378" t="s">
        <v>39</v>
      </c>
      <c r="P378">
        <v>2268.85</v>
      </c>
      <c r="Q378" t="s">
        <v>83</v>
      </c>
      <c r="R378" t="s">
        <v>41</v>
      </c>
      <c r="S378">
        <v>2</v>
      </c>
      <c r="T378">
        <v>3</v>
      </c>
      <c r="U378" t="s">
        <v>56</v>
      </c>
      <c r="V378" t="s">
        <v>33</v>
      </c>
      <c r="W378">
        <v>5</v>
      </c>
    </row>
    <row r="379" spans="1:23" x14ac:dyDescent="0.25">
      <c r="A379" t="s">
        <v>740</v>
      </c>
      <c r="B379" s="1">
        <v>45693</v>
      </c>
      <c r="C379" t="s">
        <v>671</v>
      </c>
      <c r="D379" t="s">
        <v>67</v>
      </c>
      <c r="E379" t="s">
        <v>26</v>
      </c>
      <c r="F379" t="s">
        <v>47</v>
      </c>
      <c r="G379" t="s">
        <v>146</v>
      </c>
      <c r="H379">
        <v>1</v>
      </c>
      <c r="I379">
        <v>24648</v>
      </c>
      <c r="J379">
        <v>25</v>
      </c>
      <c r="K379">
        <v>6162</v>
      </c>
      <c r="L379">
        <v>18486</v>
      </c>
      <c r="M379">
        <v>12199.11</v>
      </c>
      <c r="N379">
        <v>6286.89</v>
      </c>
      <c r="O379" t="s">
        <v>29</v>
      </c>
      <c r="P379">
        <v>1657.14</v>
      </c>
      <c r="Q379" t="s">
        <v>83</v>
      </c>
      <c r="R379" t="s">
        <v>31</v>
      </c>
      <c r="S379">
        <v>5</v>
      </c>
      <c r="T379">
        <v>5</v>
      </c>
      <c r="U379" t="s">
        <v>32</v>
      </c>
      <c r="V379" t="s">
        <v>33</v>
      </c>
      <c r="W379">
        <v>4</v>
      </c>
    </row>
    <row r="380" spans="1:23" x14ac:dyDescent="0.25">
      <c r="A380" t="s">
        <v>741</v>
      </c>
      <c r="B380" s="1">
        <v>45783</v>
      </c>
      <c r="C380" t="s">
        <v>742</v>
      </c>
      <c r="D380" t="s">
        <v>124</v>
      </c>
      <c r="E380" t="s">
        <v>26</v>
      </c>
      <c r="F380" t="s">
        <v>86</v>
      </c>
      <c r="G380" t="s">
        <v>110</v>
      </c>
      <c r="H380">
        <v>1</v>
      </c>
      <c r="I380">
        <v>64455</v>
      </c>
      <c r="J380">
        <v>5</v>
      </c>
      <c r="K380">
        <v>3222.75</v>
      </c>
      <c r="L380">
        <v>61232.25</v>
      </c>
      <c r="M380">
        <v>46620.89</v>
      </c>
      <c r="N380">
        <v>14611.36</v>
      </c>
      <c r="O380" t="s">
        <v>29</v>
      </c>
      <c r="P380">
        <v>2466.21</v>
      </c>
      <c r="Q380" t="s">
        <v>68</v>
      </c>
      <c r="R380" t="s">
        <v>41</v>
      </c>
      <c r="S380">
        <v>2</v>
      </c>
      <c r="T380">
        <v>6</v>
      </c>
      <c r="U380" t="s">
        <v>56</v>
      </c>
      <c r="V380" t="s">
        <v>33</v>
      </c>
      <c r="W380">
        <v>5</v>
      </c>
    </row>
    <row r="381" spans="1:23" x14ac:dyDescent="0.25">
      <c r="A381" t="s">
        <v>743</v>
      </c>
      <c r="B381" s="1">
        <v>45847</v>
      </c>
      <c r="C381" t="s">
        <v>744</v>
      </c>
      <c r="D381" t="s">
        <v>67</v>
      </c>
      <c r="E381" t="s">
        <v>46</v>
      </c>
      <c r="F381" t="s">
        <v>37</v>
      </c>
      <c r="G381" t="s">
        <v>100</v>
      </c>
      <c r="H381">
        <v>1</v>
      </c>
      <c r="I381">
        <v>14969</v>
      </c>
      <c r="J381">
        <v>0</v>
      </c>
      <c r="K381">
        <v>0</v>
      </c>
      <c r="L381">
        <v>14969</v>
      </c>
      <c r="M381">
        <v>8476.16</v>
      </c>
      <c r="N381">
        <v>6492.84</v>
      </c>
      <c r="O381" t="s">
        <v>55</v>
      </c>
      <c r="P381">
        <v>777.04</v>
      </c>
      <c r="Q381" t="s">
        <v>30</v>
      </c>
      <c r="R381" t="s">
        <v>41</v>
      </c>
      <c r="S381">
        <v>2</v>
      </c>
      <c r="T381">
        <v>1</v>
      </c>
      <c r="U381" t="s">
        <v>32</v>
      </c>
      <c r="V381" t="s">
        <v>33</v>
      </c>
      <c r="W381">
        <v>5</v>
      </c>
    </row>
    <row r="382" spans="1:23" x14ac:dyDescent="0.25">
      <c r="A382" t="s">
        <v>745</v>
      </c>
      <c r="B382" s="1">
        <v>45803</v>
      </c>
      <c r="C382" t="s">
        <v>199</v>
      </c>
      <c r="D382" t="s">
        <v>97</v>
      </c>
      <c r="E382" t="s">
        <v>46</v>
      </c>
      <c r="F382" t="s">
        <v>86</v>
      </c>
      <c r="G382" t="s">
        <v>87</v>
      </c>
      <c r="H382">
        <v>2</v>
      </c>
      <c r="I382">
        <v>45405</v>
      </c>
      <c r="J382">
        <v>0</v>
      </c>
      <c r="K382">
        <v>0</v>
      </c>
      <c r="L382">
        <v>90810</v>
      </c>
      <c r="M382">
        <v>70308.23</v>
      </c>
      <c r="N382">
        <v>20501.77</v>
      </c>
      <c r="O382" t="s">
        <v>39</v>
      </c>
      <c r="P382">
        <v>1604.02</v>
      </c>
      <c r="Q382" t="s">
        <v>73</v>
      </c>
      <c r="R382" t="s">
        <v>41</v>
      </c>
      <c r="S382">
        <v>2</v>
      </c>
      <c r="T382">
        <v>3</v>
      </c>
      <c r="U382" t="s">
        <v>32</v>
      </c>
      <c r="V382" t="s">
        <v>50</v>
      </c>
      <c r="W382">
        <v>2</v>
      </c>
    </row>
    <row r="383" spans="1:23" x14ac:dyDescent="0.25">
      <c r="A383" t="s">
        <v>746</v>
      </c>
      <c r="B383" s="1">
        <v>45738</v>
      </c>
      <c r="C383" t="s">
        <v>747</v>
      </c>
      <c r="D383" t="s">
        <v>63</v>
      </c>
      <c r="E383" t="s">
        <v>26</v>
      </c>
      <c r="F383" t="s">
        <v>86</v>
      </c>
      <c r="G383" t="s">
        <v>94</v>
      </c>
      <c r="H383">
        <v>1</v>
      </c>
      <c r="I383">
        <v>84579</v>
      </c>
      <c r="J383">
        <v>0</v>
      </c>
      <c r="K383">
        <v>0</v>
      </c>
      <c r="L383">
        <v>84579</v>
      </c>
      <c r="M383">
        <v>61280.84</v>
      </c>
      <c r="N383">
        <v>23298.16</v>
      </c>
      <c r="O383" t="s">
        <v>91</v>
      </c>
      <c r="P383">
        <v>2273.3200000000002</v>
      </c>
      <c r="Q383" t="s">
        <v>68</v>
      </c>
      <c r="R383" t="s">
        <v>41</v>
      </c>
      <c r="S383">
        <v>2</v>
      </c>
      <c r="T383">
        <v>1</v>
      </c>
      <c r="U383" t="s">
        <v>32</v>
      </c>
      <c r="V383" t="s">
        <v>33</v>
      </c>
      <c r="W383">
        <v>1</v>
      </c>
    </row>
    <row r="384" spans="1:23" x14ac:dyDescent="0.25">
      <c r="A384" t="s">
        <v>748</v>
      </c>
      <c r="B384" s="1">
        <v>45882</v>
      </c>
      <c r="C384" t="s">
        <v>142</v>
      </c>
      <c r="D384" t="s">
        <v>71</v>
      </c>
      <c r="E384" t="s">
        <v>46</v>
      </c>
      <c r="F384" t="s">
        <v>27</v>
      </c>
      <c r="G384" t="s">
        <v>28</v>
      </c>
      <c r="H384">
        <v>3</v>
      </c>
      <c r="I384">
        <v>4514</v>
      </c>
      <c r="J384">
        <v>0</v>
      </c>
      <c r="K384">
        <v>0</v>
      </c>
      <c r="L384">
        <v>13542</v>
      </c>
      <c r="M384">
        <v>8738.77</v>
      </c>
      <c r="N384">
        <v>4803.2299999999996</v>
      </c>
      <c r="O384" t="s">
        <v>29</v>
      </c>
      <c r="P384">
        <v>607.53</v>
      </c>
      <c r="Q384" t="s">
        <v>83</v>
      </c>
      <c r="R384" t="s">
        <v>41</v>
      </c>
      <c r="S384">
        <v>2</v>
      </c>
      <c r="T384">
        <v>1</v>
      </c>
      <c r="U384" t="s">
        <v>32</v>
      </c>
      <c r="V384" t="s">
        <v>33</v>
      </c>
      <c r="W384">
        <v>4</v>
      </c>
    </row>
    <row r="385" spans="1:23" x14ac:dyDescent="0.25">
      <c r="A385" t="s">
        <v>749</v>
      </c>
      <c r="B385" s="1">
        <v>45936</v>
      </c>
      <c r="C385" t="s">
        <v>121</v>
      </c>
      <c r="D385" t="s">
        <v>124</v>
      </c>
      <c r="E385" t="s">
        <v>46</v>
      </c>
      <c r="F385" t="s">
        <v>53</v>
      </c>
      <c r="G385" t="s">
        <v>54</v>
      </c>
      <c r="H385">
        <v>2</v>
      </c>
      <c r="I385">
        <v>108407</v>
      </c>
      <c r="J385">
        <v>10</v>
      </c>
      <c r="K385">
        <v>21681.4</v>
      </c>
      <c r="L385">
        <v>195132.6</v>
      </c>
      <c r="M385">
        <v>149914.9</v>
      </c>
      <c r="N385">
        <v>45217.7</v>
      </c>
      <c r="O385" t="s">
        <v>60</v>
      </c>
      <c r="P385">
        <v>2424.7800000000002</v>
      </c>
      <c r="Q385" t="s">
        <v>83</v>
      </c>
      <c r="R385" t="s">
        <v>31</v>
      </c>
      <c r="S385">
        <v>5</v>
      </c>
      <c r="T385">
        <v>3</v>
      </c>
      <c r="U385" t="s">
        <v>32</v>
      </c>
      <c r="V385" t="s">
        <v>33</v>
      </c>
      <c r="W385">
        <v>4</v>
      </c>
    </row>
    <row r="386" spans="1:23" x14ac:dyDescent="0.25">
      <c r="A386" t="s">
        <v>750</v>
      </c>
      <c r="B386" s="1">
        <v>46018</v>
      </c>
      <c r="C386" t="s">
        <v>608</v>
      </c>
      <c r="D386" t="s">
        <v>90</v>
      </c>
      <c r="E386" t="s">
        <v>36</v>
      </c>
      <c r="F386" t="s">
        <v>86</v>
      </c>
      <c r="G386" t="s">
        <v>127</v>
      </c>
      <c r="H386">
        <v>2</v>
      </c>
      <c r="I386">
        <v>80593</v>
      </c>
      <c r="J386">
        <v>0</v>
      </c>
      <c r="K386">
        <v>0</v>
      </c>
      <c r="L386">
        <v>161186</v>
      </c>
      <c r="M386">
        <v>112666.11</v>
      </c>
      <c r="N386">
        <v>48519.89</v>
      </c>
      <c r="O386" t="s">
        <v>91</v>
      </c>
      <c r="P386">
        <v>494.97</v>
      </c>
      <c r="Q386" t="s">
        <v>83</v>
      </c>
      <c r="R386" t="s">
        <v>31</v>
      </c>
      <c r="S386">
        <v>5</v>
      </c>
      <c r="T386">
        <v>0</v>
      </c>
      <c r="U386" t="s">
        <v>32</v>
      </c>
      <c r="V386" t="s">
        <v>50</v>
      </c>
      <c r="W386">
        <v>5</v>
      </c>
    </row>
    <row r="387" spans="1:23" x14ac:dyDescent="0.25">
      <c r="A387" t="s">
        <v>751</v>
      </c>
      <c r="B387" s="1">
        <v>45812</v>
      </c>
      <c r="C387" t="s">
        <v>185</v>
      </c>
      <c r="D387" t="s">
        <v>124</v>
      </c>
      <c r="E387" t="s">
        <v>26</v>
      </c>
      <c r="F387" t="s">
        <v>47</v>
      </c>
      <c r="G387" t="s">
        <v>48</v>
      </c>
      <c r="H387">
        <v>1</v>
      </c>
      <c r="I387">
        <v>8515</v>
      </c>
      <c r="J387">
        <v>25</v>
      </c>
      <c r="K387">
        <v>2128.75</v>
      </c>
      <c r="L387">
        <v>6386.25</v>
      </c>
      <c r="M387">
        <v>5035.16</v>
      </c>
      <c r="N387">
        <v>1351.09</v>
      </c>
      <c r="O387" t="s">
        <v>29</v>
      </c>
      <c r="P387">
        <v>1748.13</v>
      </c>
      <c r="Q387" t="s">
        <v>83</v>
      </c>
      <c r="R387" t="s">
        <v>41</v>
      </c>
      <c r="S387">
        <v>2</v>
      </c>
      <c r="T387">
        <v>2</v>
      </c>
      <c r="U387" t="s">
        <v>32</v>
      </c>
      <c r="V387" t="s">
        <v>33</v>
      </c>
      <c r="W387">
        <v>5</v>
      </c>
    </row>
    <row r="388" spans="1:23" x14ac:dyDescent="0.25">
      <c r="A388" t="s">
        <v>752</v>
      </c>
      <c r="B388" s="1">
        <v>45971</v>
      </c>
      <c r="C388" t="s">
        <v>753</v>
      </c>
      <c r="D388" t="s">
        <v>63</v>
      </c>
      <c r="E388" t="s">
        <v>26</v>
      </c>
      <c r="F388" t="s">
        <v>86</v>
      </c>
      <c r="G388" t="s">
        <v>127</v>
      </c>
      <c r="H388">
        <v>1</v>
      </c>
      <c r="I388">
        <v>11697</v>
      </c>
      <c r="J388">
        <v>0</v>
      </c>
      <c r="K388">
        <v>0</v>
      </c>
      <c r="L388">
        <v>11697</v>
      </c>
      <c r="M388">
        <v>7311.12</v>
      </c>
      <c r="N388">
        <v>4385.88</v>
      </c>
      <c r="O388" t="s">
        <v>55</v>
      </c>
      <c r="P388">
        <v>211.87</v>
      </c>
      <c r="Q388" t="s">
        <v>68</v>
      </c>
      <c r="R388" t="s">
        <v>41</v>
      </c>
      <c r="S388">
        <v>2</v>
      </c>
      <c r="T388">
        <v>2</v>
      </c>
      <c r="U388" t="s">
        <v>32</v>
      </c>
      <c r="V388" t="s">
        <v>33</v>
      </c>
      <c r="W388">
        <v>3</v>
      </c>
    </row>
    <row r="389" spans="1:23" x14ac:dyDescent="0.25">
      <c r="A389" t="s">
        <v>754</v>
      </c>
      <c r="B389" s="1">
        <v>45992</v>
      </c>
      <c r="C389" t="s">
        <v>310</v>
      </c>
      <c r="D389" t="s">
        <v>90</v>
      </c>
      <c r="E389" t="s">
        <v>46</v>
      </c>
      <c r="F389" t="s">
        <v>86</v>
      </c>
      <c r="G389" t="s">
        <v>180</v>
      </c>
      <c r="H389">
        <v>2</v>
      </c>
      <c r="I389">
        <v>31805</v>
      </c>
      <c r="J389">
        <v>10</v>
      </c>
      <c r="K389">
        <v>6361</v>
      </c>
      <c r="L389">
        <v>57249</v>
      </c>
      <c r="M389">
        <v>32458.35</v>
      </c>
      <c r="N389">
        <v>24790.65</v>
      </c>
      <c r="O389" t="s">
        <v>49</v>
      </c>
      <c r="P389">
        <v>244.38</v>
      </c>
      <c r="Q389" t="s">
        <v>83</v>
      </c>
      <c r="R389" t="s">
        <v>31</v>
      </c>
      <c r="S389">
        <v>5</v>
      </c>
      <c r="T389">
        <v>0</v>
      </c>
      <c r="U389" t="s">
        <v>32</v>
      </c>
      <c r="V389" t="s">
        <v>50</v>
      </c>
      <c r="W389">
        <v>4</v>
      </c>
    </row>
    <row r="390" spans="1:23" x14ac:dyDescent="0.25">
      <c r="A390" t="s">
        <v>755</v>
      </c>
      <c r="B390" s="1">
        <v>45928</v>
      </c>
      <c r="C390" t="s">
        <v>756</v>
      </c>
      <c r="D390" t="s">
        <v>124</v>
      </c>
      <c r="E390" t="s">
        <v>26</v>
      </c>
      <c r="F390" t="s">
        <v>37</v>
      </c>
      <c r="G390" t="s">
        <v>313</v>
      </c>
      <c r="H390">
        <v>3</v>
      </c>
      <c r="I390">
        <v>19515</v>
      </c>
      <c r="J390">
        <v>0</v>
      </c>
      <c r="K390">
        <v>0</v>
      </c>
      <c r="L390">
        <v>58545</v>
      </c>
      <c r="M390">
        <v>44462.14</v>
      </c>
      <c r="N390">
        <v>14082.86</v>
      </c>
      <c r="O390" t="s">
        <v>55</v>
      </c>
      <c r="P390">
        <v>420.04</v>
      </c>
      <c r="Q390" t="s">
        <v>30</v>
      </c>
      <c r="R390" t="s">
        <v>41</v>
      </c>
      <c r="S390">
        <v>2</v>
      </c>
      <c r="T390">
        <v>6</v>
      </c>
      <c r="U390" t="s">
        <v>32</v>
      </c>
      <c r="V390" t="s">
        <v>42</v>
      </c>
    </row>
    <row r="391" spans="1:23" x14ac:dyDescent="0.25">
      <c r="A391" t="s">
        <v>757</v>
      </c>
      <c r="B391" s="1">
        <v>45662</v>
      </c>
      <c r="C391" t="s">
        <v>758</v>
      </c>
      <c r="D391" t="s">
        <v>90</v>
      </c>
      <c r="E391" t="s">
        <v>46</v>
      </c>
      <c r="F391" t="s">
        <v>37</v>
      </c>
      <c r="G391" t="s">
        <v>224</v>
      </c>
      <c r="H391">
        <v>3</v>
      </c>
      <c r="I391">
        <v>32961</v>
      </c>
      <c r="J391">
        <v>0</v>
      </c>
      <c r="K391">
        <v>0</v>
      </c>
      <c r="L391">
        <v>98883</v>
      </c>
      <c r="M391">
        <v>62434.45</v>
      </c>
      <c r="N391">
        <v>36448.550000000003</v>
      </c>
      <c r="O391" t="s">
        <v>55</v>
      </c>
      <c r="P391">
        <v>1758.4</v>
      </c>
      <c r="Q391" t="s">
        <v>40</v>
      </c>
      <c r="R391" t="s">
        <v>41</v>
      </c>
      <c r="S391">
        <v>2</v>
      </c>
      <c r="T391">
        <v>0</v>
      </c>
      <c r="U391" t="s">
        <v>32</v>
      </c>
      <c r="V391" t="s">
        <v>50</v>
      </c>
      <c r="W391">
        <v>1</v>
      </c>
    </row>
    <row r="392" spans="1:23" x14ac:dyDescent="0.25">
      <c r="A392" t="s">
        <v>759</v>
      </c>
      <c r="B392" s="1">
        <v>45999</v>
      </c>
      <c r="C392" t="s">
        <v>760</v>
      </c>
      <c r="D392" t="s">
        <v>71</v>
      </c>
      <c r="E392" t="s">
        <v>26</v>
      </c>
      <c r="F392" t="s">
        <v>53</v>
      </c>
      <c r="G392" t="s">
        <v>59</v>
      </c>
      <c r="H392">
        <v>1</v>
      </c>
      <c r="I392">
        <v>87587</v>
      </c>
      <c r="J392">
        <v>20</v>
      </c>
      <c r="K392">
        <v>17517.400000000001</v>
      </c>
      <c r="L392">
        <v>70069.600000000006</v>
      </c>
      <c r="M392">
        <v>53581.84</v>
      </c>
      <c r="N392">
        <v>16487.759999999998</v>
      </c>
      <c r="O392" t="s">
        <v>55</v>
      </c>
      <c r="P392">
        <v>1697.12</v>
      </c>
      <c r="Q392" t="s">
        <v>83</v>
      </c>
      <c r="R392" t="s">
        <v>31</v>
      </c>
      <c r="S392">
        <v>5</v>
      </c>
      <c r="T392">
        <v>2</v>
      </c>
      <c r="U392" t="s">
        <v>32</v>
      </c>
      <c r="V392" t="s">
        <v>42</v>
      </c>
    </row>
    <row r="393" spans="1:23" x14ac:dyDescent="0.25">
      <c r="A393" t="s">
        <v>761</v>
      </c>
      <c r="B393" s="1">
        <v>45941</v>
      </c>
      <c r="C393" t="s">
        <v>762</v>
      </c>
      <c r="D393" t="s">
        <v>45</v>
      </c>
      <c r="E393" t="s">
        <v>46</v>
      </c>
      <c r="F393" t="s">
        <v>27</v>
      </c>
      <c r="G393" t="s">
        <v>28</v>
      </c>
      <c r="H393">
        <v>1</v>
      </c>
      <c r="I393">
        <v>29367</v>
      </c>
      <c r="J393">
        <v>0</v>
      </c>
      <c r="K393">
        <v>0</v>
      </c>
      <c r="L393">
        <v>29367</v>
      </c>
      <c r="M393">
        <v>21205.56</v>
      </c>
      <c r="N393">
        <v>8161.44</v>
      </c>
      <c r="O393" t="s">
        <v>91</v>
      </c>
      <c r="P393">
        <v>1307.22</v>
      </c>
      <c r="Q393" t="s">
        <v>40</v>
      </c>
      <c r="R393" t="s">
        <v>41</v>
      </c>
      <c r="S393">
        <v>2</v>
      </c>
      <c r="T393">
        <v>2</v>
      </c>
      <c r="U393" t="s">
        <v>32</v>
      </c>
      <c r="V393" t="s">
        <v>33</v>
      </c>
      <c r="W393">
        <v>4</v>
      </c>
    </row>
    <row r="394" spans="1:23" x14ac:dyDescent="0.25">
      <c r="A394" t="s">
        <v>763</v>
      </c>
      <c r="B394" s="1">
        <v>45811</v>
      </c>
      <c r="C394" t="s">
        <v>182</v>
      </c>
      <c r="D394" t="s">
        <v>154</v>
      </c>
      <c r="E394" t="s">
        <v>46</v>
      </c>
      <c r="F394" t="s">
        <v>27</v>
      </c>
      <c r="G394" t="s">
        <v>76</v>
      </c>
      <c r="H394">
        <v>1</v>
      </c>
      <c r="I394">
        <v>13697</v>
      </c>
      <c r="J394">
        <v>0</v>
      </c>
      <c r="K394">
        <v>0</v>
      </c>
      <c r="L394">
        <v>13697</v>
      </c>
      <c r="M394">
        <v>8078.5</v>
      </c>
      <c r="N394">
        <v>5618.5</v>
      </c>
      <c r="O394" t="s">
        <v>55</v>
      </c>
      <c r="P394">
        <v>1048.31</v>
      </c>
      <c r="Q394" t="s">
        <v>83</v>
      </c>
      <c r="R394" t="s">
        <v>41</v>
      </c>
      <c r="S394">
        <v>2</v>
      </c>
      <c r="T394">
        <v>1</v>
      </c>
      <c r="U394" t="s">
        <v>32</v>
      </c>
      <c r="V394" t="s">
        <v>33</v>
      </c>
      <c r="W394">
        <v>3</v>
      </c>
    </row>
    <row r="395" spans="1:23" x14ac:dyDescent="0.25">
      <c r="A395" t="s">
        <v>764</v>
      </c>
      <c r="B395" s="1">
        <v>45997</v>
      </c>
      <c r="C395" t="s">
        <v>500</v>
      </c>
      <c r="D395" t="s">
        <v>90</v>
      </c>
      <c r="E395" t="s">
        <v>26</v>
      </c>
      <c r="F395" t="s">
        <v>37</v>
      </c>
      <c r="G395" t="s">
        <v>38</v>
      </c>
      <c r="H395">
        <v>2</v>
      </c>
      <c r="I395">
        <v>17131</v>
      </c>
      <c r="J395">
        <v>5</v>
      </c>
      <c r="K395">
        <v>1713.1</v>
      </c>
      <c r="L395">
        <v>32548.9</v>
      </c>
      <c r="M395">
        <v>24802.95</v>
      </c>
      <c r="N395">
        <v>7745.95</v>
      </c>
      <c r="O395" t="s">
        <v>91</v>
      </c>
      <c r="P395">
        <v>1294.17</v>
      </c>
      <c r="Q395" t="s">
        <v>30</v>
      </c>
      <c r="R395" t="s">
        <v>31</v>
      </c>
      <c r="S395">
        <v>5</v>
      </c>
      <c r="T395">
        <v>8</v>
      </c>
      <c r="U395" t="s">
        <v>56</v>
      </c>
      <c r="V395" t="s">
        <v>33</v>
      </c>
      <c r="W395">
        <v>5</v>
      </c>
    </row>
    <row r="396" spans="1:23" x14ac:dyDescent="0.25">
      <c r="A396" t="s">
        <v>765</v>
      </c>
      <c r="B396" s="1">
        <v>45711</v>
      </c>
      <c r="C396" t="s">
        <v>766</v>
      </c>
      <c r="D396" t="s">
        <v>45</v>
      </c>
      <c r="E396" t="s">
        <v>26</v>
      </c>
      <c r="F396" t="s">
        <v>37</v>
      </c>
      <c r="G396" t="s">
        <v>313</v>
      </c>
      <c r="H396">
        <v>1</v>
      </c>
      <c r="I396">
        <v>6765</v>
      </c>
      <c r="J396">
        <v>20</v>
      </c>
      <c r="K396">
        <v>1353</v>
      </c>
      <c r="L396">
        <v>5412</v>
      </c>
      <c r="M396">
        <v>3297.2</v>
      </c>
      <c r="N396">
        <v>2114.8000000000002</v>
      </c>
      <c r="O396" t="s">
        <v>39</v>
      </c>
      <c r="P396">
        <v>729.63</v>
      </c>
      <c r="Q396" t="s">
        <v>40</v>
      </c>
      <c r="R396" t="s">
        <v>31</v>
      </c>
      <c r="S396">
        <v>5</v>
      </c>
      <c r="T396">
        <v>7</v>
      </c>
      <c r="U396" t="s">
        <v>56</v>
      </c>
      <c r="V396" t="s">
        <v>33</v>
      </c>
      <c r="W396">
        <v>5</v>
      </c>
    </row>
    <row r="397" spans="1:23" x14ac:dyDescent="0.25">
      <c r="A397" t="s">
        <v>767</v>
      </c>
      <c r="B397" s="1">
        <v>45726</v>
      </c>
      <c r="C397" t="s">
        <v>768</v>
      </c>
      <c r="D397" t="s">
        <v>25</v>
      </c>
      <c r="E397" t="s">
        <v>46</v>
      </c>
      <c r="F397" t="s">
        <v>47</v>
      </c>
      <c r="G397" t="s">
        <v>146</v>
      </c>
      <c r="H397">
        <v>1</v>
      </c>
      <c r="I397">
        <v>7440</v>
      </c>
      <c r="J397">
        <v>10</v>
      </c>
      <c r="K397">
        <v>744</v>
      </c>
      <c r="L397">
        <v>6696</v>
      </c>
      <c r="M397">
        <v>3737.07</v>
      </c>
      <c r="N397">
        <v>2958.93</v>
      </c>
      <c r="O397" t="s">
        <v>49</v>
      </c>
      <c r="P397">
        <v>248.18</v>
      </c>
      <c r="Q397" t="s">
        <v>40</v>
      </c>
      <c r="R397" t="s">
        <v>31</v>
      </c>
      <c r="S397">
        <v>5</v>
      </c>
      <c r="T397">
        <v>4</v>
      </c>
      <c r="U397" t="s">
        <v>32</v>
      </c>
      <c r="V397" t="s">
        <v>33</v>
      </c>
      <c r="W397">
        <v>3</v>
      </c>
    </row>
    <row r="398" spans="1:23" x14ac:dyDescent="0.25">
      <c r="A398" t="s">
        <v>769</v>
      </c>
      <c r="B398" s="1">
        <v>45793</v>
      </c>
      <c r="C398" t="s">
        <v>770</v>
      </c>
      <c r="D398" t="s">
        <v>124</v>
      </c>
      <c r="E398" t="s">
        <v>46</v>
      </c>
      <c r="F398" t="s">
        <v>86</v>
      </c>
      <c r="G398" t="s">
        <v>180</v>
      </c>
      <c r="H398">
        <v>1</v>
      </c>
      <c r="I398">
        <v>28843</v>
      </c>
      <c r="J398">
        <v>0</v>
      </c>
      <c r="K398">
        <v>0</v>
      </c>
      <c r="L398">
        <v>28843</v>
      </c>
      <c r="M398">
        <v>17389.919999999998</v>
      </c>
      <c r="N398">
        <v>11453.08</v>
      </c>
      <c r="O398" t="s">
        <v>91</v>
      </c>
      <c r="P398">
        <v>248.29</v>
      </c>
      <c r="Q398" t="s">
        <v>68</v>
      </c>
      <c r="R398" t="s">
        <v>41</v>
      </c>
      <c r="S398">
        <v>2</v>
      </c>
      <c r="T398">
        <v>1</v>
      </c>
      <c r="U398" t="s">
        <v>32</v>
      </c>
      <c r="V398" t="s">
        <v>33</v>
      </c>
      <c r="W398">
        <v>1</v>
      </c>
    </row>
    <row r="399" spans="1:23" x14ac:dyDescent="0.25">
      <c r="A399" t="s">
        <v>771</v>
      </c>
      <c r="B399" s="1">
        <v>45717</v>
      </c>
      <c r="C399" t="s">
        <v>772</v>
      </c>
      <c r="D399" t="s">
        <v>124</v>
      </c>
      <c r="E399" t="s">
        <v>26</v>
      </c>
      <c r="F399" t="s">
        <v>27</v>
      </c>
      <c r="G399" t="s">
        <v>164</v>
      </c>
      <c r="H399">
        <v>1</v>
      </c>
      <c r="I399">
        <v>20766</v>
      </c>
      <c r="J399">
        <v>0</v>
      </c>
      <c r="K399">
        <v>0</v>
      </c>
      <c r="L399">
        <v>20766</v>
      </c>
      <c r="M399">
        <v>12085.67</v>
      </c>
      <c r="N399">
        <v>8680.33</v>
      </c>
      <c r="O399" t="s">
        <v>39</v>
      </c>
      <c r="P399">
        <v>1424.88</v>
      </c>
      <c r="Q399" t="s">
        <v>73</v>
      </c>
      <c r="R399" t="s">
        <v>31</v>
      </c>
      <c r="S399">
        <v>5</v>
      </c>
      <c r="T399">
        <v>7</v>
      </c>
      <c r="U399" t="s">
        <v>56</v>
      </c>
      <c r="V399" t="s">
        <v>33</v>
      </c>
      <c r="W399">
        <v>2</v>
      </c>
    </row>
    <row r="400" spans="1:23" x14ac:dyDescent="0.25">
      <c r="A400" t="s">
        <v>773</v>
      </c>
      <c r="B400" s="1">
        <v>45712</v>
      </c>
      <c r="C400" t="s">
        <v>774</v>
      </c>
      <c r="D400" t="s">
        <v>124</v>
      </c>
      <c r="E400" t="s">
        <v>26</v>
      </c>
      <c r="F400" t="s">
        <v>86</v>
      </c>
      <c r="G400" t="s">
        <v>110</v>
      </c>
      <c r="H400">
        <v>2</v>
      </c>
      <c r="I400">
        <v>25472</v>
      </c>
      <c r="J400">
        <v>0</v>
      </c>
      <c r="K400">
        <v>0</v>
      </c>
      <c r="L400">
        <v>50944</v>
      </c>
      <c r="M400">
        <v>36677.33</v>
      </c>
      <c r="N400">
        <v>14266.67</v>
      </c>
      <c r="O400" t="s">
        <v>55</v>
      </c>
      <c r="P400">
        <v>1369.02</v>
      </c>
      <c r="Q400" t="s">
        <v>40</v>
      </c>
      <c r="R400" t="s">
        <v>31</v>
      </c>
      <c r="S400">
        <v>5</v>
      </c>
      <c r="T400">
        <v>4</v>
      </c>
      <c r="U400" t="s">
        <v>32</v>
      </c>
      <c r="V400" t="s">
        <v>33</v>
      </c>
      <c r="W400">
        <v>5</v>
      </c>
    </row>
    <row r="401" spans="1:23" x14ac:dyDescent="0.25">
      <c r="A401" t="s">
        <v>775</v>
      </c>
      <c r="B401" s="1">
        <v>45941</v>
      </c>
      <c r="C401" t="s">
        <v>44</v>
      </c>
      <c r="D401" t="s">
        <v>67</v>
      </c>
      <c r="E401" t="s">
        <v>26</v>
      </c>
      <c r="F401" t="s">
        <v>27</v>
      </c>
      <c r="G401" t="s">
        <v>76</v>
      </c>
      <c r="H401">
        <v>1</v>
      </c>
      <c r="I401">
        <v>15763</v>
      </c>
      <c r="J401">
        <v>25</v>
      </c>
      <c r="K401">
        <v>3940.75</v>
      </c>
      <c r="L401">
        <v>11822.25</v>
      </c>
      <c r="M401">
        <v>7984.18</v>
      </c>
      <c r="N401">
        <v>3838.07</v>
      </c>
      <c r="O401" t="s">
        <v>49</v>
      </c>
      <c r="P401">
        <v>362.53</v>
      </c>
      <c r="Q401" t="s">
        <v>30</v>
      </c>
      <c r="R401" t="s">
        <v>41</v>
      </c>
      <c r="S401">
        <v>2</v>
      </c>
      <c r="T401">
        <v>4</v>
      </c>
      <c r="U401" t="s">
        <v>56</v>
      </c>
      <c r="V401" t="s">
        <v>33</v>
      </c>
      <c r="W401">
        <v>5</v>
      </c>
    </row>
    <row r="402" spans="1:23" x14ac:dyDescent="0.25">
      <c r="A402" t="s">
        <v>776</v>
      </c>
      <c r="B402" s="1">
        <v>45737</v>
      </c>
      <c r="C402" t="s">
        <v>460</v>
      </c>
      <c r="D402" t="s">
        <v>71</v>
      </c>
      <c r="E402" t="s">
        <v>36</v>
      </c>
      <c r="F402" t="s">
        <v>27</v>
      </c>
      <c r="G402" t="s">
        <v>72</v>
      </c>
      <c r="H402">
        <v>2</v>
      </c>
      <c r="I402">
        <v>10151</v>
      </c>
      <c r="J402">
        <v>5</v>
      </c>
      <c r="K402">
        <v>1015.1</v>
      </c>
      <c r="L402">
        <v>19286.900000000001</v>
      </c>
      <c r="M402">
        <v>12669.43</v>
      </c>
      <c r="N402">
        <v>6617.47</v>
      </c>
      <c r="O402" t="s">
        <v>49</v>
      </c>
      <c r="P402">
        <v>307.12</v>
      </c>
      <c r="Q402" t="s">
        <v>73</v>
      </c>
      <c r="R402" t="s">
        <v>41</v>
      </c>
      <c r="S402">
        <v>2</v>
      </c>
      <c r="T402">
        <v>1</v>
      </c>
      <c r="U402" t="s">
        <v>32</v>
      </c>
      <c r="V402" t="s">
        <v>33</v>
      </c>
      <c r="W402">
        <v>4</v>
      </c>
    </row>
    <row r="403" spans="1:23" x14ac:dyDescent="0.25">
      <c r="A403" t="s">
        <v>777</v>
      </c>
      <c r="B403" s="1">
        <v>45797</v>
      </c>
      <c r="C403" t="s">
        <v>560</v>
      </c>
      <c r="D403" t="s">
        <v>154</v>
      </c>
      <c r="E403" t="s">
        <v>46</v>
      </c>
      <c r="F403" t="s">
        <v>86</v>
      </c>
      <c r="G403" t="s">
        <v>110</v>
      </c>
      <c r="H403">
        <v>1</v>
      </c>
      <c r="I403">
        <v>11392</v>
      </c>
      <c r="J403">
        <v>10</v>
      </c>
      <c r="K403">
        <v>1139.2</v>
      </c>
      <c r="L403">
        <v>10252.799999999999</v>
      </c>
      <c r="M403">
        <v>6818.6</v>
      </c>
      <c r="N403">
        <v>3434.2</v>
      </c>
      <c r="O403" t="s">
        <v>55</v>
      </c>
      <c r="P403">
        <v>1045.28</v>
      </c>
      <c r="Q403" t="s">
        <v>30</v>
      </c>
      <c r="R403" t="s">
        <v>41</v>
      </c>
      <c r="S403">
        <v>2</v>
      </c>
      <c r="T403">
        <v>1</v>
      </c>
      <c r="U403" t="s">
        <v>32</v>
      </c>
      <c r="V403" t="s">
        <v>33</v>
      </c>
      <c r="W403">
        <v>4</v>
      </c>
    </row>
    <row r="404" spans="1:23" x14ac:dyDescent="0.25">
      <c r="A404" t="s">
        <v>778</v>
      </c>
      <c r="B404" s="1">
        <v>45802</v>
      </c>
      <c r="C404" t="s">
        <v>779</v>
      </c>
      <c r="D404" t="s">
        <v>90</v>
      </c>
      <c r="E404" t="s">
        <v>46</v>
      </c>
      <c r="F404" t="s">
        <v>86</v>
      </c>
      <c r="G404" t="s">
        <v>94</v>
      </c>
      <c r="H404">
        <v>1</v>
      </c>
      <c r="I404">
        <v>16802</v>
      </c>
      <c r="J404">
        <v>25</v>
      </c>
      <c r="K404">
        <v>4200.5</v>
      </c>
      <c r="L404">
        <v>12601.5</v>
      </c>
      <c r="M404">
        <v>8790.76</v>
      </c>
      <c r="N404">
        <v>3810.74</v>
      </c>
      <c r="O404" t="s">
        <v>91</v>
      </c>
      <c r="P404">
        <v>426.34</v>
      </c>
      <c r="Q404" t="s">
        <v>83</v>
      </c>
      <c r="R404" t="s">
        <v>41</v>
      </c>
      <c r="S404">
        <v>2</v>
      </c>
      <c r="T404">
        <v>2</v>
      </c>
      <c r="U404" t="s">
        <v>32</v>
      </c>
      <c r="V404" t="s">
        <v>33</v>
      </c>
      <c r="W404">
        <v>2</v>
      </c>
    </row>
    <row r="405" spans="1:23" x14ac:dyDescent="0.25">
      <c r="A405" t="s">
        <v>780</v>
      </c>
      <c r="B405" s="1">
        <v>45967</v>
      </c>
      <c r="C405" t="s">
        <v>781</v>
      </c>
      <c r="D405" t="s">
        <v>124</v>
      </c>
      <c r="E405" t="s">
        <v>46</v>
      </c>
      <c r="F405" t="s">
        <v>86</v>
      </c>
      <c r="G405" t="s">
        <v>180</v>
      </c>
      <c r="H405">
        <v>1</v>
      </c>
      <c r="I405">
        <v>41974</v>
      </c>
      <c r="J405">
        <v>25</v>
      </c>
      <c r="K405">
        <v>10493.5</v>
      </c>
      <c r="L405">
        <v>31480.5</v>
      </c>
      <c r="M405">
        <v>25069.279999999999</v>
      </c>
      <c r="N405">
        <v>6411.22</v>
      </c>
      <c r="O405" t="s">
        <v>39</v>
      </c>
      <c r="P405">
        <v>2091.31</v>
      </c>
      <c r="Q405" t="s">
        <v>30</v>
      </c>
      <c r="R405" t="s">
        <v>41</v>
      </c>
      <c r="S405">
        <v>2</v>
      </c>
      <c r="T405">
        <v>2</v>
      </c>
      <c r="U405" t="s">
        <v>32</v>
      </c>
      <c r="V405" t="s">
        <v>33</v>
      </c>
      <c r="W405">
        <v>3</v>
      </c>
    </row>
    <row r="406" spans="1:23" x14ac:dyDescent="0.25">
      <c r="A406" t="s">
        <v>782</v>
      </c>
      <c r="B406" s="1">
        <v>45765</v>
      </c>
      <c r="C406" t="s">
        <v>203</v>
      </c>
      <c r="D406" t="s">
        <v>67</v>
      </c>
      <c r="E406" t="s">
        <v>26</v>
      </c>
      <c r="F406" t="s">
        <v>27</v>
      </c>
      <c r="G406" t="s">
        <v>28</v>
      </c>
      <c r="H406">
        <v>2</v>
      </c>
      <c r="I406">
        <v>10935</v>
      </c>
      <c r="J406">
        <v>20</v>
      </c>
      <c r="K406">
        <v>4374</v>
      </c>
      <c r="L406">
        <v>17496</v>
      </c>
      <c r="M406">
        <v>10726.89</v>
      </c>
      <c r="N406">
        <v>6769.11</v>
      </c>
      <c r="O406" t="s">
        <v>49</v>
      </c>
      <c r="P406">
        <v>416.48</v>
      </c>
      <c r="Q406" t="s">
        <v>73</v>
      </c>
      <c r="R406" t="s">
        <v>41</v>
      </c>
      <c r="S406">
        <v>2</v>
      </c>
      <c r="T406">
        <v>5</v>
      </c>
      <c r="U406" t="s">
        <v>32</v>
      </c>
      <c r="V406" t="s">
        <v>42</v>
      </c>
    </row>
    <row r="407" spans="1:23" x14ac:dyDescent="0.25">
      <c r="A407" t="s">
        <v>783</v>
      </c>
      <c r="B407" s="1">
        <v>45833</v>
      </c>
      <c r="C407" t="s">
        <v>24</v>
      </c>
      <c r="D407" t="s">
        <v>71</v>
      </c>
      <c r="E407" t="s">
        <v>46</v>
      </c>
      <c r="F407" t="s">
        <v>53</v>
      </c>
      <c r="G407" t="s">
        <v>59</v>
      </c>
      <c r="H407">
        <v>1</v>
      </c>
      <c r="I407">
        <v>82196</v>
      </c>
      <c r="J407">
        <v>10</v>
      </c>
      <c r="K407">
        <v>8219.6</v>
      </c>
      <c r="L407">
        <v>73976.399999999994</v>
      </c>
      <c r="M407">
        <v>59529.22</v>
      </c>
      <c r="N407">
        <v>14447.18</v>
      </c>
      <c r="O407" t="s">
        <v>49</v>
      </c>
      <c r="P407">
        <v>346.48</v>
      </c>
      <c r="Q407" t="s">
        <v>73</v>
      </c>
      <c r="R407" t="s">
        <v>41</v>
      </c>
      <c r="S407">
        <v>2</v>
      </c>
      <c r="T407">
        <v>3</v>
      </c>
      <c r="U407" t="s">
        <v>56</v>
      </c>
      <c r="V407" t="s">
        <v>33</v>
      </c>
      <c r="W407">
        <v>5</v>
      </c>
    </row>
    <row r="408" spans="1:23" x14ac:dyDescent="0.25">
      <c r="A408" t="s">
        <v>784</v>
      </c>
      <c r="B408" s="1">
        <v>45762</v>
      </c>
      <c r="C408" t="s">
        <v>785</v>
      </c>
      <c r="D408" t="s">
        <v>71</v>
      </c>
      <c r="E408" t="s">
        <v>26</v>
      </c>
      <c r="F408" t="s">
        <v>86</v>
      </c>
      <c r="G408" t="s">
        <v>87</v>
      </c>
      <c r="H408">
        <v>2</v>
      </c>
      <c r="I408">
        <v>45274</v>
      </c>
      <c r="J408">
        <v>0</v>
      </c>
      <c r="K408">
        <v>0</v>
      </c>
      <c r="L408">
        <v>90548</v>
      </c>
      <c r="M408">
        <v>72345.94</v>
      </c>
      <c r="N408">
        <v>18202.060000000001</v>
      </c>
      <c r="O408" t="s">
        <v>49</v>
      </c>
      <c r="P408">
        <v>333.43</v>
      </c>
      <c r="Q408" t="s">
        <v>40</v>
      </c>
      <c r="R408" t="s">
        <v>41</v>
      </c>
      <c r="S408">
        <v>2</v>
      </c>
      <c r="T408">
        <v>1</v>
      </c>
      <c r="U408" t="s">
        <v>32</v>
      </c>
      <c r="V408" t="s">
        <v>33</v>
      </c>
      <c r="W408">
        <v>5</v>
      </c>
    </row>
    <row r="409" spans="1:23" x14ac:dyDescent="0.25">
      <c r="A409" t="s">
        <v>786</v>
      </c>
      <c r="B409" s="1">
        <v>46009</v>
      </c>
      <c r="C409" t="s">
        <v>655</v>
      </c>
      <c r="D409" t="s">
        <v>71</v>
      </c>
      <c r="E409" t="s">
        <v>36</v>
      </c>
      <c r="F409" t="s">
        <v>37</v>
      </c>
      <c r="G409" t="s">
        <v>38</v>
      </c>
      <c r="H409">
        <v>1</v>
      </c>
      <c r="I409">
        <v>25550</v>
      </c>
      <c r="J409">
        <v>20</v>
      </c>
      <c r="K409">
        <v>5110</v>
      </c>
      <c r="L409">
        <v>20440</v>
      </c>
      <c r="M409">
        <v>14768.53</v>
      </c>
      <c r="N409">
        <v>5671.47</v>
      </c>
      <c r="O409" t="s">
        <v>91</v>
      </c>
      <c r="P409">
        <v>439.92</v>
      </c>
      <c r="Q409" t="s">
        <v>40</v>
      </c>
      <c r="R409" t="s">
        <v>31</v>
      </c>
      <c r="S409">
        <v>5</v>
      </c>
      <c r="T409">
        <v>4</v>
      </c>
      <c r="U409" t="s">
        <v>32</v>
      </c>
      <c r="V409" t="s">
        <v>33</v>
      </c>
      <c r="W409">
        <v>2</v>
      </c>
    </row>
    <row r="410" spans="1:23" x14ac:dyDescent="0.25">
      <c r="A410" t="s">
        <v>787</v>
      </c>
      <c r="B410" s="1">
        <v>45982</v>
      </c>
      <c r="C410" t="s">
        <v>142</v>
      </c>
      <c r="D410" t="s">
        <v>90</v>
      </c>
      <c r="E410" t="s">
        <v>46</v>
      </c>
      <c r="F410" t="s">
        <v>47</v>
      </c>
      <c r="G410" t="s">
        <v>138</v>
      </c>
      <c r="H410">
        <v>3</v>
      </c>
      <c r="I410">
        <v>25600</v>
      </c>
      <c r="J410">
        <v>25</v>
      </c>
      <c r="K410">
        <v>19200</v>
      </c>
      <c r="L410">
        <v>57600</v>
      </c>
      <c r="M410">
        <v>32768.32</v>
      </c>
      <c r="N410">
        <v>24831.68</v>
      </c>
      <c r="O410" t="s">
        <v>91</v>
      </c>
      <c r="P410">
        <v>225.41</v>
      </c>
      <c r="Q410" t="s">
        <v>73</v>
      </c>
      <c r="R410" t="s">
        <v>41</v>
      </c>
      <c r="S410">
        <v>2</v>
      </c>
      <c r="T410">
        <v>2</v>
      </c>
      <c r="U410" t="s">
        <v>32</v>
      </c>
      <c r="V410" t="s">
        <v>33</v>
      </c>
      <c r="W410">
        <v>5</v>
      </c>
    </row>
    <row r="411" spans="1:23" x14ac:dyDescent="0.25">
      <c r="A411" t="s">
        <v>788</v>
      </c>
      <c r="B411" s="1">
        <v>45793</v>
      </c>
      <c r="C411" t="s">
        <v>789</v>
      </c>
      <c r="D411" t="s">
        <v>79</v>
      </c>
      <c r="E411" t="s">
        <v>26</v>
      </c>
      <c r="F411" t="s">
        <v>27</v>
      </c>
      <c r="G411" t="s">
        <v>113</v>
      </c>
      <c r="H411">
        <v>1</v>
      </c>
      <c r="I411">
        <v>7757</v>
      </c>
      <c r="J411">
        <v>10</v>
      </c>
      <c r="K411">
        <v>775.7</v>
      </c>
      <c r="L411">
        <v>6981.3</v>
      </c>
      <c r="M411">
        <v>4654.3900000000003</v>
      </c>
      <c r="N411">
        <v>2326.91</v>
      </c>
      <c r="O411" t="s">
        <v>91</v>
      </c>
      <c r="P411">
        <v>1522.71</v>
      </c>
      <c r="Q411" t="s">
        <v>73</v>
      </c>
      <c r="R411" t="s">
        <v>41</v>
      </c>
      <c r="S411">
        <v>2</v>
      </c>
      <c r="T411">
        <v>1</v>
      </c>
      <c r="U411" t="s">
        <v>32</v>
      </c>
      <c r="V411" t="s">
        <v>50</v>
      </c>
      <c r="W411">
        <v>5</v>
      </c>
    </row>
    <row r="412" spans="1:23" x14ac:dyDescent="0.25">
      <c r="A412" t="s">
        <v>790</v>
      </c>
      <c r="B412" s="1">
        <v>45916</v>
      </c>
      <c r="C412" t="s">
        <v>158</v>
      </c>
      <c r="D412" t="s">
        <v>67</v>
      </c>
      <c r="E412" t="s">
        <v>46</v>
      </c>
      <c r="F412" t="s">
        <v>37</v>
      </c>
      <c r="G412" t="s">
        <v>161</v>
      </c>
      <c r="H412">
        <v>4</v>
      </c>
      <c r="I412">
        <v>20176</v>
      </c>
      <c r="J412">
        <v>25</v>
      </c>
      <c r="K412">
        <v>20176</v>
      </c>
      <c r="L412">
        <v>60528</v>
      </c>
      <c r="M412">
        <v>38665.33</v>
      </c>
      <c r="N412">
        <v>21862.67</v>
      </c>
      <c r="O412" t="s">
        <v>39</v>
      </c>
      <c r="P412">
        <v>1264.2</v>
      </c>
      <c r="Q412" t="s">
        <v>83</v>
      </c>
      <c r="R412" t="s">
        <v>41</v>
      </c>
      <c r="S412">
        <v>2</v>
      </c>
      <c r="T412">
        <v>3</v>
      </c>
      <c r="U412" t="s">
        <v>32</v>
      </c>
      <c r="V412" t="s">
        <v>42</v>
      </c>
    </row>
    <row r="413" spans="1:23" x14ac:dyDescent="0.25">
      <c r="A413" t="s">
        <v>791</v>
      </c>
      <c r="B413" s="1">
        <v>45908</v>
      </c>
      <c r="C413" t="s">
        <v>792</v>
      </c>
      <c r="D413" t="s">
        <v>25</v>
      </c>
      <c r="E413" t="s">
        <v>36</v>
      </c>
      <c r="F413" t="s">
        <v>53</v>
      </c>
      <c r="G413" t="s">
        <v>59</v>
      </c>
      <c r="H413">
        <v>2</v>
      </c>
      <c r="I413">
        <v>60260</v>
      </c>
      <c r="J413">
        <v>0</v>
      </c>
      <c r="K413">
        <v>0</v>
      </c>
      <c r="L413">
        <v>120520</v>
      </c>
      <c r="M413">
        <v>95571.21</v>
      </c>
      <c r="N413">
        <v>24948.79</v>
      </c>
      <c r="O413" t="s">
        <v>49</v>
      </c>
      <c r="P413">
        <v>459.87</v>
      </c>
      <c r="Q413" t="s">
        <v>68</v>
      </c>
      <c r="R413" t="s">
        <v>41</v>
      </c>
      <c r="S413">
        <v>2</v>
      </c>
      <c r="T413">
        <v>3</v>
      </c>
      <c r="U413" t="s">
        <v>32</v>
      </c>
      <c r="V413" t="s">
        <v>50</v>
      </c>
      <c r="W413">
        <v>4</v>
      </c>
    </row>
    <row r="414" spans="1:23" x14ac:dyDescent="0.25">
      <c r="A414" t="s">
        <v>793</v>
      </c>
      <c r="B414" s="1">
        <v>45786</v>
      </c>
      <c r="C414" t="s">
        <v>484</v>
      </c>
      <c r="D414" t="s">
        <v>90</v>
      </c>
      <c r="E414" t="s">
        <v>36</v>
      </c>
      <c r="F414" t="s">
        <v>37</v>
      </c>
      <c r="G414" t="s">
        <v>224</v>
      </c>
      <c r="H414">
        <v>1</v>
      </c>
      <c r="I414">
        <v>8374</v>
      </c>
      <c r="J414">
        <v>5</v>
      </c>
      <c r="K414">
        <v>418.7</v>
      </c>
      <c r="L414">
        <v>7955.3</v>
      </c>
      <c r="M414">
        <v>6327.32</v>
      </c>
      <c r="N414">
        <v>1627.98</v>
      </c>
      <c r="O414" t="s">
        <v>91</v>
      </c>
      <c r="P414">
        <v>376.03</v>
      </c>
      <c r="Q414" t="s">
        <v>83</v>
      </c>
      <c r="R414" t="s">
        <v>31</v>
      </c>
      <c r="S414">
        <v>5</v>
      </c>
      <c r="T414">
        <v>1</v>
      </c>
      <c r="U414" t="s">
        <v>32</v>
      </c>
      <c r="V414" t="s">
        <v>33</v>
      </c>
      <c r="W414">
        <v>3</v>
      </c>
    </row>
    <row r="415" spans="1:23" x14ac:dyDescent="0.25">
      <c r="A415" t="s">
        <v>794</v>
      </c>
      <c r="B415" s="1">
        <v>45684</v>
      </c>
      <c r="C415" t="s">
        <v>795</v>
      </c>
      <c r="D415" t="s">
        <v>67</v>
      </c>
      <c r="E415" t="s">
        <v>46</v>
      </c>
      <c r="F415" t="s">
        <v>37</v>
      </c>
      <c r="G415" t="s">
        <v>313</v>
      </c>
      <c r="H415">
        <v>1</v>
      </c>
      <c r="I415">
        <v>34271</v>
      </c>
      <c r="J415">
        <v>15</v>
      </c>
      <c r="K415">
        <v>5140.6499999999996</v>
      </c>
      <c r="L415">
        <v>29130.35</v>
      </c>
      <c r="M415">
        <v>18724.63</v>
      </c>
      <c r="N415">
        <v>10405.719999999999</v>
      </c>
      <c r="O415" t="s">
        <v>91</v>
      </c>
      <c r="P415">
        <v>286.88</v>
      </c>
      <c r="Q415" t="s">
        <v>73</v>
      </c>
      <c r="R415" t="s">
        <v>31</v>
      </c>
      <c r="S415">
        <v>5</v>
      </c>
      <c r="T415">
        <v>7</v>
      </c>
      <c r="U415" t="s">
        <v>56</v>
      </c>
      <c r="V415" t="s">
        <v>33</v>
      </c>
      <c r="W415">
        <v>4</v>
      </c>
    </row>
    <row r="416" spans="1:23" x14ac:dyDescent="0.25">
      <c r="A416" t="s">
        <v>796</v>
      </c>
      <c r="B416" s="1">
        <v>45705</v>
      </c>
      <c r="C416" t="s">
        <v>797</v>
      </c>
      <c r="D416" t="s">
        <v>67</v>
      </c>
      <c r="E416" t="s">
        <v>26</v>
      </c>
      <c r="F416" t="s">
        <v>53</v>
      </c>
      <c r="G416" t="s">
        <v>268</v>
      </c>
      <c r="H416">
        <v>1</v>
      </c>
      <c r="I416">
        <v>95117</v>
      </c>
      <c r="J416">
        <v>10</v>
      </c>
      <c r="K416">
        <v>9511.7000000000007</v>
      </c>
      <c r="L416">
        <v>85605.3</v>
      </c>
      <c r="M416">
        <v>66534.31</v>
      </c>
      <c r="N416">
        <v>19070.990000000002</v>
      </c>
      <c r="O416" t="s">
        <v>60</v>
      </c>
      <c r="P416">
        <v>431.18</v>
      </c>
      <c r="Q416" t="s">
        <v>73</v>
      </c>
      <c r="R416" t="s">
        <v>31</v>
      </c>
      <c r="S416">
        <v>5</v>
      </c>
      <c r="T416">
        <v>5</v>
      </c>
      <c r="U416" t="s">
        <v>32</v>
      </c>
      <c r="V416" t="s">
        <v>33</v>
      </c>
      <c r="W416">
        <v>5</v>
      </c>
    </row>
    <row r="417" spans="1:23" x14ac:dyDescent="0.25">
      <c r="A417" t="s">
        <v>798</v>
      </c>
      <c r="B417" s="1">
        <v>45982</v>
      </c>
      <c r="C417" t="s">
        <v>655</v>
      </c>
      <c r="D417" t="s">
        <v>154</v>
      </c>
      <c r="E417" t="s">
        <v>26</v>
      </c>
      <c r="F417" t="s">
        <v>53</v>
      </c>
      <c r="G417" t="s">
        <v>82</v>
      </c>
      <c r="H417">
        <v>1</v>
      </c>
      <c r="I417">
        <v>44815</v>
      </c>
      <c r="J417">
        <v>5</v>
      </c>
      <c r="K417">
        <v>2240.75</v>
      </c>
      <c r="L417">
        <v>42574.25</v>
      </c>
      <c r="M417">
        <v>31628.04</v>
      </c>
      <c r="N417">
        <v>10946.21</v>
      </c>
      <c r="O417" t="s">
        <v>55</v>
      </c>
      <c r="P417">
        <v>309.83999999999997</v>
      </c>
      <c r="Q417" t="s">
        <v>40</v>
      </c>
      <c r="R417" t="s">
        <v>31</v>
      </c>
      <c r="S417">
        <v>5</v>
      </c>
      <c r="T417">
        <v>3</v>
      </c>
      <c r="U417" t="s">
        <v>32</v>
      </c>
      <c r="V417" t="s">
        <v>50</v>
      </c>
      <c r="W417">
        <v>5</v>
      </c>
    </row>
    <row r="418" spans="1:23" x14ac:dyDescent="0.25">
      <c r="A418" t="s">
        <v>799</v>
      </c>
      <c r="B418" s="1">
        <v>45874</v>
      </c>
      <c r="C418" t="s">
        <v>201</v>
      </c>
      <c r="D418" t="s">
        <v>67</v>
      </c>
      <c r="E418" t="s">
        <v>26</v>
      </c>
      <c r="F418" t="s">
        <v>53</v>
      </c>
      <c r="G418" t="s">
        <v>54</v>
      </c>
      <c r="H418">
        <v>1</v>
      </c>
      <c r="I418">
        <v>58465</v>
      </c>
      <c r="J418">
        <v>5</v>
      </c>
      <c r="K418">
        <v>2923.25</v>
      </c>
      <c r="L418">
        <v>55541.75</v>
      </c>
      <c r="M418">
        <v>31918.42</v>
      </c>
      <c r="N418">
        <v>23623.33</v>
      </c>
      <c r="O418" t="s">
        <v>55</v>
      </c>
      <c r="P418">
        <v>975.37</v>
      </c>
      <c r="Q418" t="s">
        <v>68</v>
      </c>
      <c r="R418" t="s">
        <v>31</v>
      </c>
      <c r="S418">
        <v>5</v>
      </c>
      <c r="T418">
        <v>8</v>
      </c>
      <c r="U418" t="s">
        <v>56</v>
      </c>
      <c r="V418" t="s">
        <v>33</v>
      </c>
      <c r="W418">
        <v>1</v>
      </c>
    </row>
    <row r="419" spans="1:23" x14ac:dyDescent="0.25">
      <c r="A419" t="s">
        <v>800</v>
      </c>
      <c r="B419" s="1">
        <v>45799</v>
      </c>
      <c r="C419" t="s">
        <v>411</v>
      </c>
      <c r="D419" t="s">
        <v>154</v>
      </c>
      <c r="E419" t="s">
        <v>46</v>
      </c>
      <c r="F419" t="s">
        <v>53</v>
      </c>
      <c r="G419" t="s">
        <v>268</v>
      </c>
      <c r="H419">
        <v>1</v>
      </c>
      <c r="I419">
        <v>23114</v>
      </c>
      <c r="J419">
        <v>5</v>
      </c>
      <c r="K419">
        <v>1155.7</v>
      </c>
      <c r="L419">
        <v>21958.3</v>
      </c>
      <c r="M419">
        <v>17616.45</v>
      </c>
      <c r="N419">
        <v>4341.8500000000004</v>
      </c>
      <c r="O419" t="s">
        <v>49</v>
      </c>
      <c r="P419">
        <v>154.58000000000001</v>
      </c>
      <c r="Q419" t="s">
        <v>83</v>
      </c>
      <c r="R419" t="s">
        <v>41</v>
      </c>
      <c r="S419">
        <v>2</v>
      </c>
      <c r="T419">
        <v>2</v>
      </c>
      <c r="U419" t="s">
        <v>32</v>
      </c>
      <c r="V419" t="s">
        <v>33</v>
      </c>
      <c r="W419">
        <v>1</v>
      </c>
    </row>
    <row r="420" spans="1:23" x14ac:dyDescent="0.25">
      <c r="A420" t="s">
        <v>801</v>
      </c>
      <c r="B420" s="1">
        <v>45680</v>
      </c>
      <c r="C420" t="s">
        <v>802</v>
      </c>
      <c r="D420" t="s">
        <v>90</v>
      </c>
      <c r="E420" t="s">
        <v>26</v>
      </c>
      <c r="F420" t="s">
        <v>86</v>
      </c>
      <c r="G420" t="s">
        <v>94</v>
      </c>
      <c r="H420">
        <v>1</v>
      </c>
      <c r="I420">
        <v>34848</v>
      </c>
      <c r="J420">
        <v>10</v>
      </c>
      <c r="K420">
        <v>3484.8</v>
      </c>
      <c r="L420">
        <v>31363.200000000001</v>
      </c>
      <c r="M420">
        <v>17621.84</v>
      </c>
      <c r="N420">
        <v>13741.36</v>
      </c>
      <c r="O420" t="s">
        <v>60</v>
      </c>
      <c r="P420">
        <v>1965.35</v>
      </c>
      <c r="Q420" t="s">
        <v>30</v>
      </c>
      <c r="R420" t="s">
        <v>41</v>
      </c>
      <c r="S420">
        <v>2</v>
      </c>
      <c r="T420">
        <v>4</v>
      </c>
      <c r="U420" t="s">
        <v>56</v>
      </c>
      <c r="V420" t="s">
        <v>33</v>
      </c>
      <c r="W420">
        <v>3</v>
      </c>
    </row>
    <row r="421" spans="1:23" x14ac:dyDescent="0.25">
      <c r="A421" t="s">
        <v>803</v>
      </c>
      <c r="B421" s="1">
        <v>45659</v>
      </c>
      <c r="C421" t="s">
        <v>804</v>
      </c>
      <c r="D421" t="s">
        <v>154</v>
      </c>
      <c r="E421" t="s">
        <v>36</v>
      </c>
      <c r="F421" t="s">
        <v>53</v>
      </c>
      <c r="G421" t="s">
        <v>82</v>
      </c>
      <c r="H421">
        <v>2</v>
      </c>
      <c r="I421">
        <v>91689</v>
      </c>
      <c r="J421">
        <v>10</v>
      </c>
      <c r="K421">
        <v>18337.8</v>
      </c>
      <c r="L421">
        <v>165040.20000000001</v>
      </c>
      <c r="M421">
        <v>98585.01</v>
      </c>
      <c r="N421">
        <v>66455.19</v>
      </c>
      <c r="O421" t="s">
        <v>39</v>
      </c>
      <c r="P421">
        <v>1308.9000000000001</v>
      </c>
      <c r="Q421" t="s">
        <v>73</v>
      </c>
      <c r="R421" t="s">
        <v>41</v>
      </c>
      <c r="S421">
        <v>2</v>
      </c>
      <c r="T421">
        <v>6</v>
      </c>
      <c r="U421" t="s">
        <v>32</v>
      </c>
      <c r="V421" t="s">
        <v>50</v>
      </c>
      <c r="W421">
        <v>5</v>
      </c>
    </row>
    <row r="422" spans="1:23" x14ac:dyDescent="0.25">
      <c r="A422" t="s">
        <v>805</v>
      </c>
      <c r="B422" s="1">
        <v>45828</v>
      </c>
      <c r="C422" t="s">
        <v>199</v>
      </c>
      <c r="D422" t="s">
        <v>67</v>
      </c>
      <c r="E422" t="s">
        <v>26</v>
      </c>
      <c r="F422" t="s">
        <v>53</v>
      </c>
      <c r="G422" t="s">
        <v>82</v>
      </c>
      <c r="H422">
        <v>2</v>
      </c>
      <c r="I422">
        <v>74984</v>
      </c>
      <c r="J422">
        <v>0</v>
      </c>
      <c r="K422">
        <v>0</v>
      </c>
      <c r="L422">
        <v>149968</v>
      </c>
      <c r="M422">
        <v>94988.1</v>
      </c>
      <c r="N422">
        <v>54979.9</v>
      </c>
      <c r="O422" t="s">
        <v>60</v>
      </c>
      <c r="P422">
        <v>1625.46</v>
      </c>
      <c r="Q422" t="s">
        <v>83</v>
      </c>
      <c r="R422" t="s">
        <v>41</v>
      </c>
      <c r="S422">
        <v>2</v>
      </c>
      <c r="T422">
        <v>6</v>
      </c>
      <c r="U422" t="s">
        <v>32</v>
      </c>
      <c r="V422" t="s">
        <v>50</v>
      </c>
      <c r="W422">
        <v>2</v>
      </c>
    </row>
    <row r="423" spans="1:23" x14ac:dyDescent="0.25">
      <c r="A423" t="s">
        <v>806</v>
      </c>
      <c r="B423" s="1">
        <v>45724</v>
      </c>
      <c r="C423" t="s">
        <v>807</v>
      </c>
      <c r="D423" t="s">
        <v>63</v>
      </c>
      <c r="E423" t="s">
        <v>46</v>
      </c>
      <c r="F423" t="s">
        <v>47</v>
      </c>
      <c r="G423" t="s">
        <v>48</v>
      </c>
      <c r="H423">
        <v>1</v>
      </c>
      <c r="I423">
        <v>22601</v>
      </c>
      <c r="J423">
        <v>0</v>
      </c>
      <c r="K423">
        <v>0</v>
      </c>
      <c r="L423">
        <v>22601</v>
      </c>
      <c r="M423">
        <v>14127.75</v>
      </c>
      <c r="N423">
        <v>8473.25</v>
      </c>
      <c r="O423" t="s">
        <v>91</v>
      </c>
      <c r="P423">
        <v>2448.41</v>
      </c>
      <c r="Q423" t="s">
        <v>73</v>
      </c>
      <c r="R423" t="s">
        <v>31</v>
      </c>
      <c r="S423">
        <v>5</v>
      </c>
      <c r="T423">
        <v>4</v>
      </c>
      <c r="U423" t="s">
        <v>32</v>
      </c>
      <c r="V423" t="s">
        <v>50</v>
      </c>
      <c r="W423">
        <v>5</v>
      </c>
    </row>
    <row r="424" spans="1:23" x14ac:dyDescent="0.25">
      <c r="A424" t="s">
        <v>808</v>
      </c>
      <c r="B424" s="1">
        <v>45984</v>
      </c>
      <c r="C424" t="s">
        <v>316</v>
      </c>
      <c r="D424" t="s">
        <v>25</v>
      </c>
      <c r="E424" t="s">
        <v>46</v>
      </c>
      <c r="F424" t="s">
        <v>53</v>
      </c>
      <c r="G424" t="s">
        <v>268</v>
      </c>
      <c r="H424">
        <v>1</v>
      </c>
      <c r="I424">
        <v>96163</v>
      </c>
      <c r="J424">
        <v>25</v>
      </c>
      <c r="K424">
        <v>24040.75</v>
      </c>
      <c r="L424">
        <v>72122.25</v>
      </c>
      <c r="M424">
        <v>45930.48</v>
      </c>
      <c r="N424">
        <v>26191.77</v>
      </c>
      <c r="O424" t="s">
        <v>91</v>
      </c>
      <c r="P424">
        <v>2200.69</v>
      </c>
      <c r="Q424" t="s">
        <v>83</v>
      </c>
      <c r="R424" t="s">
        <v>31</v>
      </c>
      <c r="S424">
        <v>5</v>
      </c>
      <c r="T424">
        <v>4</v>
      </c>
      <c r="U424" t="s">
        <v>32</v>
      </c>
      <c r="V424" t="s">
        <v>33</v>
      </c>
      <c r="W424">
        <v>1</v>
      </c>
    </row>
    <row r="425" spans="1:23" x14ac:dyDescent="0.25">
      <c r="A425" t="s">
        <v>809</v>
      </c>
      <c r="B425" s="1">
        <v>45792</v>
      </c>
      <c r="C425" t="s">
        <v>535</v>
      </c>
      <c r="D425" t="s">
        <v>124</v>
      </c>
      <c r="E425" t="s">
        <v>46</v>
      </c>
      <c r="F425" t="s">
        <v>47</v>
      </c>
      <c r="G425" t="s">
        <v>138</v>
      </c>
      <c r="H425">
        <v>2</v>
      </c>
      <c r="I425">
        <v>20393</v>
      </c>
      <c r="J425">
        <v>15</v>
      </c>
      <c r="K425">
        <v>6117.9</v>
      </c>
      <c r="L425">
        <v>34668.1</v>
      </c>
      <c r="M425">
        <v>25853.63</v>
      </c>
      <c r="N425">
        <v>8814.4699999999993</v>
      </c>
      <c r="O425" t="s">
        <v>91</v>
      </c>
      <c r="P425">
        <v>654.33000000000004</v>
      </c>
      <c r="Q425" t="s">
        <v>30</v>
      </c>
      <c r="R425" t="s">
        <v>31</v>
      </c>
      <c r="S425">
        <v>5</v>
      </c>
      <c r="T425">
        <v>6</v>
      </c>
      <c r="U425" t="s">
        <v>56</v>
      </c>
      <c r="V425" t="s">
        <v>33</v>
      </c>
      <c r="W425">
        <v>5</v>
      </c>
    </row>
    <row r="426" spans="1:23" x14ac:dyDescent="0.25">
      <c r="A426" t="s">
        <v>810</v>
      </c>
      <c r="B426" s="1">
        <v>45740</v>
      </c>
      <c r="C426" t="s">
        <v>156</v>
      </c>
      <c r="D426" t="s">
        <v>63</v>
      </c>
      <c r="E426" t="s">
        <v>26</v>
      </c>
      <c r="F426" t="s">
        <v>47</v>
      </c>
      <c r="G426" t="s">
        <v>64</v>
      </c>
      <c r="H426">
        <v>3</v>
      </c>
      <c r="I426">
        <v>24816</v>
      </c>
      <c r="J426">
        <v>15</v>
      </c>
      <c r="K426">
        <v>11167.2</v>
      </c>
      <c r="L426">
        <v>63280.800000000003</v>
      </c>
      <c r="M426">
        <v>41258.050000000003</v>
      </c>
      <c r="N426">
        <v>22022.75</v>
      </c>
      <c r="O426" t="s">
        <v>39</v>
      </c>
      <c r="P426">
        <v>1362.17</v>
      </c>
      <c r="Q426" t="s">
        <v>30</v>
      </c>
      <c r="R426" t="s">
        <v>41</v>
      </c>
      <c r="S426">
        <v>2</v>
      </c>
      <c r="T426">
        <v>3</v>
      </c>
      <c r="U426" t="s">
        <v>56</v>
      </c>
      <c r="V426" t="s">
        <v>33</v>
      </c>
      <c r="W426">
        <v>4</v>
      </c>
    </row>
    <row r="427" spans="1:23" x14ac:dyDescent="0.25">
      <c r="A427" t="s">
        <v>811</v>
      </c>
      <c r="B427" s="1">
        <v>45884</v>
      </c>
      <c r="C427" t="s">
        <v>812</v>
      </c>
      <c r="D427" t="s">
        <v>71</v>
      </c>
      <c r="E427" t="s">
        <v>36</v>
      </c>
      <c r="F427" t="s">
        <v>47</v>
      </c>
      <c r="G427" t="s">
        <v>105</v>
      </c>
      <c r="H427">
        <v>2</v>
      </c>
      <c r="I427">
        <v>46005</v>
      </c>
      <c r="J427">
        <v>10</v>
      </c>
      <c r="K427">
        <v>9201</v>
      </c>
      <c r="L427">
        <v>82809</v>
      </c>
      <c r="M427">
        <v>54051.22</v>
      </c>
      <c r="N427">
        <v>28757.78</v>
      </c>
      <c r="O427" t="s">
        <v>60</v>
      </c>
      <c r="P427">
        <v>1062.8399999999999</v>
      </c>
      <c r="Q427" t="s">
        <v>40</v>
      </c>
      <c r="R427" t="s">
        <v>41</v>
      </c>
      <c r="S427">
        <v>2</v>
      </c>
      <c r="T427">
        <v>4</v>
      </c>
      <c r="U427" t="s">
        <v>56</v>
      </c>
      <c r="V427" t="s">
        <v>33</v>
      </c>
      <c r="W427">
        <v>3</v>
      </c>
    </row>
    <row r="428" spans="1:23" x14ac:dyDescent="0.25">
      <c r="A428" t="s">
        <v>813</v>
      </c>
      <c r="B428" s="1">
        <v>45940</v>
      </c>
      <c r="C428" t="s">
        <v>814</v>
      </c>
      <c r="D428" t="s">
        <v>154</v>
      </c>
      <c r="E428" t="s">
        <v>26</v>
      </c>
      <c r="F428" t="s">
        <v>27</v>
      </c>
      <c r="G428" t="s">
        <v>164</v>
      </c>
      <c r="H428">
        <v>1</v>
      </c>
      <c r="I428">
        <v>19906</v>
      </c>
      <c r="J428">
        <v>20</v>
      </c>
      <c r="K428">
        <v>3981.2</v>
      </c>
      <c r="L428">
        <v>15924.8</v>
      </c>
      <c r="M428">
        <v>10498.1</v>
      </c>
      <c r="N428">
        <v>5426.7</v>
      </c>
      <c r="O428" t="s">
        <v>49</v>
      </c>
      <c r="P428">
        <v>217.92</v>
      </c>
      <c r="Q428" t="s">
        <v>30</v>
      </c>
      <c r="R428" t="s">
        <v>41</v>
      </c>
      <c r="S428">
        <v>2</v>
      </c>
      <c r="T428">
        <v>1</v>
      </c>
      <c r="U428" t="s">
        <v>32</v>
      </c>
      <c r="V428" t="s">
        <v>33</v>
      </c>
      <c r="W428">
        <v>5</v>
      </c>
    </row>
    <row r="429" spans="1:23" x14ac:dyDescent="0.25">
      <c r="A429" t="s">
        <v>815</v>
      </c>
      <c r="B429" s="1">
        <v>46019</v>
      </c>
      <c r="C429" t="s">
        <v>384</v>
      </c>
      <c r="D429" t="s">
        <v>71</v>
      </c>
      <c r="E429" t="s">
        <v>36</v>
      </c>
      <c r="F429" t="s">
        <v>86</v>
      </c>
      <c r="G429" t="s">
        <v>110</v>
      </c>
      <c r="H429">
        <v>1</v>
      </c>
      <c r="I429">
        <v>31457</v>
      </c>
      <c r="J429">
        <v>10</v>
      </c>
      <c r="K429">
        <v>3145.7</v>
      </c>
      <c r="L429">
        <v>28311.3</v>
      </c>
      <c r="M429">
        <v>21466.85</v>
      </c>
      <c r="N429">
        <v>6844.45</v>
      </c>
      <c r="O429" t="s">
        <v>55</v>
      </c>
      <c r="P429">
        <v>1323.83</v>
      </c>
      <c r="Q429" t="s">
        <v>73</v>
      </c>
      <c r="R429" t="s">
        <v>41</v>
      </c>
      <c r="S429">
        <v>2</v>
      </c>
      <c r="T429">
        <v>4</v>
      </c>
      <c r="U429" t="s">
        <v>32</v>
      </c>
      <c r="V429" t="s">
        <v>50</v>
      </c>
      <c r="W429">
        <v>5</v>
      </c>
    </row>
    <row r="430" spans="1:23" x14ac:dyDescent="0.25">
      <c r="A430" t="s">
        <v>816</v>
      </c>
      <c r="B430" s="1">
        <v>45876</v>
      </c>
      <c r="C430" t="s">
        <v>817</v>
      </c>
      <c r="D430" t="s">
        <v>124</v>
      </c>
      <c r="E430" t="s">
        <v>26</v>
      </c>
      <c r="F430" t="s">
        <v>53</v>
      </c>
      <c r="G430" t="s">
        <v>54</v>
      </c>
      <c r="H430">
        <v>3</v>
      </c>
      <c r="I430">
        <v>56371</v>
      </c>
      <c r="J430">
        <v>10</v>
      </c>
      <c r="K430">
        <v>16911.3</v>
      </c>
      <c r="L430">
        <v>152201.70000000001</v>
      </c>
      <c r="M430">
        <v>108590.98</v>
      </c>
      <c r="N430">
        <v>43610.720000000001</v>
      </c>
      <c r="O430" t="s">
        <v>91</v>
      </c>
      <c r="P430">
        <v>1584.94</v>
      </c>
      <c r="Q430" t="s">
        <v>68</v>
      </c>
      <c r="R430" t="s">
        <v>31</v>
      </c>
      <c r="S430">
        <v>5</v>
      </c>
      <c r="T430">
        <v>2</v>
      </c>
      <c r="U430" t="s">
        <v>32</v>
      </c>
      <c r="V430" t="s">
        <v>50</v>
      </c>
      <c r="W430">
        <v>2</v>
      </c>
    </row>
    <row r="431" spans="1:23" x14ac:dyDescent="0.25">
      <c r="A431" t="s">
        <v>818</v>
      </c>
      <c r="B431" s="1">
        <v>45945</v>
      </c>
      <c r="C431" t="s">
        <v>819</v>
      </c>
      <c r="D431" t="s">
        <v>71</v>
      </c>
      <c r="E431" t="s">
        <v>26</v>
      </c>
      <c r="F431" t="s">
        <v>53</v>
      </c>
      <c r="G431" t="s">
        <v>151</v>
      </c>
      <c r="H431">
        <v>4</v>
      </c>
      <c r="I431">
        <v>19531</v>
      </c>
      <c r="J431">
        <v>15</v>
      </c>
      <c r="K431">
        <v>11718.6</v>
      </c>
      <c r="L431">
        <v>66405.399999999994</v>
      </c>
      <c r="M431">
        <v>41056.81</v>
      </c>
      <c r="N431">
        <v>25348.59</v>
      </c>
      <c r="O431" t="s">
        <v>60</v>
      </c>
      <c r="P431">
        <v>908.35</v>
      </c>
      <c r="Q431" t="s">
        <v>30</v>
      </c>
      <c r="R431" t="s">
        <v>41</v>
      </c>
      <c r="S431">
        <v>2</v>
      </c>
      <c r="T431">
        <v>1</v>
      </c>
      <c r="U431" t="s">
        <v>32</v>
      </c>
      <c r="V431" t="s">
        <v>33</v>
      </c>
      <c r="W431">
        <v>5</v>
      </c>
    </row>
    <row r="432" spans="1:23" x14ac:dyDescent="0.25">
      <c r="A432" t="s">
        <v>820</v>
      </c>
      <c r="B432" s="1">
        <v>45662</v>
      </c>
      <c r="C432" t="s">
        <v>109</v>
      </c>
      <c r="D432" t="s">
        <v>25</v>
      </c>
      <c r="E432" t="s">
        <v>46</v>
      </c>
      <c r="F432" t="s">
        <v>53</v>
      </c>
      <c r="G432" t="s">
        <v>151</v>
      </c>
      <c r="H432">
        <v>1</v>
      </c>
      <c r="I432">
        <v>107079</v>
      </c>
      <c r="J432">
        <v>20</v>
      </c>
      <c r="K432">
        <v>21415.8</v>
      </c>
      <c r="L432">
        <v>85663.2</v>
      </c>
      <c r="M432">
        <v>47151.27</v>
      </c>
      <c r="N432">
        <v>38511.93</v>
      </c>
      <c r="O432" t="s">
        <v>91</v>
      </c>
      <c r="P432">
        <v>1158.74</v>
      </c>
      <c r="Q432" t="s">
        <v>73</v>
      </c>
      <c r="R432" t="s">
        <v>41</v>
      </c>
      <c r="S432">
        <v>2</v>
      </c>
      <c r="T432">
        <v>1</v>
      </c>
      <c r="U432" t="s">
        <v>32</v>
      </c>
      <c r="V432" t="s">
        <v>33</v>
      </c>
      <c r="W432">
        <v>5</v>
      </c>
    </row>
    <row r="433" spans="1:23" x14ac:dyDescent="0.25">
      <c r="A433" t="s">
        <v>821</v>
      </c>
      <c r="B433" s="1">
        <v>45715</v>
      </c>
      <c r="C433" t="s">
        <v>822</v>
      </c>
      <c r="D433" t="s">
        <v>25</v>
      </c>
      <c r="E433" t="s">
        <v>26</v>
      </c>
      <c r="F433" t="s">
        <v>27</v>
      </c>
      <c r="G433" t="s">
        <v>76</v>
      </c>
      <c r="H433">
        <v>1</v>
      </c>
      <c r="I433">
        <v>18267</v>
      </c>
      <c r="J433">
        <v>0</v>
      </c>
      <c r="K433">
        <v>0</v>
      </c>
      <c r="L433">
        <v>18267</v>
      </c>
      <c r="M433">
        <v>11037.91</v>
      </c>
      <c r="N433">
        <v>7229.09</v>
      </c>
      <c r="O433" t="s">
        <v>91</v>
      </c>
      <c r="P433">
        <v>641.34</v>
      </c>
      <c r="Q433" t="s">
        <v>30</v>
      </c>
      <c r="R433" t="s">
        <v>31</v>
      </c>
      <c r="S433">
        <v>5</v>
      </c>
      <c r="T433">
        <v>6</v>
      </c>
      <c r="U433" t="s">
        <v>32</v>
      </c>
      <c r="V433" t="s">
        <v>50</v>
      </c>
      <c r="W433">
        <v>5</v>
      </c>
    </row>
    <row r="434" spans="1:23" x14ac:dyDescent="0.25">
      <c r="A434" t="s">
        <v>823</v>
      </c>
      <c r="B434" s="1">
        <v>45696</v>
      </c>
      <c r="C434" t="s">
        <v>824</v>
      </c>
      <c r="D434" t="s">
        <v>154</v>
      </c>
      <c r="E434" t="s">
        <v>46</v>
      </c>
      <c r="F434" t="s">
        <v>27</v>
      </c>
      <c r="G434" t="s">
        <v>28</v>
      </c>
      <c r="H434">
        <v>1</v>
      </c>
      <c r="I434">
        <v>4472</v>
      </c>
      <c r="J434">
        <v>20</v>
      </c>
      <c r="K434">
        <v>894.4</v>
      </c>
      <c r="L434">
        <v>3577.6</v>
      </c>
      <c r="M434">
        <v>2436.35</v>
      </c>
      <c r="N434">
        <v>1141.25</v>
      </c>
      <c r="O434" t="s">
        <v>55</v>
      </c>
      <c r="P434">
        <v>811.99</v>
      </c>
      <c r="Q434" t="s">
        <v>83</v>
      </c>
      <c r="R434" t="s">
        <v>31</v>
      </c>
      <c r="S434">
        <v>5</v>
      </c>
      <c r="T434">
        <v>4</v>
      </c>
      <c r="U434" t="s">
        <v>32</v>
      </c>
      <c r="V434" t="s">
        <v>33</v>
      </c>
      <c r="W434">
        <v>1</v>
      </c>
    </row>
    <row r="435" spans="1:23" x14ac:dyDescent="0.25">
      <c r="A435" t="s">
        <v>825</v>
      </c>
      <c r="B435" s="1">
        <v>46011</v>
      </c>
      <c r="C435" t="s">
        <v>826</v>
      </c>
      <c r="D435" t="s">
        <v>124</v>
      </c>
      <c r="E435" t="s">
        <v>26</v>
      </c>
      <c r="F435" t="s">
        <v>37</v>
      </c>
      <c r="G435" t="s">
        <v>224</v>
      </c>
      <c r="H435">
        <v>1</v>
      </c>
      <c r="I435">
        <v>26087</v>
      </c>
      <c r="J435">
        <v>15</v>
      </c>
      <c r="K435">
        <v>3913.05</v>
      </c>
      <c r="L435">
        <v>22173.95</v>
      </c>
      <c r="M435">
        <v>14210.59</v>
      </c>
      <c r="N435">
        <v>7963.36</v>
      </c>
      <c r="O435" t="s">
        <v>29</v>
      </c>
      <c r="P435">
        <v>751.07</v>
      </c>
      <c r="Q435" t="s">
        <v>73</v>
      </c>
      <c r="R435" t="s">
        <v>41</v>
      </c>
      <c r="S435">
        <v>2</v>
      </c>
      <c r="T435">
        <v>2</v>
      </c>
      <c r="U435" t="s">
        <v>32</v>
      </c>
      <c r="V435" t="s">
        <v>50</v>
      </c>
      <c r="W435">
        <v>5</v>
      </c>
    </row>
    <row r="436" spans="1:23" x14ac:dyDescent="0.25">
      <c r="A436" t="s">
        <v>827</v>
      </c>
      <c r="B436" s="1">
        <v>45734</v>
      </c>
      <c r="C436" t="s">
        <v>828</v>
      </c>
      <c r="D436" t="s">
        <v>25</v>
      </c>
      <c r="E436" t="s">
        <v>36</v>
      </c>
      <c r="F436" t="s">
        <v>27</v>
      </c>
      <c r="G436" t="s">
        <v>113</v>
      </c>
      <c r="H436">
        <v>1</v>
      </c>
      <c r="I436">
        <v>4341</v>
      </c>
      <c r="J436">
        <v>25</v>
      </c>
      <c r="K436">
        <v>1085.25</v>
      </c>
      <c r="L436">
        <v>3255.75</v>
      </c>
      <c r="M436">
        <v>2036.33</v>
      </c>
      <c r="N436">
        <v>1219.42</v>
      </c>
      <c r="O436" t="s">
        <v>39</v>
      </c>
      <c r="P436">
        <v>1622.21</v>
      </c>
      <c r="Q436" t="s">
        <v>30</v>
      </c>
      <c r="R436" t="s">
        <v>31</v>
      </c>
      <c r="S436">
        <v>5</v>
      </c>
      <c r="T436">
        <v>2</v>
      </c>
      <c r="U436" t="s">
        <v>32</v>
      </c>
      <c r="V436" t="s">
        <v>50</v>
      </c>
      <c r="W436">
        <v>4</v>
      </c>
    </row>
    <row r="437" spans="1:23" x14ac:dyDescent="0.25">
      <c r="A437" t="s">
        <v>829</v>
      </c>
      <c r="B437" s="1">
        <v>45937</v>
      </c>
      <c r="C437" t="s">
        <v>24</v>
      </c>
      <c r="D437" t="s">
        <v>90</v>
      </c>
      <c r="E437" t="s">
        <v>36</v>
      </c>
      <c r="F437" t="s">
        <v>37</v>
      </c>
      <c r="G437" t="s">
        <v>100</v>
      </c>
      <c r="H437">
        <v>2</v>
      </c>
      <c r="I437">
        <v>25333</v>
      </c>
      <c r="J437">
        <v>20</v>
      </c>
      <c r="K437">
        <v>10133.200000000001</v>
      </c>
      <c r="L437">
        <v>40532.800000000003</v>
      </c>
      <c r="M437">
        <v>24849.07</v>
      </c>
      <c r="N437">
        <v>15683.73</v>
      </c>
      <c r="O437" t="s">
        <v>49</v>
      </c>
      <c r="P437">
        <v>325.67</v>
      </c>
      <c r="Q437" t="s">
        <v>83</v>
      </c>
      <c r="R437" t="s">
        <v>41</v>
      </c>
      <c r="S437">
        <v>2</v>
      </c>
      <c r="T437">
        <v>2</v>
      </c>
      <c r="U437" t="s">
        <v>32</v>
      </c>
      <c r="V437" t="s">
        <v>33</v>
      </c>
      <c r="W437">
        <v>5</v>
      </c>
    </row>
    <row r="438" spans="1:23" x14ac:dyDescent="0.25">
      <c r="A438" t="s">
        <v>830</v>
      </c>
      <c r="B438" s="1">
        <v>45676</v>
      </c>
      <c r="C438" t="s">
        <v>831</v>
      </c>
      <c r="D438" t="s">
        <v>79</v>
      </c>
      <c r="E438" t="s">
        <v>46</v>
      </c>
      <c r="F438" t="s">
        <v>86</v>
      </c>
      <c r="G438" t="s">
        <v>127</v>
      </c>
      <c r="H438">
        <v>2</v>
      </c>
      <c r="I438">
        <v>74164</v>
      </c>
      <c r="J438">
        <v>0</v>
      </c>
      <c r="K438">
        <v>0</v>
      </c>
      <c r="L438">
        <v>148328</v>
      </c>
      <c r="M438">
        <v>86701.06</v>
      </c>
      <c r="N438">
        <v>61626.94</v>
      </c>
      <c r="O438" t="s">
        <v>49</v>
      </c>
      <c r="P438">
        <v>352.88</v>
      </c>
      <c r="Q438" t="s">
        <v>40</v>
      </c>
      <c r="R438" t="s">
        <v>41</v>
      </c>
      <c r="S438">
        <v>2</v>
      </c>
      <c r="T438">
        <v>5</v>
      </c>
      <c r="U438" t="s">
        <v>56</v>
      </c>
      <c r="V438" t="s">
        <v>33</v>
      </c>
      <c r="W438">
        <v>5</v>
      </c>
    </row>
    <row r="439" spans="1:23" x14ac:dyDescent="0.25">
      <c r="A439" t="s">
        <v>832</v>
      </c>
      <c r="B439" s="1">
        <v>45847</v>
      </c>
      <c r="C439" t="s">
        <v>380</v>
      </c>
      <c r="D439" t="s">
        <v>79</v>
      </c>
      <c r="E439" t="s">
        <v>26</v>
      </c>
      <c r="F439" t="s">
        <v>27</v>
      </c>
      <c r="G439" t="s">
        <v>76</v>
      </c>
      <c r="H439">
        <v>1</v>
      </c>
      <c r="I439">
        <v>6956</v>
      </c>
      <c r="J439">
        <v>0</v>
      </c>
      <c r="K439">
        <v>0</v>
      </c>
      <c r="L439">
        <v>6956</v>
      </c>
      <c r="M439">
        <v>4126.74</v>
      </c>
      <c r="N439">
        <v>2829.26</v>
      </c>
      <c r="O439" t="s">
        <v>60</v>
      </c>
      <c r="P439">
        <v>844.82</v>
      </c>
      <c r="Q439" t="s">
        <v>73</v>
      </c>
      <c r="R439" t="s">
        <v>41</v>
      </c>
      <c r="S439">
        <v>2</v>
      </c>
      <c r="T439">
        <v>1</v>
      </c>
      <c r="U439" t="s">
        <v>32</v>
      </c>
      <c r="V439" t="s">
        <v>33</v>
      </c>
      <c r="W439">
        <v>5</v>
      </c>
    </row>
    <row r="440" spans="1:23" x14ac:dyDescent="0.25">
      <c r="A440" t="s">
        <v>833</v>
      </c>
      <c r="B440" s="1">
        <v>45956</v>
      </c>
      <c r="C440" t="s">
        <v>524</v>
      </c>
      <c r="D440" t="s">
        <v>97</v>
      </c>
      <c r="E440" t="s">
        <v>26</v>
      </c>
      <c r="F440" t="s">
        <v>27</v>
      </c>
      <c r="G440" t="s">
        <v>164</v>
      </c>
      <c r="H440">
        <v>1</v>
      </c>
      <c r="I440">
        <v>22373</v>
      </c>
      <c r="J440">
        <v>10</v>
      </c>
      <c r="K440">
        <v>2237.3000000000002</v>
      </c>
      <c r="L440">
        <v>20135.7</v>
      </c>
      <c r="M440">
        <v>13124.3</v>
      </c>
      <c r="N440">
        <v>7011.4</v>
      </c>
      <c r="O440" t="s">
        <v>49</v>
      </c>
      <c r="P440">
        <v>403.29</v>
      </c>
      <c r="Q440" t="s">
        <v>30</v>
      </c>
      <c r="R440" t="s">
        <v>41</v>
      </c>
      <c r="S440">
        <v>2</v>
      </c>
      <c r="T440">
        <v>5</v>
      </c>
      <c r="U440" t="s">
        <v>32</v>
      </c>
      <c r="V440" t="s">
        <v>50</v>
      </c>
      <c r="W440">
        <v>5</v>
      </c>
    </row>
    <row r="441" spans="1:23" x14ac:dyDescent="0.25">
      <c r="A441" t="s">
        <v>834</v>
      </c>
      <c r="B441" s="1">
        <v>45940</v>
      </c>
      <c r="C441" t="s">
        <v>835</v>
      </c>
      <c r="D441" t="s">
        <v>79</v>
      </c>
      <c r="E441" t="s">
        <v>46</v>
      </c>
      <c r="F441" t="s">
        <v>47</v>
      </c>
      <c r="G441" t="s">
        <v>146</v>
      </c>
      <c r="H441">
        <v>1</v>
      </c>
      <c r="I441">
        <v>45810</v>
      </c>
      <c r="J441">
        <v>10</v>
      </c>
      <c r="K441">
        <v>4581</v>
      </c>
      <c r="L441">
        <v>41229</v>
      </c>
      <c r="M441">
        <v>24094.34</v>
      </c>
      <c r="N441">
        <v>17134.66</v>
      </c>
      <c r="O441" t="s">
        <v>39</v>
      </c>
      <c r="P441">
        <v>1894.91</v>
      </c>
      <c r="Q441" t="s">
        <v>73</v>
      </c>
      <c r="R441" t="s">
        <v>41</v>
      </c>
      <c r="S441">
        <v>2</v>
      </c>
      <c r="T441">
        <v>1</v>
      </c>
      <c r="U441" t="s">
        <v>32</v>
      </c>
      <c r="V441" t="s">
        <v>33</v>
      </c>
      <c r="W441">
        <v>5</v>
      </c>
    </row>
    <row r="442" spans="1:23" x14ac:dyDescent="0.25">
      <c r="A442" t="s">
        <v>836</v>
      </c>
      <c r="B442" s="1">
        <v>45733</v>
      </c>
      <c r="C442" t="s">
        <v>179</v>
      </c>
      <c r="D442" t="s">
        <v>124</v>
      </c>
      <c r="E442" t="s">
        <v>36</v>
      </c>
      <c r="F442" t="s">
        <v>53</v>
      </c>
      <c r="G442" t="s">
        <v>82</v>
      </c>
      <c r="H442">
        <v>1</v>
      </c>
      <c r="I442">
        <v>56844</v>
      </c>
      <c r="J442">
        <v>0</v>
      </c>
      <c r="K442">
        <v>0</v>
      </c>
      <c r="L442">
        <v>56844</v>
      </c>
      <c r="M442">
        <v>37331.410000000003</v>
      </c>
      <c r="N442">
        <v>19512.59</v>
      </c>
      <c r="O442" t="s">
        <v>60</v>
      </c>
      <c r="P442">
        <v>532.80999999999995</v>
      </c>
      <c r="Q442" t="s">
        <v>73</v>
      </c>
      <c r="R442" t="s">
        <v>41</v>
      </c>
      <c r="S442">
        <v>2</v>
      </c>
      <c r="T442">
        <v>2</v>
      </c>
      <c r="U442" t="s">
        <v>32</v>
      </c>
      <c r="V442" t="s">
        <v>42</v>
      </c>
    </row>
    <row r="443" spans="1:23" x14ac:dyDescent="0.25">
      <c r="A443" t="s">
        <v>837</v>
      </c>
      <c r="B443" s="1">
        <v>45878</v>
      </c>
      <c r="C443" t="s">
        <v>339</v>
      </c>
      <c r="D443" t="s">
        <v>154</v>
      </c>
      <c r="E443" t="s">
        <v>46</v>
      </c>
      <c r="F443" t="s">
        <v>47</v>
      </c>
      <c r="G443" t="s">
        <v>105</v>
      </c>
      <c r="H443">
        <v>2</v>
      </c>
      <c r="I443">
        <v>53069</v>
      </c>
      <c r="J443">
        <v>10</v>
      </c>
      <c r="K443">
        <v>10613.8</v>
      </c>
      <c r="L443">
        <v>95524.2</v>
      </c>
      <c r="M443">
        <v>65495.41</v>
      </c>
      <c r="N443">
        <v>30028.79</v>
      </c>
      <c r="O443" t="s">
        <v>29</v>
      </c>
      <c r="P443">
        <v>1825</v>
      </c>
      <c r="Q443" t="s">
        <v>30</v>
      </c>
      <c r="R443" t="s">
        <v>31</v>
      </c>
      <c r="S443">
        <v>5</v>
      </c>
      <c r="T443">
        <v>2</v>
      </c>
      <c r="U443" t="s">
        <v>32</v>
      </c>
      <c r="V443" t="s">
        <v>50</v>
      </c>
      <c r="W443">
        <v>5</v>
      </c>
    </row>
    <row r="444" spans="1:23" x14ac:dyDescent="0.25">
      <c r="A444" t="s">
        <v>838</v>
      </c>
      <c r="B444" s="1">
        <v>45723</v>
      </c>
      <c r="C444" t="s">
        <v>272</v>
      </c>
      <c r="D444" t="s">
        <v>71</v>
      </c>
      <c r="E444" t="s">
        <v>36</v>
      </c>
      <c r="F444" t="s">
        <v>47</v>
      </c>
      <c r="G444" t="s">
        <v>105</v>
      </c>
      <c r="H444">
        <v>1</v>
      </c>
      <c r="I444">
        <v>53973</v>
      </c>
      <c r="J444">
        <v>0</v>
      </c>
      <c r="K444">
        <v>0</v>
      </c>
      <c r="L444">
        <v>53973</v>
      </c>
      <c r="M444">
        <v>43138.06</v>
      </c>
      <c r="N444">
        <v>10834.94</v>
      </c>
      <c r="O444" t="s">
        <v>55</v>
      </c>
      <c r="P444">
        <v>1101.1600000000001</v>
      </c>
      <c r="Q444" t="s">
        <v>68</v>
      </c>
      <c r="R444" t="s">
        <v>41</v>
      </c>
      <c r="S444">
        <v>2</v>
      </c>
      <c r="T444">
        <v>1</v>
      </c>
      <c r="U444" t="s">
        <v>32</v>
      </c>
      <c r="V444" t="s">
        <v>33</v>
      </c>
      <c r="W444">
        <v>5</v>
      </c>
    </row>
    <row r="445" spans="1:23" x14ac:dyDescent="0.25">
      <c r="A445" t="s">
        <v>839</v>
      </c>
      <c r="B445" s="1">
        <v>45679</v>
      </c>
      <c r="C445" t="s">
        <v>840</v>
      </c>
      <c r="D445" t="s">
        <v>25</v>
      </c>
      <c r="E445" t="s">
        <v>26</v>
      </c>
      <c r="F445" t="s">
        <v>53</v>
      </c>
      <c r="G445" t="s">
        <v>82</v>
      </c>
      <c r="H445">
        <v>4</v>
      </c>
      <c r="I445">
        <v>108315</v>
      </c>
      <c r="J445">
        <v>10</v>
      </c>
      <c r="K445">
        <v>43326</v>
      </c>
      <c r="L445">
        <v>389934</v>
      </c>
      <c r="M445">
        <v>244191.61</v>
      </c>
      <c r="N445">
        <v>145742.39000000001</v>
      </c>
      <c r="O445" t="s">
        <v>60</v>
      </c>
      <c r="P445">
        <v>501.07</v>
      </c>
      <c r="Q445" t="s">
        <v>40</v>
      </c>
      <c r="R445" t="s">
        <v>41</v>
      </c>
      <c r="S445">
        <v>2</v>
      </c>
      <c r="T445">
        <v>1</v>
      </c>
      <c r="U445" t="s">
        <v>32</v>
      </c>
      <c r="V445" t="s">
        <v>33</v>
      </c>
      <c r="W445">
        <v>1</v>
      </c>
    </row>
    <row r="446" spans="1:23" x14ac:dyDescent="0.25">
      <c r="A446" t="s">
        <v>841</v>
      </c>
      <c r="B446" s="1">
        <v>45815</v>
      </c>
      <c r="C446" t="s">
        <v>78</v>
      </c>
      <c r="D446" t="s">
        <v>154</v>
      </c>
      <c r="E446" t="s">
        <v>46</v>
      </c>
      <c r="F446" t="s">
        <v>53</v>
      </c>
      <c r="G446" t="s">
        <v>59</v>
      </c>
      <c r="H446">
        <v>2</v>
      </c>
      <c r="I446">
        <v>47152</v>
      </c>
      <c r="J446">
        <v>0</v>
      </c>
      <c r="K446">
        <v>0</v>
      </c>
      <c r="L446">
        <v>94304</v>
      </c>
      <c r="M446">
        <v>61090.22</v>
      </c>
      <c r="N446">
        <v>33213.78</v>
      </c>
      <c r="O446" t="s">
        <v>29</v>
      </c>
      <c r="P446">
        <v>2006.65</v>
      </c>
      <c r="Q446" t="s">
        <v>68</v>
      </c>
      <c r="R446" t="s">
        <v>31</v>
      </c>
      <c r="S446">
        <v>5</v>
      </c>
      <c r="T446">
        <v>5</v>
      </c>
      <c r="U446" t="s">
        <v>32</v>
      </c>
      <c r="V446" t="s">
        <v>42</v>
      </c>
    </row>
    <row r="447" spans="1:23" x14ac:dyDescent="0.25">
      <c r="A447" t="s">
        <v>842</v>
      </c>
      <c r="B447" s="1">
        <v>45844</v>
      </c>
      <c r="C447" t="s">
        <v>335</v>
      </c>
      <c r="D447" t="s">
        <v>90</v>
      </c>
      <c r="E447" t="s">
        <v>46</v>
      </c>
      <c r="F447" t="s">
        <v>27</v>
      </c>
      <c r="G447" t="s">
        <v>113</v>
      </c>
      <c r="H447">
        <v>1</v>
      </c>
      <c r="I447">
        <v>24802</v>
      </c>
      <c r="J447">
        <v>15</v>
      </c>
      <c r="K447">
        <v>3720.3</v>
      </c>
      <c r="L447">
        <v>21081.7</v>
      </c>
      <c r="M447">
        <v>17114.68</v>
      </c>
      <c r="N447">
        <v>3967.02</v>
      </c>
      <c r="O447" t="s">
        <v>55</v>
      </c>
      <c r="P447">
        <v>473.25</v>
      </c>
      <c r="Q447" t="s">
        <v>30</v>
      </c>
      <c r="R447" t="s">
        <v>41</v>
      </c>
      <c r="S447">
        <v>2</v>
      </c>
      <c r="T447">
        <v>1</v>
      </c>
      <c r="U447" t="s">
        <v>32</v>
      </c>
      <c r="V447" t="s">
        <v>50</v>
      </c>
      <c r="W447">
        <v>1</v>
      </c>
    </row>
    <row r="448" spans="1:23" x14ac:dyDescent="0.25">
      <c r="A448" t="s">
        <v>843</v>
      </c>
      <c r="B448" s="1">
        <v>45678</v>
      </c>
      <c r="C448" t="s">
        <v>253</v>
      </c>
      <c r="D448" t="s">
        <v>71</v>
      </c>
      <c r="E448" t="s">
        <v>36</v>
      </c>
      <c r="F448" t="s">
        <v>27</v>
      </c>
      <c r="G448" t="s">
        <v>72</v>
      </c>
      <c r="H448">
        <v>2</v>
      </c>
      <c r="I448">
        <v>12518</v>
      </c>
      <c r="J448">
        <v>10</v>
      </c>
      <c r="K448">
        <v>2503.6</v>
      </c>
      <c r="L448">
        <v>22532.400000000001</v>
      </c>
      <c r="M448">
        <v>12463.41</v>
      </c>
      <c r="N448">
        <v>10068.99</v>
      </c>
      <c r="O448" t="s">
        <v>49</v>
      </c>
      <c r="P448">
        <v>270.14999999999998</v>
      </c>
      <c r="Q448" t="s">
        <v>40</v>
      </c>
      <c r="R448" t="s">
        <v>31</v>
      </c>
      <c r="S448">
        <v>5</v>
      </c>
      <c r="T448">
        <v>5</v>
      </c>
      <c r="U448" t="s">
        <v>32</v>
      </c>
      <c r="V448" t="s">
        <v>33</v>
      </c>
      <c r="W448">
        <v>1</v>
      </c>
    </row>
    <row r="449" spans="1:23" x14ac:dyDescent="0.25">
      <c r="A449" t="s">
        <v>844</v>
      </c>
      <c r="B449" s="1">
        <v>45841</v>
      </c>
      <c r="C449" t="s">
        <v>109</v>
      </c>
      <c r="D449" t="s">
        <v>45</v>
      </c>
      <c r="E449" t="s">
        <v>46</v>
      </c>
      <c r="F449" t="s">
        <v>47</v>
      </c>
      <c r="G449" t="s">
        <v>138</v>
      </c>
      <c r="H449">
        <v>2</v>
      </c>
      <c r="I449">
        <v>45854</v>
      </c>
      <c r="J449">
        <v>15</v>
      </c>
      <c r="K449">
        <v>13756.2</v>
      </c>
      <c r="L449">
        <v>77951.8</v>
      </c>
      <c r="M449">
        <v>49153.14</v>
      </c>
      <c r="N449">
        <v>28798.66</v>
      </c>
      <c r="O449" t="s">
        <v>60</v>
      </c>
      <c r="P449">
        <v>346.05</v>
      </c>
      <c r="Q449" t="s">
        <v>40</v>
      </c>
      <c r="R449" t="s">
        <v>31</v>
      </c>
      <c r="S449">
        <v>5</v>
      </c>
      <c r="T449">
        <v>3</v>
      </c>
      <c r="U449" t="s">
        <v>32</v>
      </c>
      <c r="V449" t="s">
        <v>33</v>
      </c>
      <c r="W449">
        <v>3</v>
      </c>
    </row>
    <row r="450" spans="1:23" x14ac:dyDescent="0.25">
      <c r="A450" t="s">
        <v>845</v>
      </c>
      <c r="B450" s="1">
        <v>45765</v>
      </c>
      <c r="C450" t="s">
        <v>812</v>
      </c>
      <c r="D450" t="s">
        <v>71</v>
      </c>
      <c r="E450" t="s">
        <v>36</v>
      </c>
      <c r="F450" t="s">
        <v>47</v>
      </c>
      <c r="G450" t="s">
        <v>105</v>
      </c>
      <c r="H450">
        <v>2</v>
      </c>
      <c r="I450">
        <v>39018</v>
      </c>
      <c r="J450">
        <v>0</v>
      </c>
      <c r="K450">
        <v>0</v>
      </c>
      <c r="L450">
        <v>78036</v>
      </c>
      <c r="M450">
        <v>58796.01</v>
      </c>
      <c r="N450">
        <v>19239.990000000002</v>
      </c>
      <c r="O450" t="s">
        <v>29</v>
      </c>
      <c r="P450">
        <v>2182.61</v>
      </c>
      <c r="Q450" t="s">
        <v>68</v>
      </c>
      <c r="R450" t="s">
        <v>31</v>
      </c>
      <c r="S450">
        <v>5</v>
      </c>
      <c r="T450">
        <v>3</v>
      </c>
      <c r="U450" t="s">
        <v>32</v>
      </c>
      <c r="V450" t="s">
        <v>33</v>
      </c>
      <c r="W450">
        <v>2</v>
      </c>
    </row>
    <row r="451" spans="1:23" x14ac:dyDescent="0.25">
      <c r="A451" t="s">
        <v>846</v>
      </c>
      <c r="B451" s="1">
        <v>46007</v>
      </c>
      <c r="C451" t="s">
        <v>297</v>
      </c>
      <c r="D451" t="s">
        <v>25</v>
      </c>
      <c r="E451" t="s">
        <v>46</v>
      </c>
      <c r="F451" t="s">
        <v>53</v>
      </c>
      <c r="G451" t="s">
        <v>82</v>
      </c>
      <c r="H451">
        <v>2</v>
      </c>
      <c r="I451">
        <v>94542</v>
      </c>
      <c r="J451">
        <v>0</v>
      </c>
      <c r="K451">
        <v>0</v>
      </c>
      <c r="L451">
        <v>189084</v>
      </c>
      <c r="M451">
        <v>108315.78</v>
      </c>
      <c r="N451">
        <v>80768.22</v>
      </c>
      <c r="O451" t="s">
        <v>55</v>
      </c>
      <c r="P451">
        <v>2422.44</v>
      </c>
      <c r="Q451" t="s">
        <v>68</v>
      </c>
      <c r="R451" t="s">
        <v>41</v>
      </c>
      <c r="S451">
        <v>2</v>
      </c>
      <c r="T451">
        <v>1</v>
      </c>
      <c r="U451" t="s">
        <v>32</v>
      </c>
      <c r="V451" t="s">
        <v>33</v>
      </c>
      <c r="W451">
        <v>3</v>
      </c>
    </row>
    <row r="452" spans="1:23" x14ac:dyDescent="0.25">
      <c r="A452" t="s">
        <v>847</v>
      </c>
      <c r="B452" s="1">
        <v>45785</v>
      </c>
      <c r="C452" t="s">
        <v>156</v>
      </c>
      <c r="D452" t="s">
        <v>63</v>
      </c>
      <c r="E452" t="s">
        <v>36</v>
      </c>
      <c r="F452" t="s">
        <v>27</v>
      </c>
      <c r="G452" t="s">
        <v>164</v>
      </c>
      <c r="H452">
        <v>1</v>
      </c>
      <c r="I452">
        <v>18079</v>
      </c>
      <c r="J452">
        <v>20</v>
      </c>
      <c r="K452">
        <v>3615.8</v>
      </c>
      <c r="L452">
        <v>14463.2</v>
      </c>
      <c r="M452">
        <v>10669.18</v>
      </c>
      <c r="N452">
        <v>3794.02</v>
      </c>
      <c r="O452" t="s">
        <v>55</v>
      </c>
      <c r="P452">
        <v>1437.88</v>
      </c>
      <c r="Q452" t="s">
        <v>68</v>
      </c>
      <c r="R452" t="s">
        <v>41</v>
      </c>
      <c r="S452">
        <v>2</v>
      </c>
      <c r="T452">
        <v>4</v>
      </c>
      <c r="U452" t="s">
        <v>32</v>
      </c>
      <c r="V452" t="s">
        <v>42</v>
      </c>
    </row>
    <row r="453" spans="1:23" x14ac:dyDescent="0.25">
      <c r="A453" t="s">
        <v>848</v>
      </c>
      <c r="B453" s="1">
        <v>45999</v>
      </c>
      <c r="C453" t="s">
        <v>671</v>
      </c>
      <c r="D453" t="s">
        <v>90</v>
      </c>
      <c r="E453" t="s">
        <v>46</v>
      </c>
      <c r="F453" t="s">
        <v>53</v>
      </c>
      <c r="G453" t="s">
        <v>151</v>
      </c>
      <c r="H453">
        <v>3</v>
      </c>
      <c r="I453">
        <v>37208</v>
      </c>
      <c r="J453">
        <v>10</v>
      </c>
      <c r="K453">
        <v>11162.4</v>
      </c>
      <c r="L453">
        <v>100461.6</v>
      </c>
      <c r="M453">
        <v>62778.14</v>
      </c>
      <c r="N453">
        <v>37683.46</v>
      </c>
      <c r="O453" t="s">
        <v>91</v>
      </c>
      <c r="P453">
        <v>786.42</v>
      </c>
      <c r="Q453" t="s">
        <v>30</v>
      </c>
      <c r="R453" t="s">
        <v>41</v>
      </c>
      <c r="S453">
        <v>2</v>
      </c>
      <c r="T453">
        <v>0</v>
      </c>
      <c r="U453" t="s">
        <v>32</v>
      </c>
      <c r="V453" t="s">
        <v>50</v>
      </c>
      <c r="W453">
        <v>5</v>
      </c>
    </row>
    <row r="454" spans="1:23" x14ac:dyDescent="0.25">
      <c r="A454" t="s">
        <v>849</v>
      </c>
      <c r="B454" s="1">
        <v>45710</v>
      </c>
      <c r="C454" t="s">
        <v>792</v>
      </c>
      <c r="D454" t="s">
        <v>79</v>
      </c>
      <c r="E454" t="s">
        <v>26</v>
      </c>
      <c r="F454" t="s">
        <v>47</v>
      </c>
      <c r="G454" t="s">
        <v>105</v>
      </c>
      <c r="H454">
        <v>3</v>
      </c>
      <c r="I454">
        <v>42121</v>
      </c>
      <c r="J454">
        <v>5</v>
      </c>
      <c r="K454">
        <v>6318.15</v>
      </c>
      <c r="L454">
        <v>120044.85</v>
      </c>
      <c r="M454">
        <v>89181.34</v>
      </c>
      <c r="N454">
        <v>30863.51</v>
      </c>
      <c r="O454" t="s">
        <v>39</v>
      </c>
      <c r="P454">
        <v>2089.61</v>
      </c>
      <c r="Q454" t="s">
        <v>73</v>
      </c>
      <c r="R454" t="s">
        <v>31</v>
      </c>
      <c r="S454">
        <v>5</v>
      </c>
      <c r="T454">
        <v>3</v>
      </c>
      <c r="U454" t="s">
        <v>32</v>
      </c>
      <c r="V454" t="s">
        <v>42</v>
      </c>
    </row>
    <row r="455" spans="1:23" x14ac:dyDescent="0.25">
      <c r="A455" t="s">
        <v>850</v>
      </c>
      <c r="B455" s="1">
        <v>45839</v>
      </c>
      <c r="C455" t="s">
        <v>286</v>
      </c>
      <c r="D455" t="s">
        <v>45</v>
      </c>
      <c r="E455" t="s">
        <v>46</v>
      </c>
      <c r="F455" t="s">
        <v>27</v>
      </c>
      <c r="G455" t="s">
        <v>113</v>
      </c>
      <c r="H455">
        <v>1</v>
      </c>
      <c r="I455">
        <v>16829</v>
      </c>
      <c r="J455">
        <v>10</v>
      </c>
      <c r="K455">
        <v>1682.9</v>
      </c>
      <c r="L455">
        <v>15146.1</v>
      </c>
      <c r="M455">
        <v>10948.33</v>
      </c>
      <c r="N455">
        <v>4197.7700000000004</v>
      </c>
      <c r="O455" t="s">
        <v>91</v>
      </c>
      <c r="P455">
        <v>828.48</v>
      </c>
      <c r="Q455" t="s">
        <v>68</v>
      </c>
      <c r="R455" t="s">
        <v>41</v>
      </c>
      <c r="S455">
        <v>2</v>
      </c>
      <c r="T455">
        <v>3</v>
      </c>
      <c r="U455" t="s">
        <v>56</v>
      </c>
      <c r="V455" t="s">
        <v>33</v>
      </c>
      <c r="W455">
        <v>5</v>
      </c>
    </row>
    <row r="456" spans="1:23" x14ac:dyDescent="0.25">
      <c r="A456" t="s">
        <v>851</v>
      </c>
      <c r="B456" s="1">
        <v>45944</v>
      </c>
      <c r="C456" t="s">
        <v>852</v>
      </c>
      <c r="D456" t="s">
        <v>71</v>
      </c>
      <c r="E456" t="s">
        <v>46</v>
      </c>
      <c r="F456" t="s">
        <v>86</v>
      </c>
      <c r="G456" t="s">
        <v>180</v>
      </c>
      <c r="H456">
        <v>1</v>
      </c>
      <c r="I456">
        <v>75006</v>
      </c>
      <c r="J456">
        <v>20</v>
      </c>
      <c r="K456">
        <v>15001.2</v>
      </c>
      <c r="L456">
        <v>60004.800000000003</v>
      </c>
      <c r="M456">
        <v>34550.519999999997</v>
      </c>
      <c r="N456">
        <v>25454.28</v>
      </c>
      <c r="O456" t="s">
        <v>91</v>
      </c>
      <c r="P456">
        <v>823.42</v>
      </c>
      <c r="Q456" t="s">
        <v>83</v>
      </c>
      <c r="R456" t="s">
        <v>41</v>
      </c>
      <c r="S456">
        <v>2</v>
      </c>
      <c r="T456">
        <v>1</v>
      </c>
      <c r="U456" t="s">
        <v>32</v>
      </c>
      <c r="V456" t="s">
        <v>33</v>
      </c>
      <c r="W456">
        <v>5</v>
      </c>
    </row>
    <row r="457" spans="1:23" x14ac:dyDescent="0.25">
      <c r="A457" t="s">
        <v>853</v>
      </c>
      <c r="B457" s="1">
        <v>45866</v>
      </c>
      <c r="C457" t="s">
        <v>854</v>
      </c>
      <c r="D457" t="s">
        <v>71</v>
      </c>
      <c r="E457" t="s">
        <v>46</v>
      </c>
      <c r="F457" t="s">
        <v>53</v>
      </c>
      <c r="G457" t="s">
        <v>268</v>
      </c>
      <c r="H457">
        <v>2</v>
      </c>
      <c r="I457">
        <v>112382</v>
      </c>
      <c r="J457">
        <v>20</v>
      </c>
      <c r="K457">
        <v>44952.800000000003</v>
      </c>
      <c r="L457">
        <v>179811.20000000001</v>
      </c>
      <c r="M457">
        <v>127652.24</v>
      </c>
      <c r="N457">
        <v>52158.96</v>
      </c>
      <c r="O457" t="s">
        <v>91</v>
      </c>
      <c r="P457">
        <v>1381.2</v>
      </c>
      <c r="Q457" t="s">
        <v>68</v>
      </c>
      <c r="R457" t="s">
        <v>31</v>
      </c>
      <c r="S457">
        <v>5</v>
      </c>
      <c r="T457">
        <v>3</v>
      </c>
      <c r="U457" t="s">
        <v>32</v>
      </c>
      <c r="V457" t="s">
        <v>33</v>
      </c>
      <c r="W457">
        <v>5</v>
      </c>
    </row>
    <row r="458" spans="1:23" x14ac:dyDescent="0.25">
      <c r="A458" t="s">
        <v>855</v>
      </c>
      <c r="B458" s="1">
        <v>45975</v>
      </c>
      <c r="C458" t="s">
        <v>511</v>
      </c>
      <c r="D458" t="s">
        <v>45</v>
      </c>
      <c r="E458" t="s">
        <v>46</v>
      </c>
      <c r="F458" t="s">
        <v>47</v>
      </c>
      <c r="G458" t="s">
        <v>146</v>
      </c>
      <c r="H458">
        <v>3</v>
      </c>
      <c r="I458">
        <v>31258</v>
      </c>
      <c r="J458">
        <v>20</v>
      </c>
      <c r="K458">
        <v>18754.8</v>
      </c>
      <c r="L458">
        <v>75019.199999999997</v>
      </c>
      <c r="M458">
        <v>44969.38</v>
      </c>
      <c r="N458">
        <v>30049.82</v>
      </c>
      <c r="P458">
        <v>179.07</v>
      </c>
      <c r="Q458" t="s">
        <v>30</v>
      </c>
      <c r="R458" t="s">
        <v>41</v>
      </c>
      <c r="S458">
        <v>2</v>
      </c>
      <c r="T458">
        <v>1</v>
      </c>
      <c r="U458" t="s">
        <v>32</v>
      </c>
      <c r="V458" t="s">
        <v>33</v>
      </c>
      <c r="W458">
        <v>5</v>
      </c>
    </row>
    <row r="459" spans="1:23" x14ac:dyDescent="0.25">
      <c r="A459" t="s">
        <v>856</v>
      </c>
      <c r="B459" s="1">
        <v>45737</v>
      </c>
      <c r="C459" t="s">
        <v>857</v>
      </c>
      <c r="D459" t="s">
        <v>79</v>
      </c>
      <c r="E459" t="s">
        <v>46</v>
      </c>
      <c r="F459" t="s">
        <v>37</v>
      </c>
      <c r="G459" t="s">
        <v>161</v>
      </c>
      <c r="H459">
        <v>1</v>
      </c>
      <c r="I459">
        <v>19731</v>
      </c>
      <c r="J459">
        <v>0</v>
      </c>
      <c r="K459">
        <v>0</v>
      </c>
      <c r="L459">
        <v>19731</v>
      </c>
      <c r="M459">
        <v>11731.67</v>
      </c>
      <c r="N459">
        <v>7999.33</v>
      </c>
      <c r="O459" t="s">
        <v>39</v>
      </c>
      <c r="P459">
        <v>857.46</v>
      </c>
      <c r="Q459" t="s">
        <v>30</v>
      </c>
      <c r="R459" t="s">
        <v>31</v>
      </c>
      <c r="S459">
        <v>5</v>
      </c>
      <c r="T459">
        <v>2</v>
      </c>
      <c r="U459" t="s">
        <v>32</v>
      </c>
      <c r="V459" t="s">
        <v>33</v>
      </c>
      <c r="W459">
        <v>5</v>
      </c>
    </row>
    <row r="460" spans="1:23" x14ac:dyDescent="0.25">
      <c r="A460" t="s">
        <v>858</v>
      </c>
      <c r="B460" s="1">
        <v>45779</v>
      </c>
      <c r="C460" t="s">
        <v>52</v>
      </c>
      <c r="D460" t="s">
        <v>154</v>
      </c>
      <c r="E460" t="s">
        <v>26</v>
      </c>
      <c r="F460" t="s">
        <v>53</v>
      </c>
      <c r="G460" t="s">
        <v>54</v>
      </c>
      <c r="H460">
        <v>2</v>
      </c>
      <c r="I460">
        <v>97706</v>
      </c>
      <c r="J460">
        <v>5</v>
      </c>
      <c r="K460">
        <v>9770.6</v>
      </c>
      <c r="L460">
        <v>185641.4</v>
      </c>
      <c r="M460">
        <v>147759.29</v>
      </c>
      <c r="N460">
        <v>37882.11</v>
      </c>
      <c r="O460" t="s">
        <v>60</v>
      </c>
      <c r="P460">
        <v>1815.96</v>
      </c>
      <c r="Q460" t="s">
        <v>73</v>
      </c>
      <c r="R460" t="s">
        <v>31</v>
      </c>
      <c r="S460">
        <v>5</v>
      </c>
      <c r="T460">
        <v>5</v>
      </c>
      <c r="U460" t="s">
        <v>32</v>
      </c>
      <c r="V460" t="s">
        <v>50</v>
      </c>
      <c r="W460">
        <v>4</v>
      </c>
    </row>
    <row r="461" spans="1:23" x14ac:dyDescent="0.25">
      <c r="A461" t="s">
        <v>859</v>
      </c>
      <c r="B461" s="1">
        <v>45741</v>
      </c>
      <c r="C461" t="s">
        <v>860</v>
      </c>
      <c r="D461" t="s">
        <v>45</v>
      </c>
      <c r="E461" t="s">
        <v>36</v>
      </c>
      <c r="F461" t="s">
        <v>47</v>
      </c>
      <c r="G461" t="s">
        <v>64</v>
      </c>
      <c r="H461">
        <v>2</v>
      </c>
      <c r="I461">
        <v>41309</v>
      </c>
      <c r="J461">
        <v>10</v>
      </c>
      <c r="K461">
        <v>8261.7999999999993</v>
      </c>
      <c r="L461">
        <v>74356.2</v>
      </c>
      <c r="M461">
        <v>57748.03</v>
      </c>
      <c r="N461">
        <v>16608.169999999998</v>
      </c>
      <c r="O461" t="s">
        <v>60</v>
      </c>
      <c r="P461">
        <v>1172.26</v>
      </c>
      <c r="Q461" t="s">
        <v>30</v>
      </c>
      <c r="R461" t="s">
        <v>41</v>
      </c>
      <c r="S461">
        <v>2</v>
      </c>
      <c r="T461">
        <v>0</v>
      </c>
      <c r="U461" t="s">
        <v>32</v>
      </c>
      <c r="V461" t="s">
        <v>42</v>
      </c>
    </row>
    <row r="462" spans="1:23" x14ac:dyDescent="0.25">
      <c r="A462" t="s">
        <v>861</v>
      </c>
      <c r="B462" s="1">
        <v>45748</v>
      </c>
      <c r="C462" t="s">
        <v>553</v>
      </c>
      <c r="D462" t="s">
        <v>25</v>
      </c>
      <c r="E462" t="s">
        <v>46</v>
      </c>
      <c r="F462" t="s">
        <v>47</v>
      </c>
      <c r="G462" t="s">
        <v>48</v>
      </c>
      <c r="H462">
        <v>1</v>
      </c>
      <c r="I462">
        <v>14724</v>
      </c>
      <c r="J462">
        <v>10</v>
      </c>
      <c r="K462">
        <v>1472.4</v>
      </c>
      <c r="L462">
        <v>13251.6</v>
      </c>
      <c r="M462">
        <v>8235.64</v>
      </c>
      <c r="N462">
        <v>5015.96</v>
      </c>
      <c r="O462" t="s">
        <v>49</v>
      </c>
      <c r="P462">
        <v>465.38</v>
      </c>
      <c r="Q462" t="s">
        <v>40</v>
      </c>
      <c r="R462" t="s">
        <v>41</v>
      </c>
      <c r="S462">
        <v>2</v>
      </c>
      <c r="T462">
        <v>5</v>
      </c>
      <c r="U462" t="s">
        <v>56</v>
      </c>
      <c r="V462" t="s">
        <v>33</v>
      </c>
      <c r="W462">
        <v>2</v>
      </c>
    </row>
    <row r="463" spans="1:23" x14ac:dyDescent="0.25">
      <c r="A463" t="s">
        <v>862</v>
      </c>
      <c r="B463" s="1">
        <v>45869</v>
      </c>
      <c r="C463" t="s">
        <v>462</v>
      </c>
      <c r="D463" t="s">
        <v>90</v>
      </c>
      <c r="E463" t="s">
        <v>46</v>
      </c>
      <c r="F463" t="s">
        <v>53</v>
      </c>
      <c r="G463" t="s">
        <v>54</v>
      </c>
      <c r="H463">
        <v>1</v>
      </c>
      <c r="I463">
        <v>48105</v>
      </c>
      <c r="J463">
        <v>0</v>
      </c>
      <c r="K463">
        <v>0</v>
      </c>
      <c r="L463">
        <v>48105</v>
      </c>
      <c r="M463">
        <v>31679.95</v>
      </c>
      <c r="N463">
        <v>16425.05</v>
      </c>
      <c r="O463" t="s">
        <v>39</v>
      </c>
      <c r="P463">
        <v>1331.71</v>
      </c>
      <c r="Q463" t="s">
        <v>83</v>
      </c>
      <c r="R463" t="s">
        <v>31</v>
      </c>
      <c r="S463">
        <v>5</v>
      </c>
      <c r="T463">
        <v>5</v>
      </c>
      <c r="U463" t="s">
        <v>32</v>
      </c>
      <c r="V463" t="s">
        <v>33</v>
      </c>
      <c r="W463">
        <v>4</v>
      </c>
    </row>
    <row r="464" spans="1:23" x14ac:dyDescent="0.25">
      <c r="A464" t="s">
        <v>863</v>
      </c>
      <c r="B464" s="1">
        <v>45670</v>
      </c>
      <c r="C464" t="s">
        <v>864</v>
      </c>
      <c r="E464" t="s">
        <v>36</v>
      </c>
      <c r="F464" t="s">
        <v>37</v>
      </c>
      <c r="G464" t="s">
        <v>38</v>
      </c>
      <c r="H464">
        <v>1</v>
      </c>
      <c r="I464">
        <v>34847</v>
      </c>
      <c r="J464">
        <v>15</v>
      </c>
      <c r="K464">
        <v>5227.05</v>
      </c>
      <c r="L464">
        <v>29619.95</v>
      </c>
      <c r="M464">
        <v>19284.47</v>
      </c>
      <c r="N464">
        <v>10335.48</v>
      </c>
      <c r="O464" t="s">
        <v>55</v>
      </c>
      <c r="P464">
        <v>1433.78</v>
      </c>
      <c r="Q464" t="s">
        <v>73</v>
      </c>
      <c r="R464" t="s">
        <v>41</v>
      </c>
      <c r="S464">
        <v>2</v>
      </c>
      <c r="T464">
        <v>1</v>
      </c>
      <c r="U464" t="s">
        <v>32</v>
      </c>
      <c r="V464" t="s">
        <v>33</v>
      </c>
      <c r="W464">
        <v>2</v>
      </c>
    </row>
    <row r="465" spans="1:23" x14ac:dyDescent="0.25">
      <c r="A465" t="s">
        <v>865</v>
      </c>
      <c r="B465" s="1">
        <v>45749</v>
      </c>
      <c r="C465" t="s">
        <v>421</v>
      </c>
      <c r="D465" t="s">
        <v>154</v>
      </c>
      <c r="E465" t="s">
        <v>46</v>
      </c>
      <c r="F465" t="s">
        <v>53</v>
      </c>
      <c r="G465" t="s">
        <v>54</v>
      </c>
      <c r="H465">
        <v>1</v>
      </c>
      <c r="I465">
        <v>56085</v>
      </c>
      <c r="J465">
        <v>10</v>
      </c>
      <c r="K465">
        <v>5608.5</v>
      </c>
      <c r="L465">
        <v>50476.5</v>
      </c>
      <c r="M465">
        <v>28310.71</v>
      </c>
      <c r="N465">
        <v>22165.79</v>
      </c>
      <c r="O465" t="s">
        <v>91</v>
      </c>
      <c r="P465">
        <v>961.79</v>
      </c>
      <c r="Q465" t="s">
        <v>83</v>
      </c>
      <c r="R465" t="s">
        <v>41</v>
      </c>
      <c r="S465">
        <v>2</v>
      </c>
      <c r="T465">
        <v>2</v>
      </c>
      <c r="U465" t="s">
        <v>32</v>
      </c>
      <c r="V465" t="s">
        <v>33</v>
      </c>
      <c r="W465">
        <v>5</v>
      </c>
    </row>
    <row r="466" spans="1:23" x14ac:dyDescent="0.25">
      <c r="A466" t="s">
        <v>866</v>
      </c>
      <c r="B466" s="1">
        <v>45828</v>
      </c>
      <c r="C466" t="s">
        <v>406</v>
      </c>
      <c r="D466" t="s">
        <v>63</v>
      </c>
      <c r="E466" t="s">
        <v>46</v>
      </c>
      <c r="F466" t="s">
        <v>47</v>
      </c>
      <c r="G466" t="s">
        <v>146</v>
      </c>
      <c r="H466">
        <v>2</v>
      </c>
      <c r="I466">
        <v>51678</v>
      </c>
      <c r="J466">
        <v>25</v>
      </c>
      <c r="K466">
        <v>25839</v>
      </c>
      <c r="L466">
        <v>77517</v>
      </c>
      <c r="M466">
        <v>57829.120000000003</v>
      </c>
      <c r="N466">
        <v>19687.88</v>
      </c>
      <c r="O466" t="s">
        <v>55</v>
      </c>
      <c r="P466">
        <v>2402.66</v>
      </c>
      <c r="Q466" t="s">
        <v>83</v>
      </c>
      <c r="R466" t="s">
        <v>41</v>
      </c>
      <c r="S466">
        <v>2</v>
      </c>
      <c r="T466">
        <v>1</v>
      </c>
      <c r="U466" t="s">
        <v>32</v>
      </c>
      <c r="V466" t="s">
        <v>50</v>
      </c>
      <c r="W466">
        <v>1</v>
      </c>
    </row>
    <row r="467" spans="1:23" x14ac:dyDescent="0.25">
      <c r="A467" t="s">
        <v>867</v>
      </c>
      <c r="B467" s="1">
        <v>45868</v>
      </c>
      <c r="C467" t="s">
        <v>390</v>
      </c>
      <c r="D467" t="s">
        <v>97</v>
      </c>
      <c r="E467" t="s">
        <v>26</v>
      </c>
      <c r="F467" t="s">
        <v>47</v>
      </c>
      <c r="G467" t="s">
        <v>146</v>
      </c>
      <c r="H467">
        <v>1</v>
      </c>
      <c r="I467">
        <v>29422</v>
      </c>
      <c r="J467">
        <v>15</v>
      </c>
      <c r="K467">
        <v>4413.3</v>
      </c>
      <c r="L467">
        <v>25008.7</v>
      </c>
      <c r="M467">
        <v>16997.22</v>
      </c>
      <c r="N467">
        <v>8011.48</v>
      </c>
      <c r="O467" t="s">
        <v>55</v>
      </c>
      <c r="P467">
        <v>1950.07</v>
      </c>
      <c r="Q467" t="s">
        <v>68</v>
      </c>
      <c r="R467" t="s">
        <v>41</v>
      </c>
      <c r="S467">
        <v>2</v>
      </c>
      <c r="T467">
        <v>1</v>
      </c>
      <c r="U467" t="s">
        <v>32</v>
      </c>
      <c r="V467" t="s">
        <v>33</v>
      </c>
      <c r="W467">
        <v>1</v>
      </c>
    </row>
    <row r="468" spans="1:23" x14ac:dyDescent="0.25">
      <c r="A468" t="s">
        <v>868</v>
      </c>
      <c r="B468" s="1">
        <v>46000</v>
      </c>
      <c r="C468" t="s">
        <v>869</v>
      </c>
      <c r="D468" t="s">
        <v>154</v>
      </c>
      <c r="E468" t="s">
        <v>46</v>
      </c>
      <c r="F468" t="s">
        <v>37</v>
      </c>
      <c r="G468" t="s">
        <v>161</v>
      </c>
      <c r="H468">
        <v>1</v>
      </c>
      <c r="I468">
        <v>32125</v>
      </c>
      <c r="J468">
        <v>5</v>
      </c>
      <c r="K468">
        <v>1606.25</v>
      </c>
      <c r="L468">
        <v>30518.75</v>
      </c>
      <c r="M468">
        <v>20690.22</v>
      </c>
      <c r="N468">
        <v>9828.5300000000007</v>
      </c>
      <c r="O468" t="s">
        <v>91</v>
      </c>
      <c r="P468">
        <v>2482.87</v>
      </c>
      <c r="Q468" t="s">
        <v>40</v>
      </c>
      <c r="R468" t="s">
        <v>31</v>
      </c>
      <c r="S468">
        <v>5</v>
      </c>
      <c r="T468">
        <v>6</v>
      </c>
      <c r="U468" t="s">
        <v>56</v>
      </c>
      <c r="V468" t="s">
        <v>33</v>
      </c>
      <c r="W468">
        <v>2</v>
      </c>
    </row>
    <row r="469" spans="1:23" x14ac:dyDescent="0.25">
      <c r="A469" t="s">
        <v>870</v>
      </c>
      <c r="B469" s="1">
        <v>45785</v>
      </c>
      <c r="C469" t="s">
        <v>737</v>
      </c>
      <c r="D469" t="s">
        <v>154</v>
      </c>
      <c r="E469" t="s">
        <v>46</v>
      </c>
      <c r="F469" t="s">
        <v>47</v>
      </c>
      <c r="G469" t="s">
        <v>146</v>
      </c>
      <c r="H469">
        <v>4</v>
      </c>
      <c r="I469">
        <v>34938</v>
      </c>
      <c r="J469">
        <v>0</v>
      </c>
      <c r="K469">
        <v>0</v>
      </c>
      <c r="L469">
        <v>139752</v>
      </c>
      <c r="M469">
        <v>109478.16</v>
      </c>
      <c r="N469">
        <v>30273.84</v>
      </c>
      <c r="O469" t="s">
        <v>60</v>
      </c>
      <c r="P469">
        <v>904.83</v>
      </c>
      <c r="Q469" t="s">
        <v>68</v>
      </c>
      <c r="R469" t="s">
        <v>41</v>
      </c>
      <c r="S469">
        <v>2</v>
      </c>
      <c r="T469">
        <v>3</v>
      </c>
      <c r="U469" t="s">
        <v>56</v>
      </c>
      <c r="V469" t="s">
        <v>33</v>
      </c>
      <c r="W469">
        <v>5</v>
      </c>
    </row>
    <row r="470" spans="1:23" x14ac:dyDescent="0.25">
      <c r="A470" t="s">
        <v>871</v>
      </c>
      <c r="B470" s="1">
        <v>45794</v>
      </c>
      <c r="C470" t="s">
        <v>282</v>
      </c>
      <c r="D470" t="s">
        <v>67</v>
      </c>
      <c r="E470" t="s">
        <v>26</v>
      </c>
      <c r="F470" t="s">
        <v>47</v>
      </c>
      <c r="G470" t="s">
        <v>48</v>
      </c>
      <c r="H470">
        <v>2</v>
      </c>
      <c r="I470">
        <v>14212</v>
      </c>
      <c r="J470">
        <v>10</v>
      </c>
      <c r="K470">
        <v>2842.4</v>
      </c>
      <c r="L470">
        <v>25581.599999999999</v>
      </c>
      <c r="M470">
        <v>18984.82</v>
      </c>
      <c r="N470">
        <v>6596.78</v>
      </c>
      <c r="O470" t="s">
        <v>55</v>
      </c>
      <c r="P470">
        <v>618.03</v>
      </c>
      <c r="Q470" t="s">
        <v>83</v>
      </c>
      <c r="R470" t="s">
        <v>41</v>
      </c>
      <c r="S470">
        <v>2</v>
      </c>
      <c r="T470">
        <v>1</v>
      </c>
      <c r="U470" t="s">
        <v>32</v>
      </c>
      <c r="V470" t="s">
        <v>33</v>
      </c>
      <c r="W470">
        <v>1</v>
      </c>
    </row>
    <row r="471" spans="1:23" x14ac:dyDescent="0.25">
      <c r="A471" t="s">
        <v>872</v>
      </c>
      <c r="B471" s="1">
        <v>45739</v>
      </c>
      <c r="C471" t="s">
        <v>691</v>
      </c>
      <c r="D471" t="s">
        <v>63</v>
      </c>
      <c r="E471" t="s">
        <v>46</v>
      </c>
      <c r="F471" t="s">
        <v>53</v>
      </c>
      <c r="G471" t="s">
        <v>59</v>
      </c>
      <c r="H471">
        <v>2</v>
      </c>
      <c r="I471">
        <v>65479</v>
      </c>
      <c r="J471">
        <v>10</v>
      </c>
      <c r="K471">
        <v>13095.8</v>
      </c>
      <c r="L471">
        <v>117862.2</v>
      </c>
      <c r="M471">
        <v>74509.69</v>
      </c>
      <c r="N471">
        <v>43352.51</v>
      </c>
      <c r="O471" t="s">
        <v>60</v>
      </c>
      <c r="P471">
        <v>1469.07</v>
      </c>
      <c r="Q471" t="s">
        <v>68</v>
      </c>
      <c r="R471" t="s">
        <v>31</v>
      </c>
      <c r="S471">
        <v>5</v>
      </c>
      <c r="T471">
        <v>3</v>
      </c>
      <c r="U471" t="s">
        <v>32</v>
      </c>
      <c r="V471" t="s">
        <v>33</v>
      </c>
      <c r="W471">
        <v>5</v>
      </c>
    </row>
    <row r="472" spans="1:23" x14ac:dyDescent="0.25">
      <c r="A472" t="s">
        <v>873</v>
      </c>
      <c r="B472" s="1">
        <v>46017</v>
      </c>
      <c r="C472" t="s">
        <v>434</v>
      </c>
      <c r="D472" t="s">
        <v>45</v>
      </c>
      <c r="E472" t="s">
        <v>26</v>
      </c>
      <c r="F472" t="s">
        <v>86</v>
      </c>
      <c r="G472" t="s">
        <v>94</v>
      </c>
      <c r="H472">
        <v>1</v>
      </c>
      <c r="I472">
        <v>82588</v>
      </c>
      <c r="J472">
        <v>0</v>
      </c>
      <c r="K472">
        <v>0</v>
      </c>
      <c r="L472">
        <v>82588</v>
      </c>
      <c r="M472">
        <v>48333.06</v>
      </c>
      <c r="N472">
        <v>34254.94</v>
      </c>
      <c r="O472" t="s">
        <v>29</v>
      </c>
      <c r="P472">
        <v>2427.16</v>
      </c>
      <c r="Q472" t="s">
        <v>68</v>
      </c>
      <c r="R472" t="s">
        <v>31</v>
      </c>
      <c r="S472">
        <v>5</v>
      </c>
      <c r="T472">
        <v>0</v>
      </c>
      <c r="U472" t="s">
        <v>32</v>
      </c>
      <c r="V472" t="s">
        <v>50</v>
      </c>
      <c r="W472">
        <v>5</v>
      </c>
    </row>
    <row r="473" spans="1:23" x14ac:dyDescent="0.25">
      <c r="A473" t="s">
        <v>874</v>
      </c>
      <c r="B473" s="1">
        <v>45713</v>
      </c>
      <c r="C473" t="s">
        <v>875</v>
      </c>
      <c r="D473" t="s">
        <v>79</v>
      </c>
      <c r="E473" t="s">
        <v>26</v>
      </c>
      <c r="F473" t="s">
        <v>47</v>
      </c>
      <c r="G473" t="s">
        <v>105</v>
      </c>
      <c r="H473">
        <v>1</v>
      </c>
      <c r="I473">
        <v>20238</v>
      </c>
      <c r="J473">
        <v>0</v>
      </c>
      <c r="K473">
        <v>0</v>
      </c>
      <c r="L473">
        <v>20238</v>
      </c>
      <c r="M473">
        <v>11829.41</v>
      </c>
      <c r="N473">
        <v>8408.59</v>
      </c>
      <c r="O473" t="s">
        <v>29</v>
      </c>
      <c r="P473">
        <v>2162.91</v>
      </c>
      <c r="Q473" t="s">
        <v>40</v>
      </c>
      <c r="R473" t="s">
        <v>41</v>
      </c>
      <c r="S473">
        <v>2</v>
      </c>
      <c r="T473">
        <v>1</v>
      </c>
      <c r="U473" t="s">
        <v>32</v>
      </c>
      <c r="V473" t="s">
        <v>33</v>
      </c>
      <c r="W473">
        <v>5</v>
      </c>
    </row>
    <row r="474" spans="1:23" x14ac:dyDescent="0.25">
      <c r="A474" t="s">
        <v>876</v>
      </c>
      <c r="B474" s="1">
        <v>45853</v>
      </c>
      <c r="C474" t="s">
        <v>168</v>
      </c>
      <c r="D474" t="s">
        <v>79</v>
      </c>
      <c r="E474" t="s">
        <v>46</v>
      </c>
      <c r="F474" t="s">
        <v>86</v>
      </c>
      <c r="G474" t="s">
        <v>94</v>
      </c>
      <c r="H474">
        <v>1</v>
      </c>
      <c r="I474">
        <v>27880</v>
      </c>
      <c r="J474">
        <v>0</v>
      </c>
      <c r="K474">
        <v>0</v>
      </c>
      <c r="L474">
        <v>27880</v>
      </c>
      <c r="M474">
        <v>17514.419999999998</v>
      </c>
      <c r="N474">
        <v>10365.58</v>
      </c>
      <c r="O474" t="s">
        <v>60</v>
      </c>
      <c r="P474">
        <v>2436.69</v>
      </c>
      <c r="Q474" t="s">
        <v>68</v>
      </c>
      <c r="R474" t="s">
        <v>31</v>
      </c>
      <c r="S474">
        <v>5</v>
      </c>
      <c r="T474">
        <v>6</v>
      </c>
      <c r="U474" t="s">
        <v>32</v>
      </c>
      <c r="V474" t="s">
        <v>42</v>
      </c>
    </row>
    <row r="475" spans="1:23" x14ac:dyDescent="0.25">
      <c r="A475" t="s">
        <v>877</v>
      </c>
      <c r="B475" s="1">
        <v>45677</v>
      </c>
      <c r="C475" t="s">
        <v>878</v>
      </c>
      <c r="D475" t="s">
        <v>97</v>
      </c>
      <c r="E475" t="s">
        <v>46</v>
      </c>
      <c r="F475" t="s">
        <v>27</v>
      </c>
      <c r="G475" t="s">
        <v>113</v>
      </c>
      <c r="H475">
        <v>2</v>
      </c>
      <c r="I475">
        <v>16635</v>
      </c>
      <c r="J475">
        <v>5</v>
      </c>
      <c r="K475">
        <v>1663.5</v>
      </c>
      <c r="L475">
        <v>31606.5</v>
      </c>
      <c r="M475">
        <v>18954.349999999999</v>
      </c>
      <c r="N475">
        <v>12652.15</v>
      </c>
      <c r="O475" t="s">
        <v>55</v>
      </c>
      <c r="P475">
        <v>1802.46</v>
      </c>
      <c r="Q475" t="s">
        <v>40</v>
      </c>
      <c r="R475" t="s">
        <v>31</v>
      </c>
      <c r="S475">
        <v>5</v>
      </c>
      <c r="T475">
        <v>7</v>
      </c>
      <c r="U475" t="s">
        <v>56</v>
      </c>
      <c r="V475" t="s">
        <v>33</v>
      </c>
      <c r="W475">
        <v>5</v>
      </c>
    </row>
    <row r="476" spans="1:23" x14ac:dyDescent="0.25">
      <c r="A476" t="s">
        <v>879</v>
      </c>
      <c r="B476" s="1">
        <v>45898</v>
      </c>
      <c r="C476" t="s">
        <v>880</v>
      </c>
      <c r="D476" t="s">
        <v>63</v>
      </c>
      <c r="E476" t="s">
        <v>36</v>
      </c>
      <c r="F476" t="s">
        <v>27</v>
      </c>
      <c r="G476" t="s">
        <v>28</v>
      </c>
      <c r="H476">
        <v>1</v>
      </c>
      <c r="I476">
        <v>9106</v>
      </c>
      <c r="J476">
        <v>0</v>
      </c>
      <c r="K476">
        <v>0</v>
      </c>
      <c r="L476">
        <v>9106</v>
      </c>
      <c r="M476">
        <v>6320.14</v>
      </c>
      <c r="N476">
        <v>2785.86</v>
      </c>
      <c r="O476" t="s">
        <v>39</v>
      </c>
      <c r="P476">
        <v>540.72</v>
      </c>
      <c r="Q476" t="s">
        <v>73</v>
      </c>
      <c r="R476" t="s">
        <v>31</v>
      </c>
      <c r="S476">
        <v>5</v>
      </c>
      <c r="T476">
        <v>8</v>
      </c>
      <c r="U476" t="s">
        <v>56</v>
      </c>
      <c r="V476" t="s">
        <v>33</v>
      </c>
      <c r="W476">
        <v>5</v>
      </c>
    </row>
    <row r="477" spans="1:23" x14ac:dyDescent="0.25">
      <c r="A477" t="s">
        <v>881</v>
      </c>
      <c r="B477" s="1">
        <v>45771</v>
      </c>
      <c r="C477" t="s">
        <v>882</v>
      </c>
      <c r="D477" t="s">
        <v>124</v>
      </c>
      <c r="E477" t="s">
        <v>26</v>
      </c>
      <c r="F477" t="s">
        <v>47</v>
      </c>
      <c r="G477" t="s">
        <v>48</v>
      </c>
      <c r="H477">
        <v>1</v>
      </c>
      <c r="I477">
        <v>48463</v>
      </c>
      <c r="J477">
        <v>25</v>
      </c>
      <c r="K477">
        <v>12115.75</v>
      </c>
      <c r="L477">
        <v>36347.25</v>
      </c>
      <c r="M477">
        <v>22582.19</v>
      </c>
      <c r="N477">
        <v>13765.06</v>
      </c>
      <c r="O477" t="s">
        <v>91</v>
      </c>
      <c r="P477">
        <v>878.26</v>
      </c>
      <c r="Q477" t="s">
        <v>83</v>
      </c>
      <c r="R477" t="s">
        <v>41</v>
      </c>
      <c r="S477">
        <v>2</v>
      </c>
      <c r="T477">
        <v>1</v>
      </c>
      <c r="U477" t="s">
        <v>32</v>
      </c>
      <c r="V477" t="s">
        <v>33</v>
      </c>
      <c r="W477">
        <v>5</v>
      </c>
    </row>
    <row r="478" spans="1:23" x14ac:dyDescent="0.25">
      <c r="A478" t="s">
        <v>883</v>
      </c>
      <c r="B478" s="1">
        <v>45760</v>
      </c>
      <c r="C478" t="s">
        <v>884</v>
      </c>
      <c r="D478" t="s">
        <v>63</v>
      </c>
      <c r="E478" t="s">
        <v>46</v>
      </c>
      <c r="F478" t="s">
        <v>53</v>
      </c>
      <c r="G478" t="s">
        <v>59</v>
      </c>
      <c r="H478">
        <v>1</v>
      </c>
      <c r="I478">
        <v>95155</v>
      </c>
      <c r="J478">
        <v>10</v>
      </c>
      <c r="K478">
        <v>9515.5</v>
      </c>
      <c r="L478">
        <v>85639.5</v>
      </c>
      <c r="M478">
        <v>67219.039999999994</v>
      </c>
      <c r="N478">
        <v>18420.46</v>
      </c>
      <c r="O478" t="s">
        <v>91</v>
      </c>
      <c r="P478">
        <v>707.47</v>
      </c>
      <c r="Q478" t="s">
        <v>73</v>
      </c>
      <c r="R478" t="s">
        <v>31</v>
      </c>
      <c r="S478">
        <v>5</v>
      </c>
      <c r="T478">
        <v>6</v>
      </c>
      <c r="U478" t="s">
        <v>32</v>
      </c>
      <c r="V478" t="s">
        <v>50</v>
      </c>
      <c r="W478">
        <v>4</v>
      </c>
    </row>
    <row r="479" spans="1:23" x14ac:dyDescent="0.25">
      <c r="A479" t="s">
        <v>885</v>
      </c>
      <c r="B479" s="1">
        <v>45893</v>
      </c>
      <c r="C479" t="s">
        <v>702</v>
      </c>
      <c r="D479" t="s">
        <v>154</v>
      </c>
      <c r="E479" t="s">
        <v>46</v>
      </c>
      <c r="F479" t="s">
        <v>47</v>
      </c>
      <c r="G479" t="s">
        <v>64</v>
      </c>
      <c r="H479">
        <v>2</v>
      </c>
      <c r="I479">
        <v>16721</v>
      </c>
      <c r="J479">
        <v>0</v>
      </c>
      <c r="K479">
        <v>0</v>
      </c>
      <c r="L479">
        <v>33442</v>
      </c>
      <c r="M479">
        <v>22541.09</v>
      </c>
      <c r="N479">
        <v>10900.91</v>
      </c>
      <c r="O479" t="s">
        <v>60</v>
      </c>
      <c r="P479">
        <v>1328.19</v>
      </c>
      <c r="Q479" t="s">
        <v>68</v>
      </c>
      <c r="R479" t="s">
        <v>31</v>
      </c>
      <c r="S479">
        <v>5</v>
      </c>
      <c r="T479">
        <v>5</v>
      </c>
      <c r="U479" t="s">
        <v>32</v>
      </c>
      <c r="V479" t="s">
        <v>33</v>
      </c>
      <c r="W479">
        <v>5</v>
      </c>
    </row>
    <row r="480" spans="1:23" x14ac:dyDescent="0.25">
      <c r="A480" t="s">
        <v>886</v>
      </c>
      <c r="B480" s="1">
        <v>45837</v>
      </c>
      <c r="C480" t="s">
        <v>887</v>
      </c>
      <c r="D480" t="s">
        <v>154</v>
      </c>
      <c r="E480" t="s">
        <v>36</v>
      </c>
      <c r="F480" t="s">
        <v>86</v>
      </c>
      <c r="G480" t="s">
        <v>180</v>
      </c>
      <c r="H480">
        <v>2</v>
      </c>
      <c r="I480">
        <v>24811</v>
      </c>
      <c r="J480">
        <v>5</v>
      </c>
      <c r="K480">
        <v>2481.1</v>
      </c>
      <c r="L480">
        <v>47140.9</v>
      </c>
      <c r="M480">
        <v>31719.06</v>
      </c>
      <c r="N480">
        <v>15421.84</v>
      </c>
      <c r="O480" t="s">
        <v>91</v>
      </c>
      <c r="P480">
        <v>1411.59</v>
      </c>
      <c r="Q480" t="s">
        <v>83</v>
      </c>
      <c r="R480" t="s">
        <v>41</v>
      </c>
      <c r="S480">
        <v>2</v>
      </c>
      <c r="T480">
        <v>0</v>
      </c>
      <c r="U480" t="s">
        <v>32</v>
      </c>
      <c r="V480" t="s">
        <v>50</v>
      </c>
      <c r="W480">
        <v>5</v>
      </c>
    </row>
    <row r="481" spans="1:23" x14ac:dyDescent="0.25">
      <c r="A481" t="s">
        <v>888</v>
      </c>
      <c r="B481" s="1">
        <v>45814</v>
      </c>
      <c r="C481" t="s">
        <v>427</v>
      </c>
      <c r="D481" t="s">
        <v>71</v>
      </c>
      <c r="E481" t="s">
        <v>46</v>
      </c>
      <c r="F481" t="s">
        <v>37</v>
      </c>
      <c r="G481" t="s">
        <v>224</v>
      </c>
      <c r="H481">
        <v>1</v>
      </c>
      <c r="I481">
        <v>20275</v>
      </c>
      <c r="J481">
        <v>0</v>
      </c>
      <c r="K481">
        <v>0</v>
      </c>
      <c r="L481">
        <v>20275</v>
      </c>
      <c r="M481">
        <v>12616.47</v>
      </c>
      <c r="N481">
        <v>7658.53</v>
      </c>
      <c r="O481" t="s">
        <v>55</v>
      </c>
      <c r="P481">
        <v>2402.52</v>
      </c>
      <c r="Q481" t="s">
        <v>83</v>
      </c>
      <c r="R481" t="s">
        <v>31</v>
      </c>
      <c r="S481">
        <v>5</v>
      </c>
      <c r="T481">
        <v>6</v>
      </c>
      <c r="U481" t="s">
        <v>32</v>
      </c>
      <c r="V481" t="s">
        <v>50</v>
      </c>
      <c r="W481">
        <v>1</v>
      </c>
    </row>
    <row r="482" spans="1:23" x14ac:dyDescent="0.25">
      <c r="A482" t="s">
        <v>889</v>
      </c>
      <c r="B482" s="1">
        <v>45774</v>
      </c>
      <c r="C482" t="s">
        <v>758</v>
      </c>
      <c r="D482" t="s">
        <v>124</v>
      </c>
      <c r="E482" t="s">
        <v>26</v>
      </c>
      <c r="F482" t="s">
        <v>37</v>
      </c>
      <c r="G482" t="s">
        <v>313</v>
      </c>
      <c r="H482">
        <v>2</v>
      </c>
      <c r="I482">
        <v>35385</v>
      </c>
      <c r="J482">
        <v>0</v>
      </c>
      <c r="K482">
        <v>0</v>
      </c>
      <c r="L482">
        <v>70770</v>
      </c>
      <c r="M482">
        <v>43582.18</v>
      </c>
      <c r="N482">
        <v>27187.82</v>
      </c>
      <c r="O482" t="s">
        <v>91</v>
      </c>
      <c r="P482">
        <v>1450.31</v>
      </c>
      <c r="Q482" t="s">
        <v>83</v>
      </c>
      <c r="R482" t="s">
        <v>41</v>
      </c>
      <c r="S482">
        <v>2</v>
      </c>
      <c r="T482">
        <v>5</v>
      </c>
      <c r="U482" t="s">
        <v>32</v>
      </c>
      <c r="V482" t="s">
        <v>42</v>
      </c>
    </row>
    <row r="483" spans="1:23" x14ac:dyDescent="0.25">
      <c r="A483" t="s">
        <v>890</v>
      </c>
      <c r="B483" s="1">
        <v>45772</v>
      </c>
      <c r="C483" t="s">
        <v>170</v>
      </c>
      <c r="D483" t="s">
        <v>63</v>
      </c>
      <c r="E483" t="s">
        <v>26</v>
      </c>
      <c r="F483" t="s">
        <v>53</v>
      </c>
      <c r="G483" t="s">
        <v>151</v>
      </c>
      <c r="H483">
        <v>2</v>
      </c>
      <c r="I483">
        <v>27590</v>
      </c>
      <c r="J483">
        <v>15</v>
      </c>
      <c r="K483">
        <v>8277</v>
      </c>
      <c r="L483">
        <v>46903</v>
      </c>
      <c r="M483">
        <v>30677.07</v>
      </c>
      <c r="N483">
        <v>16225.93</v>
      </c>
      <c r="O483" t="s">
        <v>55</v>
      </c>
      <c r="P483">
        <v>2319.89</v>
      </c>
      <c r="Q483" t="s">
        <v>30</v>
      </c>
      <c r="R483" t="s">
        <v>41</v>
      </c>
      <c r="S483">
        <v>2</v>
      </c>
      <c r="T483">
        <v>1</v>
      </c>
      <c r="U483" t="s">
        <v>32</v>
      </c>
      <c r="V483" t="s">
        <v>33</v>
      </c>
      <c r="W483">
        <v>2</v>
      </c>
    </row>
    <row r="484" spans="1:23" x14ac:dyDescent="0.25">
      <c r="A484" t="s">
        <v>891</v>
      </c>
      <c r="B484" s="1">
        <v>45670</v>
      </c>
      <c r="C484" t="s">
        <v>892</v>
      </c>
      <c r="D484" t="s">
        <v>79</v>
      </c>
      <c r="E484" t="s">
        <v>46</v>
      </c>
      <c r="F484" t="s">
        <v>53</v>
      </c>
      <c r="G484" t="s">
        <v>54</v>
      </c>
      <c r="H484">
        <v>3</v>
      </c>
      <c r="I484">
        <v>55833</v>
      </c>
      <c r="J484">
        <v>0</v>
      </c>
      <c r="K484">
        <v>0</v>
      </c>
      <c r="L484">
        <v>167499</v>
      </c>
      <c r="M484">
        <v>132627.10999999999</v>
      </c>
      <c r="N484">
        <v>34871.89</v>
      </c>
      <c r="O484" t="s">
        <v>91</v>
      </c>
      <c r="P484">
        <v>1185.8499999999999</v>
      </c>
      <c r="Q484" t="s">
        <v>73</v>
      </c>
      <c r="R484" t="s">
        <v>31</v>
      </c>
      <c r="S484">
        <v>5</v>
      </c>
      <c r="T484">
        <v>1</v>
      </c>
      <c r="U484" t="s">
        <v>32</v>
      </c>
      <c r="V484" t="s">
        <v>42</v>
      </c>
    </row>
    <row r="485" spans="1:23" x14ac:dyDescent="0.25">
      <c r="A485" t="s">
        <v>893</v>
      </c>
      <c r="B485" s="1">
        <v>45995</v>
      </c>
      <c r="C485" t="s">
        <v>601</v>
      </c>
      <c r="D485" t="s">
        <v>154</v>
      </c>
      <c r="E485" t="s">
        <v>26</v>
      </c>
      <c r="F485" t="s">
        <v>37</v>
      </c>
      <c r="G485" t="s">
        <v>161</v>
      </c>
      <c r="H485">
        <v>2</v>
      </c>
      <c r="I485">
        <v>36718</v>
      </c>
      <c r="J485">
        <v>10</v>
      </c>
      <c r="K485">
        <v>7343.6</v>
      </c>
      <c r="L485">
        <v>66092.399999999994</v>
      </c>
      <c r="M485">
        <v>52998.05</v>
      </c>
      <c r="N485">
        <v>13094.35</v>
      </c>
      <c r="O485" t="s">
        <v>49</v>
      </c>
      <c r="P485">
        <v>437.77</v>
      </c>
      <c r="Q485" t="s">
        <v>68</v>
      </c>
      <c r="R485" t="s">
        <v>31</v>
      </c>
      <c r="S485">
        <v>5</v>
      </c>
      <c r="T485">
        <v>6</v>
      </c>
      <c r="U485" t="s">
        <v>32</v>
      </c>
      <c r="V485" t="s">
        <v>50</v>
      </c>
      <c r="W485">
        <v>1</v>
      </c>
    </row>
    <row r="486" spans="1:23" x14ac:dyDescent="0.25">
      <c r="A486" t="s">
        <v>894</v>
      </c>
      <c r="B486" s="1">
        <v>45756</v>
      </c>
      <c r="C486" t="s">
        <v>895</v>
      </c>
      <c r="D486" t="s">
        <v>71</v>
      </c>
      <c r="E486" t="s">
        <v>26</v>
      </c>
      <c r="F486" t="s">
        <v>47</v>
      </c>
      <c r="G486" t="s">
        <v>48</v>
      </c>
      <c r="H486">
        <v>2</v>
      </c>
      <c r="I486">
        <v>11411</v>
      </c>
      <c r="J486">
        <v>10</v>
      </c>
      <c r="K486">
        <v>2282.1999999999998</v>
      </c>
      <c r="L486">
        <v>20539.8</v>
      </c>
      <c r="M486">
        <v>12099.18</v>
      </c>
      <c r="N486">
        <v>8440.6200000000008</v>
      </c>
      <c r="O486" t="s">
        <v>60</v>
      </c>
      <c r="P486">
        <v>1965.33</v>
      </c>
      <c r="Q486" t="s">
        <v>73</v>
      </c>
      <c r="R486" t="s">
        <v>31</v>
      </c>
      <c r="S486">
        <v>5</v>
      </c>
      <c r="T486">
        <v>3</v>
      </c>
      <c r="U486" t="s">
        <v>32</v>
      </c>
      <c r="V486" t="s">
        <v>33</v>
      </c>
      <c r="W486">
        <v>2</v>
      </c>
    </row>
    <row r="487" spans="1:23" x14ac:dyDescent="0.25">
      <c r="A487" t="s">
        <v>896</v>
      </c>
      <c r="B487" s="1">
        <v>45862</v>
      </c>
      <c r="C487" t="s">
        <v>817</v>
      </c>
      <c r="D487" t="s">
        <v>67</v>
      </c>
      <c r="E487" t="s">
        <v>36</v>
      </c>
      <c r="F487" t="s">
        <v>86</v>
      </c>
      <c r="G487" t="s">
        <v>127</v>
      </c>
      <c r="H487">
        <v>2</v>
      </c>
      <c r="I487">
        <v>24116</v>
      </c>
      <c r="J487">
        <v>15</v>
      </c>
      <c r="K487">
        <v>7234.8</v>
      </c>
      <c r="L487">
        <v>40997.199999999997</v>
      </c>
      <c r="M487">
        <v>27182.71</v>
      </c>
      <c r="N487">
        <v>13814.49</v>
      </c>
      <c r="O487" t="s">
        <v>49</v>
      </c>
      <c r="P487">
        <v>291.3</v>
      </c>
      <c r="Q487" t="s">
        <v>68</v>
      </c>
      <c r="R487" t="s">
        <v>41</v>
      </c>
      <c r="S487">
        <v>2</v>
      </c>
      <c r="T487">
        <v>1</v>
      </c>
      <c r="U487" t="s">
        <v>32</v>
      </c>
      <c r="V487" t="s">
        <v>33</v>
      </c>
      <c r="W487">
        <v>5</v>
      </c>
    </row>
    <row r="488" spans="1:23" x14ac:dyDescent="0.25">
      <c r="A488" t="s">
        <v>897</v>
      </c>
      <c r="B488" s="1">
        <v>45826</v>
      </c>
      <c r="C488" t="s">
        <v>898</v>
      </c>
      <c r="D488" t="s">
        <v>71</v>
      </c>
      <c r="E488" t="s">
        <v>26</v>
      </c>
      <c r="F488" t="s">
        <v>27</v>
      </c>
      <c r="G488" t="s">
        <v>164</v>
      </c>
      <c r="H488">
        <v>2</v>
      </c>
      <c r="I488">
        <v>11206</v>
      </c>
      <c r="J488">
        <v>0</v>
      </c>
      <c r="K488">
        <v>0</v>
      </c>
      <c r="L488">
        <v>22412</v>
      </c>
      <c r="M488">
        <v>13556.69</v>
      </c>
      <c r="N488">
        <v>8855.31</v>
      </c>
      <c r="O488" t="s">
        <v>29</v>
      </c>
      <c r="P488">
        <v>1290.03</v>
      </c>
      <c r="Q488" t="s">
        <v>68</v>
      </c>
      <c r="R488" t="s">
        <v>41</v>
      </c>
      <c r="S488">
        <v>2</v>
      </c>
      <c r="T488">
        <v>1</v>
      </c>
      <c r="U488" t="s">
        <v>32</v>
      </c>
      <c r="V488" t="s">
        <v>33</v>
      </c>
      <c r="W488">
        <v>5</v>
      </c>
    </row>
    <row r="489" spans="1:23" x14ac:dyDescent="0.25">
      <c r="A489" t="s">
        <v>899</v>
      </c>
      <c r="B489" s="1">
        <v>45800</v>
      </c>
      <c r="C489" t="s">
        <v>900</v>
      </c>
      <c r="D489" t="s">
        <v>25</v>
      </c>
      <c r="E489" t="s">
        <v>46</v>
      </c>
      <c r="F489" t="s">
        <v>53</v>
      </c>
      <c r="G489" t="s">
        <v>151</v>
      </c>
      <c r="H489">
        <v>1</v>
      </c>
      <c r="I489">
        <v>81286</v>
      </c>
      <c r="J489">
        <v>0</v>
      </c>
      <c r="K489">
        <v>0</v>
      </c>
      <c r="L489">
        <v>81286</v>
      </c>
      <c r="M489">
        <v>61101.77</v>
      </c>
      <c r="N489">
        <v>20184.23</v>
      </c>
      <c r="O489" t="s">
        <v>91</v>
      </c>
      <c r="P489">
        <v>1886.09</v>
      </c>
      <c r="Q489" t="s">
        <v>30</v>
      </c>
      <c r="R489" t="s">
        <v>31</v>
      </c>
      <c r="S489">
        <v>5</v>
      </c>
      <c r="T489">
        <v>2</v>
      </c>
      <c r="U489" t="s">
        <v>32</v>
      </c>
      <c r="V489" t="s">
        <v>33</v>
      </c>
      <c r="W489">
        <v>4</v>
      </c>
    </row>
    <row r="490" spans="1:23" x14ac:dyDescent="0.25">
      <c r="A490" t="s">
        <v>901</v>
      </c>
      <c r="B490" s="1">
        <v>45693</v>
      </c>
      <c r="C490" t="s">
        <v>215</v>
      </c>
      <c r="D490" t="s">
        <v>45</v>
      </c>
      <c r="E490" t="s">
        <v>26</v>
      </c>
      <c r="F490" t="s">
        <v>86</v>
      </c>
      <c r="G490" t="s">
        <v>180</v>
      </c>
      <c r="H490">
        <v>2</v>
      </c>
      <c r="I490">
        <v>25252</v>
      </c>
      <c r="J490">
        <v>0</v>
      </c>
      <c r="K490">
        <v>0</v>
      </c>
      <c r="L490">
        <v>50504</v>
      </c>
      <c r="M490">
        <v>31118.66</v>
      </c>
      <c r="N490">
        <v>19385.34</v>
      </c>
      <c r="O490" t="s">
        <v>55</v>
      </c>
      <c r="P490">
        <v>1960.46</v>
      </c>
      <c r="Q490" t="s">
        <v>30</v>
      </c>
      <c r="R490" t="s">
        <v>41</v>
      </c>
      <c r="S490">
        <v>2</v>
      </c>
      <c r="T490">
        <v>5</v>
      </c>
      <c r="U490" t="s">
        <v>56</v>
      </c>
      <c r="V490" t="s">
        <v>33</v>
      </c>
      <c r="W490">
        <v>2</v>
      </c>
    </row>
    <row r="491" spans="1:23" x14ac:dyDescent="0.25">
      <c r="A491" t="s">
        <v>902</v>
      </c>
      <c r="B491" s="1">
        <v>45800</v>
      </c>
      <c r="C491" t="s">
        <v>903</v>
      </c>
      <c r="D491" t="s">
        <v>67</v>
      </c>
      <c r="E491" t="s">
        <v>26</v>
      </c>
      <c r="F491" t="s">
        <v>47</v>
      </c>
      <c r="G491" t="s">
        <v>64</v>
      </c>
      <c r="H491">
        <v>1</v>
      </c>
      <c r="I491">
        <v>52563</v>
      </c>
      <c r="J491">
        <v>0</v>
      </c>
      <c r="K491">
        <v>0</v>
      </c>
      <c r="L491">
        <v>52563</v>
      </c>
      <c r="M491">
        <v>29761.18</v>
      </c>
      <c r="N491">
        <v>22801.82</v>
      </c>
      <c r="O491" t="s">
        <v>60</v>
      </c>
      <c r="P491">
        <v>599.23</v>
      </c>
      <c r="Q491" t="s">
        <v>68</v>
      </c>
      <c r="R491" t="s">
        <v>31</v>
      </c>
      <c r="S491">
        <v>5</v>
      </c>
      <c r="T491">
        <v>4</v>
      </c>
      <c r="U491" t="s">
        <v>32</v>
      </c>
      <c r="V491" t="s">
        <v>50</v>
      </c>
      <c r="W491">
        <v>5</v>
      </c>
    </row>
    <row r="492" spans="1:23" x14ac:dyDescent="0.25">
      <c r="A492" t="s">
        <v>904</v>
      </c>
      <c r="B492" s="1">
        <v>45837</v>
      </c>
      <c r="C492" t="s">
        <v>905</v>
      </c>
      <c r="D492" t="s">
        <v>67</v>
      </c>
      <c r="E492" t="s">
        <v>26</v>
      </c>
      <c r="F492" t="s">
        <v>53</v>
      </c>
      <c r="G492" t="s">
        <v>54</v>
      </c>
      <c r="H492">
        <v>1</v>
      </c>
      <c r="I492">
        <v>83981</v>
      </c>
      <c r="J492">
        <v>15</v>
      </c>
      <c r="K492">
        <v>12597.15</v>
      </c>
      <c r="L492">
        <v>71383.850000000006</v>
      </c>
      <c r="M492">
        <v>57213.55</v>
      </c>
      <c r="N492">
        <v>14170.3</v>
      </c>
      <c r="O492" t="s">
        <v>29</v>
      </c>
      <c r="P492">
        <v>1068.3900000000001</v>
      </c>
      <c r="Q492" t="s">
        <v>68</v>
      </c>
      <c r="R492" t="s">
        <v>31</v>
      </c>
      <c r="S492">
        <v>5</v>
      </c>
      <c r="T492">
        <v>4</v>
      </c>
      <c r="U492" t="s">
        <v>32</v>
      </c>
      <c r="V492" t="s">
        <v>33</v>
      </c>
      <c r="W492">
        <v>5</v>
      </c>
    </row>
    <row r="493" spans="1:23" x14ac:dyDescent="0.25">
      <c r="A493" t="s">
        <v>906</v>
      </c>
      <c r="B493" s="1">
        <v>45986</v>
      </c>
      <c r="C493" t="s">
        <v>288</v>
      </c>
      <c r="D493" t="s">
        <v>124</v>
      </c>
      <c r="E493" t="s">
        <v>46</v>
      </c>
      <c r="F493" t="s">
        <v>47</v>
      </c>
      <c r="G493" t="s">
        <v>105</v>
      </c>
      <c r="H493">
        <v>2</v>
      </c>
      <c r="I493">
        <v>46654</v>
      </c>
      <c r="J493">
        <v>20</v>
      </c>
      <c r="K493">
        <v>18661.599999999999</v>
      </c>
      <c r="L493">
        <v>74646.399999999994</v>
      </c>
      <c r="M493">
        <v>47367.71</v>
      </c>
      <c r="N493">
        <v>27278.69</v>
      </c>
      <c r="O493" t="s">
        <v>60</v>
      </c>
      <c r="P493">
        <v>579.1</v>
      </c>
      <c r="Q493" t="s">
        <v>73</v>
      </c>
      <c r="R493" t="s">
        <v>41</v>
      </c>
      <c r="S493">
        <v>2</v>
      </c>
      <c r="T493">
        <v>6</v>
      </c>
      <c r="U493" t="s">
        <v>32</v>
      </c>
      <c r="V493" t="s">
        <v>50</v>
      </c>
      <c r="W493">
        <v>4</v>
      </c>
    </row>
    <row r="494" spans="1:23" x14ac:dyDescent="0.25">
      <c r="A494" t="s">
        <v>907</v>
      </c>
      <c r="B494" s="1">
        <v>45918</v>
      </c>
      <c r="C494" t="s">
        <v>908</v>
      </c>
      <c r="D494" t="s">
        <v>79</v>
      </c>
      <c r="E494" t="s">
        <v>46</v>
      </c>
      <c r="F494" t="s">
        <v>27</v>
      </c>
      <c r="G494" t="s">
        <v>76</v>
      </c>
      <c r="H494">
        <v>2</v>
      </c>
      <c r="I494">
        <v>11348</v>
      </c>
      <c r="J494">
        <v>0</v>
      </c>
      <c r="K494">
        <v>0</v>
      </c>
      <c r="L494">
        <v>22696</v>
      </c>
      <c r="M494">
        <v>15801.48</v>
      </c>
      <c r="N494">
        <v>6894.52</v>
      </c>
      <c r="O494" t="s">
        <v>55</v>
      </c>
      <c r="P494">
        <v>225.25</v>
      </c>
      <c r="Q494" t="s">
        <v>73</v>
      </c>
      <c r="R494" t="s">
        <v>31</v>
      </c>
      <c r="S494">
        <v>5</v>
      </c>
      <c r="T494">
        <v>5</v>
      </c>
      <c r="U494" t="s">
        <v>32</v>
      </c>
      <c r="V494" t="s">
        <v>33</v>
      </c>
      <c r="W494">
        <v>5</v>
      </c>
    </row>
    <row r="495" spans="1:23" x14ac:dyDescent="0.25">
      <c r="A495" t="s">
        <v>909</v>
      </c>
      <c r="B495" s="1">
        <v>45862</v>
      </c>
      <c r="C495" t="s">
        <v>89</v>
      </c>
      <c r="D495" t="s">
        <v>90</v>
      </c>
      <c r="E495" t="s">
        <v>46</v>
      </c>
      <c r="F495" t="s">
        <v>47</v>
      </c>
      <c r="G495" t="s">
        <v>64</v>
      </c>
      <c r="H495">
        <v>4</v>
      </c>
      <c r="I495">
        <v>9940</v>
      </c>
      <c r="J495">
        <v>0</v>
      </c>
      <c r="K495">
        <v>0</v>
      </c>
      <c r="L495">
        <v>39760</v>
      </c>
      <c r="M495">
        <v>22383.81</v>
      </c>
      <c r="N495">
        <v>17376.189999999999</v>
      </c>
      <c r="O495" t="s">
        <v>91</v>
      </c>
      <c r="P495">
        <v>2455.25</v>
      </c>
      <c r="Q495" t="s">
        <v>73</v>
      </c>
      <c r="R495" t="s">
        <v>41</v>
      </c>
      <c r="S495">
        <v>2</v>
      </c>
      <c r="T495">
        <v>1</v>
      </c>
      <c r="U495" t="s">
        <v>32</v>
      </c>
      <c r="V495" t="s">
        <v>33</v>
      </c>
      <c r="W495">
        <v>1</v>
      </c>
    </row>
    <row r="496" spans="1:23" x14ac:dyDescent="0.25">
      <c r="A496" t="s">
        <v>910</v>
      </c>
      <c r="B496" s="1">
        <v>46005</v>
      </c>
      <c r="C496" t="s">
        <v>230</v>
      </c>
      <c r="D496" t="s">
        <v>25</v>
      </c>
      <c r="E496" t="s">
        <v>26</v>
      </c>
      <c r="F496" t="s">
        <v>27</v>
      </c>
      <c r="G496" t="s">
        <v>28</v>
      </c>
      <c r="H496">
        <v>4</v>
      </c>
      <c r="I496">
        <v>14356</v>
      </c>
      <c r="J496">
        <v>25</v>
      </c>
      <c r="K496">
        <v>14356</v>
      </c>
      <c r="L496">
        <v>43068</v>
      </c>
      <c r="M496">
        <v>24861.9</v>
      </c>
      <c r="N496">
        <v>18206.099999999999</v>
      </c>
      <c r="O496" t="s">
        <v>60</v>
      </c>
      <c r="P496">
        <v>2030.96</v>
      </c>
      <c r="Q496" t="s">
        <v>30</v>
      </c>
      <c r="R496" t="s">
        <v>31</v>
      </c>
      <c r="S496">
        <v>5</v>
      </c>
      <c r="T496">
        <v>8</v>
      </c>
      <c r="U496" t="s">
        <v>56</v>
      </c>
      <c r="V496" t="s">
        <v>33</v>
      </c>
      <c r="W496">
        <v>5</v>
      </c>
    </row>
    <row r="497" spans="1:23" x14ac:dyDescent="0.25">
      <c r="A497" t="s">
        <v>911</v>
      </c>
      <c r="B497" s="1">
        <v>45932</v>
      </c>
      <c r="C497" t="s">
        <v>912</v>
      </c>
      <c r="D497" t="s">
        <v>154</v>
      </c>
      <c r="E497" t="s">
        <v>26</v>
      </c>
      <c r="F497" t="s">
        <v>37</v>
      </c>
      <c r="G497" t="s">
        <v>224</v>
      </c>
      <c r="H497">
        <v>1</v>
      </c>
      <c r="I497">
        <v>13231</v>
      </c>
      <c r="J497">
        <v>0</v>
      </c>
      <c r="K497">
        <v>0</v>
      </c>
      <c r="L497">
        <v>13231</v>
      </c>
      <c r="M497">
        <v>10825.9</v>
      </c>
      <c r="N497">
        <v>2405.1</v>
      </c>
      <c r="O497" t="s">
        <v>91</v>
      </c>
      <c r="P497">
        <v>2006.31</v>
      </c>
      <c r="Q497" t="s">
        <v>73</v>
      </c>
      <c r="R497" t="s">
        <v>41</v>
      </c>
      <c r="S497">
        <v>2</v>
      </c>
      <c r="T497">
        <v>3</v>
      </c>
      <c r="U497" t="s">
        <v>32</v>
      </c>
      <c r="V497" t="s">
        <v>42</v>
      </c>
    </row>
    <row r="498" spans="1:23" x14ac:dyDescent="0.25">
      <c r="A498" t="s">
        <v>913</v>
      </c>
      <c r="B498" s="1">
        <v>45827</v>
      </c>
      <c r="C498" t="s">
        <v>914</v>
      </c>
      <c r="D498" t="s">
        <v>90</v>
      </c>
      <c r="E498" t="s">
        <v>26</v>
      </c>
      <c r="F498" t="s">
        <v>86</v>
      </c>
      <c r="G498" t="s">
        <v>94</v>
      </c>
      <c r="H498">
        <v>1</v>
      </c>
      <c r="I498">
        <v>15830</v>
      </c>
      <c r="J498">
        <v>0</v>
      </c>
      <c r="K498">
        <v>0</v>
      </c>
      <c r="L498">
        <v>15830</v>
      </c>
      <c r="M498">
        <v>12145.98</v>
      </c>
      <c r="N498">
        <v>3684.02</v>
      </c>
      <c r="O498" t="s">
        <v>49</v>
      </c>
      <c r="P498">
        <v>440.39</v>
      </c>
      <c r="Q498" t="s">
        <v>83</v>
      </c>
      <c r="R498" t="s">
        <v>41</v>
      </c>
      <c r="S498">
        <v>2</v>
      </c>
      <c r="T498">
        <v>1</v>
      </c>
      <c r="U498" t="s">
        <v>32</v>
      </c>
      <c r="V498" t="s">
        <v>33</v>
      </c>
    </row>
    <row r="499" spans="1:23" x14ac:dyDescent="0.25">
      <c r="A499" t="s">
        <v>915</v>
      </c>
      <c r="B499" s="1">
        <v>45672</v>
      </c>
      <c r="C499" t="s">
        <v>595</v>
      </c>
      <c r="D499" t="s">
        <v>25</v>
      </c>
      <c r="E499" t="s">
        <v>36</v>
      </c>
      <c r="F499" t="s">
        <v>27</v>
      </c>
      <c r="G499" t="s">
        <v>164</v>
      </c>
      <c r="H499">
        <v>1</v>
      </c>
      <c r="I499">
        <v>15079</v>
      </c>
      <c r="J499">
        <v>0</v>
      </c>
      <c r="K499">
        <v>0</v>
      </c>
      <c r="L499">
        <v>15079</v>
      </c>
      <c r="M499">
        <v>9022.98</v>
      </c>
      <c r="N499">
        <v>6056.02</v>
      </c>
      <c r="O499" t="s">
        <v>91</v>
      </c>
      <c r="P499">
        <v>2450.5100000000002</v>
      </c>
      <c r="Q499" t="s">
        <v>30</v>
      </c>
      <c r="R499" t="s">
        <v>41</v>
      </c>
      <c r="S499">
        <v>2</v>
      </c>
      <c r="T499">
        <v>1</v>
      </c>
      <c r="U499" t="s">
        <v>32</v>
      </c>
      <c r="V499" t="s">
        <v>33</v>
      </c>
      <c r="W499">
        <v>4</v>
      </c>
    </row>
    <row r="500" spans="1:23" x14ac:dyDescent="0.25">
      <c r="A500" t="s">
        <v>916</v>
      </c>
      <c r="B500" s="1">
        <v>45717</v>
      </c>
      <c r="C500" t="s">
        <v>804</v>
      </c>
      <c r="D500" t="s">
        <v>67</v>
      </c>
      <c r="E500" t="s">
        <v>46</v>
      </c>
      <c r="F500" t="s">
        <v>47</v>
      </c>
      <c r="G500" t="s">
        <v>138</v>
      </c>
      <c r="H500">
        <v>1</v>
      </c>
      <c r="I500">
        <v>47611</v>
      </c>
      <c r="J500">
        <v>25</v>
      </c>
      <c r="K500">
        <v>11902.75</v>
      </c>
      <c r="L500">
        <v>35708.25</v>
      </c>
      <c r="M500">
        <v>27784.79</v>
      </c>
      <c r="N500">
        <v>7923.46</v>
      </c>
      <c r="O500" t="s">
        <v>55</v>
      </c>
      <c r="P500">
        <v>1769.06</v>
      </c>
      <c r="Q500" t="s">
        <v>40</v>
      </c>
      <c r="R500" t="s">
        <v>41</v>
      </c>
      <c r="S500">
        <v>2</v>
      </c>
      <c r="T500">
        <v>1</v>
      </c>
      <c r="U500" t="s">
        <v>32</v>
      </c>
      <c r="V500" t="s">
        <v>33</v>
      </c>
      <c r="W500">
        <v>1</v>
      </c>
    </row>
    <row r="501" spans="1:23" x14ac:dyDescent="0.25">
      <c r="A501" t="s">
        <v>917</v>
      </c>
      <c r="B501" s="1">
        <v>45791</v>
      </c>
      <c r="C501" t="s">
        <v>860</v>
      </c>
      <c r="D501" t="s">
        <v>45</v>
      </c>
      <c r="E501" t="s">
        <v>46</v>
      </c>
      <c r="F501" t="s">
        <v>27</v>
      </c>
      <c r="G501" t="s">
        <v>72</v>
      </c>
      <c r="H501">
        <v>2</v>
      </c>
      <c r="I501">
        <v>8564</v>
      </c>
      <c r="J501">
        <v>10</v>
      </c>
      <c r="K501">
        <v>1712.8</v>
      </c>
      <c r="L501">
        <v>15415.2</v>
      </c>
      <c r="M501">
        <v>10042.57</v>
      </c>
      <c r="N501">
        <v>5372.63</v>
      </c>
      <c r="O501" t="s">
        <v>49</v>
      </c>
      <c r="P501">
        <v>82.84</v>
      </c>
      <c r="Q501" t="s">
        <v>30</v>
      </c>
      <c r="R501" t="s">
        <v>41</v>
      </c>
      <c r="S501">
        <v>2</v>
      </c>
      <c r="T501">
        <v>6</v>
      </c>
      <c r="U501" t="s">
        <v>32</v>
      </c>
      <c r="V501" t="s">
        <v>42</v>
      </c>
    </row>
    <row r="502" spans="1:23" x14ac:dyDescent="0.25">
      <c r="A502" t="s">
        <v>918</v>
      </c>
      <c r="B502" s="1">
        <v>45749</v>
      </c>
      <c r="C502" t="s">
        <v>900</v>
      </c>
      <c r="D502" t="s">
        <v>67</v>
      </c>
      <c r="E502" t="s">
        <v>26</v>
      </c>
      <c r="F502" t="s">
        <v>27</v>
      </c>
      <c r="G502" t="s">
        <v>164</v>
      </c>
      <c r="H502">
        <v>3</v>
      </c>
      <c r="I502">
        <v>9407</v>
      </c>
      <c r="J502">
        <v>15</v>
      </c>
      <c r="K502">
        <v>4233.1499999999996</v>
      </c>
      <c r="L502">
        <v>23987.85</v>
      </c>
      <c r="M502">
        <v>18168.84</v>
      </c>
      <c r="N502">
        <v>5819.01</v>
      </c>
      <c r="O502" t="s">
        <v>60</v>
      </c>
      <c r="P502">
        <v>348.28</v>
      </c>
      <c r="Q502" t="s">
        <v>73</v>
      </c>
      <c r="R502" t="s">
        <v>41</v>
      </c>
      <c r="S502">
        <v>2</v>
      </c>
      <c r="T502">
        <v>3</v>
      </c>
      <c r="U502" t="s">
        <v>56</v>
      </c>
      <c r="V502" t="s">
        <v>33</v>
      </c>
      <c r="W502">
        <v>3</v>
      </c>
    </row>
    <row r="503" spans="1:23" x14ac:dyDescent="0.25">
      <c r="A503" t="s">
        <v>919</v>
      </c>
      <c r="B503" s="1">
        <v>45955</v>
      </c>
      <c r="C503" t="s">
        <v>691</v>
      </c>
      <c r="D503" t="s">
        <v>67</v>
      </c>
      <c r="E503" t="s">
        <v>46</v>
      </c>
      <c r="F503" t="s">
        <v>37</v>
      </c>
      <c r="G503" t="s">
        <v>100</v>
      </c>
      <c r="H503">
        <v>1</v>
      </c>
      <c r="I503">
        <v>17989</v>
      </c>
      <c r="J503">
        <v>10</v>
      </c>
      <c r="K503">
        <v>1798.9</v>
      </c>
      <c r="L503">
        <v>16190.1</v>
      </c>
      <c r="M503">
        <v>11388.37</v>
      </c>
      <c r="N503">
        <v>4801.7299999999996</v>
      </c>
      <c r="O503" t="s">
        <v>55</v>
      </c>
      <c r="P503">
        <v>2353.86</v>
      </c>
      <c r="Q503" t="s">
        <v>73</v>
      </c>
      <c r="R503" t="s">
        <v>41</v>
      </c>
      <c r="S503">
        <v>2</v>
      </c>
      <c r="T503">
        <v>0</v>
      </c>
      <c r="U503" t="s">
        <v>32</v>
      </c>
      <c r="V503" t="s">
        <v>42</v>
      </c>
    </row>
    <row r="504" spans="1:23" x14ac:dyDescent="0.25">
      <c r="A504" t="s">
        <v>920</v>
      </c>
      <c r="B504" s="1">
        <v>45793</v>
      </c>
      <c r="C504" t="s">
        <v>921</v>
      </c>
      <c r="D504" t="s">
        <v>90</v>
      </c>
      <c r="E504" t="s">
        <v>36</v>
      </c>
      <c r="F504" t="s">
        <v>27</v>
      </c>
      <c r="G504" t="s">
        <v>113</v>
      </c>
      <c r="H504">
        <v>3</v>
      </c>
      <c r="I504">
        <v>11759</v>
      </c>
      <c r="J504">
        <v>0</v>
      </c>
      <c r="K504">
        <v>0</v>
      </c>
      <c r="L504">
        <v>35277</v>
      </c>
      <c r="M504">
        <v>20752.37</v>
      </c>
      <c r="N504">
        <v>14524.63</v>
      </c>
      <c r="O504" t="s">
        <v>91</v>
      </c>
      <c r="P504">
        <v>886.17</v>
      </c>
      <c r="Q504" t="s">
        <v>30</v>
      </c>
      <c r="R504" t="s">
        <v>41</v>
      </c>
      <c r="S504">
        <v>2</v>
      </c>
      <c r="T504">
        <v>1</v>
      </c>
      <c r="U504" t="s">
        <v>32</v>
      </c>
      <c r="V504" t="s">
        <v>33</v>
      </c>
      <c r="W504">
        <v>1</v>
      </c>
    </row>
    <row r="505" spans="1:23" x14ac:dyDescent="0.25">
      <c r="A505" t="s">
        <v>922</v>
      </c>
      <c r="B505" s="1">
        <v>45677</v>
      </c>
      <c r="C505" t="s">
        <v>324</v>
      </c>
      <c r="D505" t="s">
        <v>63</v>
      </c>
      <c r="E505" t="s">
        <v>36</v>
      </c>
      <c r="F505" t="s">
        <v>27</v>
      </c>
      <c r="G505" t="s">
        <v>28</v>
      </c>
      <c r="H505">
        <v>1</v>
      </c>
      <c r="I505">
        <v>8891</v>
      </c>
      <c r="J505">
        <v>10</v>
      </c>
      <c r="K505">
        <v>889.1</v>
      </c>
      <c r="L505">
        <v>8001.9</v>
      </c>
      <c r="M505">
        <v>6436.12</v>
      </c>
      <c r="N505">
        <v>1565.78</v>
      </c>
      <c r="O505" t="s">
        <v>91</v>
      </c>
      <c r="P505">
        <v>1784.31</v>
      </c>
      <c r="Q505" t="s">
        <v>68</v>
      </c>
      <c r="R505" t="s">
        <v>41</v>
      </c>
      <c r="S505">
        <v>2</v>
      </c>
      <c r="T505">
        <v>3</v>
      </c>
      <c r="U505" t="s">
        <v>56</v>
      </c>
      <c r="V505" t="s">
        <v>33</v>
      </c>
      <c r="W505">
        <v>5</v>
      </c>
    </row>
    <row r="506" spans="1:23" x14ac:dyDescent="0.25">
      <c r="A506" t="s">
        <v>923</v>
      </c>
      <c r="B506" s="1">
        <v>45713</v>
      </c>
      <c r="C506" t="s">
        <v>370</v>
      </c>
      <c r="D506" t="s">
        <v>71</v>
      </c>
      <c r="E506" t="s">
        <v>26</v>
      </c>
      <c r="F506" t="s">
        <v>27</v>
      </c>
      <c r="G506" t="s">
        <v>72</v>
      </c>
      <c r="H506">
        <v>3</v>
      </c>
      <c r="I506">
        <v>23701</v>
      </c>
      <c r="J506">
        <v>10</v>
      </c>
      <c r="K506">
        <v>7110.3</v>
      </c>
      <c r="L506">
        <v>63992.7</v>
      </c>
      <c r="M506">
        <v>46669.68</v>
      </c>
      <c r="N506">
        <v>17323.02</v>
      </c>
      <c r="O506" t="s">
        <v>55</v>
      </c>
      <c r="P506">
        <v>2261.9499999999998</v>
      </c>
      <c r="Q506" t="s">
        <v>68</v>
      </c>
      <c r="R506" t="s">
        <v>41</v>
      </c>
      <c r="S506">
        <v>2</v>
      </c>
      <c r="T506">
        <v>0</v>
      </c>
      <c r="U506" t="s">
        <v>32</v>
      </c>
      <c r="V506" t="s">
        <v>50</v>
      </c>
      <c r="W506">
        <v>2</v>
      </c>
    </row>
    <row r="507" spans="1:23" x14ac:dyDescent="0.25">
      <c r="A507" t="s">
        <v>924</v>
      </c>
      <c r="B507" s="1">
        <v>45963</v>
      </c>
      <c r="C507" t="s">
        <v>925</v>
      </c>
      <c r="D507" t="s">
        <v>71</v>
      </c>
      <c r="E507" t="s">
        <v>26</v>
      </c>
      <c r="F507" t="s">
        <v>27</v>
      </c>
      <c r="G507" t="s">
        <v>72</v>
      </c>
      <c r="H507">
        <v>1</v>
      </c>
      <c r="I507">
        <v>24436</v>
      </c>
      <c r="J507">
        <v>0</v>
      </c>
      <c r="K507">
        <v>0</v>
      </c>
      <c r="L507">
        <v>24436</v>
      </c>
      <c r="M507">
        <v>14882.21</v>
      </c>
      <c r="N507">
        <v>9553.7900000000009</v>
      </c>
      <c r="O507" t="s">
        <v>39</v>
      </c>
      <c r="P507">
        <v>1456</v>
      </c>
      <c r="Q507" t="s">
        <v>68</v>
      </c>
      <c r="R507" t="s">
        <v>41</v>
      </c>
      <c r="S507">
        <v>2</v>
      </c>
      <c r="T507">
        <v>1</v>
      </c>
      <c r="U507" t="s">
        <v>32</v>
      </c>
      <c r="V507" t="s">
        <v>33</v>
      </c>
      <c r="W507">
        <v>5</v>
      </c>
    </row>
    <row r="508" spans="1:23" x14ac:dyDescent="0.25">
      <c r="A508" t="s">
        <v>926</v>
      </c>
      <c r="B508" s="1">
        <v>45880</v>
      </c>
      <c r="C508" t="s">
        <v>927</v>
      </c>
      <c r="D508" t="s">
        <v>25</v>
      </c>
      <c r="E508" t="s">
        <v>36</v>
      </c>
      <c r="F508" t="s">
        <v>37</v>
      </c>
      <c r="G508" t="s">
        <v>100</v>
      </c>
      <c r="H508">
        <v>4</v>
      </c>
      <c r="I508">
        <v>5061</v>
      </c>
      <c r="J508">
        <v>10</v>
      </c>
      <c r="K508">
        <v>2024.4</v>
      </c>
      <c r="L508">
        <v>18219.599999999999</v>
      </c>
      <c r="M508">
        <v>14431.69</v>
      </c>
      <c r="N508">
        <v>3787.91</v>
      </c>
      <c r="O508" t="s">
        <v>91</v>
      </c>
      <c r="P508">
        <v>1348</v>
      </c>
      <c r="Q508" t="s">
        <v>30</v>
      </c>
      <c r="R508" t="s">
        <v>31</v>
      </c>
      <c r="S508">
        <v>5</v>
      </c>
      <c r="T508">
        <v>5</v>
      </c>
      <c r="U508" t="s">
        <v>32</v>
      </c>
      <c r="V508" t="s">
        <v>42</v>
      </c>
    </row>
    <row r="509" spans="1:23" x14ac:dyDescent="0.25">
      <c r="A509" t="s">
        <v>928</v>
      </c>
      <c r="B509" s="1">
        <v>45834</v>
      </c>
      <c r="C509" t="s">
        <v>929</v>
      </c>
      <c r="D509" t="s">
        <v>25</v>
      </c>
      <c r="E509" t="s">
        <v>46</v>
      </c>
      <c r="F509" t="s">
        <v>27</v>
      </c>
      <c r="G509" t="s">
        <v>113</v>
      </c>
      <c r="H509">
        <v>4</v>
      </c>
      <c r="I509">
        <v>18534</v>
      </c>
      <c r="J509">
        <v>10</v>
      </c>
      <c r="K509">
        <v>7413.6</v>
      </c>
      <c r="L509">
        <v>66722.399999999994</v>
      </c>
      <c r="M509">
        <v>39884.089999999997</v>
      </c>
      <c r="N509">
        <v>26838.31</v>
      </c>
      <c r="O509" t="s">
        <v>29</v>
      </c>
      <c r="P509">
        <v>1202.52</v>
      </c>
      <c r="Q509" t="s">
        <v>73</v>
      </c>
      <c r="R509" t="s">
        <v>31</v>
      </c>
      <c r="S509">
        <v>5</v>
      </c>
      <c r="T509">
        <v>4</v>
      </c>
      <c r="U509" t="s">
        <v>32</v>
      </c>
      <c r="V509" t="s">
        <v>42</v>
      </c>
    </row>
    <row r="510" spans="1:23" x14ac:dyDescent="0.25">
      <c r="A510" t="s">
        <v>930</v>
      </c>
      <c r="B510" s="1">
        <v>45818</v>
      </c>
      <c r="C510" t="s">
        <v>875</v>
      </c>
      <c r="D510" t="s">
        <v>79</v>
      </c>
      <c r="E510" t="s">
        <v>46</v>
      </c>
      <c r="F510" t="s">
        <v>27</v>
      </c>
      <c r="G510" t="s">
        <v>72</v>
      </c>
      <c r="H510">
        <v>1</v>
      </c>
      <c r="I510">
        <v>28074</v>
      </c>
      <c r="J510">
        <v>0</v>
      </c>
      <c r="K510">
        <v>0</v>
      </c>
      <c r="L510">
        <v>28074</v>
      </c>
      <c r="M510">
        <v>20242.810000000001</v>
      </c>
      <c r="N510">
        <v>7831.19</v>
      </c>
      <c r="O510" t="s">
        <v>55</v>
      </c>
      <c r="P510">
        <v>866.78</v>
      </c>
      <c r="Q510" t="s">
        <v>30</v>
      </c>
      <c r="R510" t="s">
        <v>31</v>
      </c>
      <c r="S510">
        <v>5</v>
      </c>
      <c r="T510">
        <v>5</v>
      </c>
      <c r="U510" t="s">
        <v>32</v>
      </c>
      <c r="V510" t="s">
        <v>42</v>
      </c>
    </row>
    <row r="511" spans="1:23" x14ac:dyDescent="0.25">
      <c r="A511" t="s">
        <v>931</v>
      </c>
      <c r="B511" s="1">
        <v>45881</v>
      </c>
      <c r="C511" t="s">
        <v>595</v>
      </c>
      <c r="D511" t="s">
        <v>97</v>
      </c>
      <c r="E511" t="s">
        <v>46</v>
      </c>
      <c r="F511" t="s">
        <v>47</v>
      </c>
      <c r="G511" t="s">
        <v>146</v>
      </c>
      <c r="H511">
        <v>3</v>
      </c>
      <c r="I511">
        <v>29977</v>
      </c>
      <c r="J511">
        <v>0</v>
      </c>
      <c r="K511">
        <v>0</v>
      </c>
      <c r="L511">
        <v>89931</v>
      </c>
      <c r="M511">
        <v>72277.23</v>
      </c>
      <c r="N511">
        <v>17653.77</v>
      </c>
      <c r="O511" t="s">
        <v>60</v>
      </c>
      <c r="P511">
        <v>2223.1</v>
      </c>
      <c r="Q511" t="s">
        <v>73</v>
      </c>
      <c r="R511" t="s">
        <v>41</v>
      </c>
      <c r="S511">
        <v>2</v>
      </c>
      <c r="T511">
        <v>1</v>
      </c>
      <c r="U511" t="s">
        <v>32</v>
      </c>
      <c r="V511" t="s">
        <v>33</v>
      </c>
      <c r="W511">
        <v>3</v>
      </c>
    </row>
    <row r="512" spans="1:23" x14ac:dyDescent="0.25">
      <c r="A512" t="s">
        <v>932</v>
      </c>
      <c r="B512" s="1">
        <v>45968</v>
      </c>
      <c r="C512" t="s">
        <v>933</v>
      </c>
      <c r="D512" t="s">
        <v>90</v>
      </c>
      <c r="E512" t="s">
        <v>46</v>
      </c>
      <c r="F512" t="s">
        <v>86</v>
      </c>
      <c r="G512" t="s">
        <v>127</v>
      </c>
      <c r="H512">
        <v>1</v>
      </c>
      <c r="I512">
        <v>74021</v>
      </c>
      <c r="J512">
        <v>10</v>
      </c>
      <c r="K512">
        <v>7402.1</v>
      </c>
      <c r="L512">
        <v>66618.899999999994</v>
      </c>
      <c r="M512">
        <v>39705.589999999997</v>
      </c>
      <c r="N512">
        <v>26913.31</v>
      </c>
      <c r="O512" t="s">
        <v>60</v>
      </c>
      <c r="P512">
        <v>1478.2</v>
      </c>
      <c r="Q512" t="s">
        <v>30</v>
      </c>
      <c r="R512" t="s">
        <v>41</v>
      </c>
      <c r="S512">
        <v>2</v>
      </c>
      <c r="T512">
        <v>1</v>
      </c>
      <c r="U512" t="s">
        <v>32</v>
      </c>
      <c r="V512" t="s">
        <v>42</v>
      </c>
    </row>
    <row r="513" spans="1:23" x14ac:dyDescent="0.25">
      <c r="A513" t="s">
        <v>934</v>
      </c>
      <c r="B513" s="1">
        <v>45919</v>
      </c>
      <c r="C513" t="s">
        <v>484</v>
      </c>
      <c r="D513" t="s">
        <v>90</v>
      </c>
      <c r="E513" t="s">
        <v>46</v>
      </c>
      <c r="F513" t="s">
        <v>47</v>
      </c>
      <c r="G513" t="s">
        <v>64</v>
      </c>
      <c r="H513">
        <v>3</v>
      </c>
      <c r="I513">
        <v>54717</v>
      </c>
      <c r="J513">
        <v>25</v>
      </c>
      <c r="K513">
        <v>41037.75</v>
      </c>
      <c r="L513">
        <v>123113.25</v>
      </c>
      <c r="M513">
        <v>72979.05</v>
      </c>
      <c r="N513">
        <v>50134.2</v>
      </c>
      <c r="O513" t="s">
        <v>29</v>
      </c>
      <c r="P513">
        <v>2042.7</v>
      </c>
      <c r="Q513" t="s">
        <v>40</v>
      </c>
      <c r="R513" t="s">
        <v>31</v>
      </c>
      <c r="S513">
        <v>5</v>
      </c>
      <c r="T513">
        <v>4</v>
      </c>
      <c r="U513" t="s">
        <v>32</v>
      </c>
      <c r="V513" t="s">
        <v>33</v>
      </c>
      <c r="W513">
        <v>5</v>
      </c>
    </row>
    <row r="514" spans="1:23" x14ac:dyDescent="0.25">
      <c r="A514" t="s">
        <v>935</v>
      </c>
      <c r="B514" s="1">
        <v>45717</v>
      </c>
      <c r="C514" t="s">
        <v>840</v>
      </c>
      <c r="D514" t="s">
        <v>63</v>
      </c>
      <c r="E514" t="s">
        <v>46</v>
      </c>
      <c r="F514" t="s">
        <v>53</v>
      </c>
      <c r="G514" t="s">
        <v>82</v>
      </c>
      <c r="H514">
        <v>1</v>
      </c>
      <c r="I514">
        <v>21223</v>
      </c>
      <c r="J514">
        <v>0</v>
      </c>
      <c r="K514">
        <v>0</v>
      </c>
      <c r="L514">
        <v>21223</v>
      </c>
      <c r="M514">
        <v>11832.05</v>
      </c>
      <c r="N514">
        <v>9390.9500000000007</v>
      </c>
      <c r="O514" t="s">
        <v>29</v>
      </c>
      <c r="P514">
        <v>258.17</v>
      </c>
      <c r="Q514" t="s">
        <v>68</v>
      </c>
      <c r="R514" t="s">
        <v>31</v>
      </c>
      <c r="S514">
        <v>5</v>
      </c>
      <c r="T514">
        <v>4</v>
      </c>
      <c r="U514" t="s">
        <v>32</v>
      </c>
      <c r="V514" t="s">
        <v>50</v>
      </c>
      <c r="W514">
        <v>4</v>
      </c>
    </row>
    <row r="515" spans="1:23" x14ac:dyDescent="0.25">
      <c r="A515" t="s">
        <v>936</v>
      </c>
      <c r="B515" s="1">
        <v>45855</v>
      </c>
      <c r="C515" t="s">
        <v>937</v>
      </c>
      <c r="D515" t="s">
        <v>124</v>
      </c>
      <c r="E515" t="s">
        <v>36</v>
      </c>
      <c r="F515" t="s">
        <v>27</v>
      </c>
      <c r="G515" t="s">
        <v>72</v>
      </c>
      <c r="H515">
        <v>1</v>
      </c>
      <c r="I515">
        <v>28744</v>
      </c>
      <c r="J515">
        <v>0</v>
      </c>
      <c r="K515">
        <v>0</v>
      </c>
      <c r="L515">
        <v>28744</v>
      </c>
      <c r="M515">
        <v>17943.169999999998</v>
      </c>
      <c r="N515">
        <v>10800.83</v>
      </c>
      <c r="O515" t="s">
        <v>49</v>
      </c>
      <c r="P515">
        <v>493.16</v>
      </c>
      <c r="Q515" t="s">
        <v>83</v>
      </c>
      <c r="R515" t="s">
        <v>31</v>
      </c>
      <c r="S515">
        <v>5</v>
      </c>
      <c r="T515">
        <v>3</v>
      </c>
      <c r="U515" t="s">
        <v>32</v>
      </c>
      <c r="V515" t="s">
        <v>33</v>
      </c>
      <c r="W515">
        <v>5</v>
      </c>
    </row>
    <row r="516" spans="1:23" x14ac:dyDescent="0.25">
      <c r="A516" t="s">
        <v>938</v>
      </c>
      <c r="B516" s="1">
        <v>45953</v>
      </c>
      <c r="C516" t="s">
        <v>458</v>
      </c>
      <c r="D516" t="s">
        <v>79</v>
      </c>
      <c r="E516" t="s">
        <v>46</v>
      </c>
      <c r="F516" t="s">
        <v>53</v>
      </c>
      <c r="G516" t="s">
        <v>54</v>
      </c>
      <c r="H516">
        <v>3</v>
      </c>
      <c r="I516">
        <v>21160</v>
      </c>
      <c r="J516">
        <v>15</v>
      </c>
      <c r="K516">
        <v>9522</v>
      </c>
      <c r="L516">
        <v>53958</v>
      </c>
      <c r="M516">
        <v>31143.55</v>
      </c>
      <c r="N516">
        <v>22814.45</v>
      </c>
      <c r="O516" t="s">
        <v>91</v>
      </c>
      <c r="P516">
        <v>1318.99</v>
      </c>
      <c r="Q516" t="s">
        <v>83</v>
      </c>
      <c r="R516" t="s">
        <v>41</v>
      </c>
      <c r="S516">
        <v>2</v>
      </c>
      <c r="T516">
        <v>1</v>
      </c>
      <c r="U516" t="s">
        <v>32</v>
      </c>
      <c r="V516" t="s">
        <v>33</v>
      </c>
      <c r="W516">
        <v>1</v>
      </c>
    </row>
    <row r="517" spans="1:23" x14ac:dyDescent="0.25">
      <c r="A517" t="s">
        <v>939</v>
      </c>
      <c r="B517" s="1">
        <v>45755</v>
      </c>
      <c r="C517" t="s">
        <v>299</v>
      </c>
      <c r="D517" t="s">
        <v>25</v>
      </c>
      <c r="E517" t="s">
        <v>36</v>
      </c>
      <c r="F517" t="s">
        <v>47</v>
      </c>
      <c r="G517" t="s">
        <v>105</v>
      </c>
      <c r="H517">
        <v>2</v>
      </c>
      <c r="I517">
        <v>26579</v>
      </c>
      <c r="J517">
        <v>0</v>
      </c>
      <c r="K517">
        <v>0</v>
      </c>
      <c r="L517">
        <v>53158</v>
      </c>
      <c r="M517">
        <v>43243.89</v>
      </c>
      <c r="N517">
        <v>9914.11</v>
      </c>
      <c r="O517" t="s">
        <v>49</v>
      </c>
      <c r="P517">
        <v>320</v>
      </c>
      <c r="Q517" t="s">
        <v>83</v>
      </c>
      <c r="R517" t="s">
        <v>41</v>
      </c>
      <c r="S517">
        <v>2</v>
      </c>
      <c r="T517">
        <v>3</v>
      </c>
      <c r="U517" t="s">
        <v>56</v>
      </c>
      <c r="V517" t="s">
        <v>33</v>
      </c>
      <c r="W517">
        <v>5</v>
      </c>
    </row>
    <row r="518" spans="1:23" x14ac:dyDescent="0.25">
      <c r="A518" t="s">
        <v>940</v>
      </c>
      <c r="B518" s="1">
        <v>45788</v>
      </c>
      <c r="C518" t="s">
        <v>941</v>
      </c>
      <c r="D518" t="s">
        <v>79</v>
      </c>
      <c r="E518" t="s">
        <v>26</v>
      </c>
      <c r="F518" t="s">
        <v>47</v>
      </c>
      <c r="G518" t="s">
        <v>64</v>
      </c>
      <c r="H518">
        <v>1</v>
      </c>
      <c r="I518">
        <v>40537</v>
      </c>
      <c r="J518">
        <v>0</v>
      </c>
      <c r="K518">
        <v>0</v>
      </c>
      <c r="L518">
        <v>40537</v>
      </c>
      <c r="M518">
        <v>32130.22</v>
      </c>
      <c r="N518">
        <v>8406.7800000000007</v>
      </c>
      <c r="O518" t="s">
        <v>91</v>
      </c>
      <c r="P518">
        <v>705.45</v>
      </c>
      <c r="Q518" t="s">
        <v>68</v>
      </c>
      <c r="R518" t="s">
        <v>41</v>
      </c>
      <c r="S518">
        <v>2</v>
      </c>
      <c r="T518">
        <v>3</v>
      </c>
      <c r="U518" t="s">
        <v>56</v>
      </c>
      <c r="V518" t="s">
        <v>33</v>
      </c>
      <c r="W518">
        <v>2</v>
      </c>
    </row>
    <row r="519" spans="1:23" x14ac:dyDescent="0.25">
      <c r="A519" t="s">
        <v>942</v>
      </c>
      <c r="B519" s="1">
        <v>45680</v>
      </c>
      <c r="C519" t="s">
        <v>943</v>
      </c>
      <c r="D519" t="s">
        <v>124</v>
      </c>
      <c r="E519" t="s">
        <v>46</v>
      </c>
      <c r="F519" t="s">
        <v>86</v>
      </c>
      <c r="G519" t="s">
        <v>94</v>
      </c>
      <c r="H519">
        <v>2</v>
      </c>
      <c r="I519">
        <v>70985</v>
      </c>
      <c r="J519">
        <v>15</v>
      </c>
      <c r="K519">
        <v>21295.5</v>
      </c>
      <c r="L519">
        <v>120674.5</v>
      </c>
      <c r="M519">
        <v>96423.03</v>
      </c>
      <c r="N519">
        <v>24251.47</v>
      </c>
      <c r="O519" t="s">
        <v>55</v>
      </c>
      <c r="P519">
        <v>1780.23</v>
      </c>
      <c r="Q519" t="s">
        <v>73</v>
      </c>
      <c r="R519" t="s">
        <v>31</v>
      </c>
      <c r="S519">
        <v>5</v>
      </c>
      <c r="T519">
        <v>3</v>
      </c>
      <c r="U519" t="s">
        <v>32</v>
      </c>
      <c r="V519" t="s">
        <v>33</v>
      </c>
      <c r="W519">
        <v>2</v>
      </c>
    </row>
    <row r="520" spans="1:23" x14ac:dyDescent="0.25">
      <c r="A520" t="s">
        <v>944</v>
      </c>
      <c r="B520" s="1">
        <v>46020</v>
      </c>
      <c r="C520" t="s">
        <v>945</v>
      </c>
      <c r="D520" t="s">
        <v>45</v>
      </c>
      <c r="E520" t="s">
        <v>46</v>
      </c>
      <c r="F520" t="s">
        <v>27</v>
      </c>
      <c r="G520" t="s">
        <v>164</v>
      </c>
      <c r="H520">
        <v>1</v>
      </c>
      <c r="I520">
        <v>18119</v>
      </c>
      <c r="J520">
        <v>10</v>
      </c>
      <c r="K520">
        <v>1811.9</v>
      </c>
      <c r="L520">
        <v>16307.1</v>
      </c>
      <c r="M520">
        <v>12561.21</v>
      </c>
      <c r="N520">
        <v>3745.89</v>
      </c>
      <c r="O520" t="s">
        <v>39</v>
      </c>
      <c r="P520">
        <v>1081.01</v>
      </c>
      <c r="Q520" t="s">
        <v>68</v>
      </c>
      <c r="R520" t="s">
        <v>31</v>
      </c>
      <c r="S520">
        <v>5</v>
      </c>
      <c r="T520">
        <v>4</v>
      </c>
      <c r="U520" t="s">
        <v>32</v>
      </c>
      <c r="V520" t="s">
        <v>42</v>
      </c>
    </row>
    <row r="521" spans="1:23" x14ac:dyDescent="0.25">
      <c r="A521" t="s">
        <v>946</v>
      </c>
      <c r="B521" s="1">
        <v>45881</v>
      </c>
      <c r="C521" t="s">
        <v>188</v>
      </c>
      <c r="D521" t="s">
        <v>79</v>
      </c>
      <c r="E521" t="s">
        <v>46</v>
      </c>
      <c r="F521" t="s">
        <v>37</v>
      </c>
      <c r="G521" t="s">
        <v>313</v>
      </c>
      <c r="H521">
        <v>1</v>
      </c>
      <c r="I521">
        <v>23233</v>
      </c>
      <c r="J521">
        <v>25</v>
      </c>
      <c r="K521">
        <v>5808.25</v>
      </c>
      <c r="L521">
        <v>17424.75</v>
      </c>
      <c r="M521">
        <v>11240.85</v>
      </c>
      <c r="N521">
        <v>6183.9</v>
      </c>
      <c r="O521" t="s">
        <v>60</v>
      </c>
      <c r="P521">
        <v>2060.79</v>
      </c>
      <c r="Q521" t="s">
        <v>30</v>
      </c>
      <c r="R521" t="s">
        <v>31</v>
      </c>
      <c r="S521">
        <v>5</v>
      </c>
      <c r="T521">
        <v>6</v>
      </c>
      <c r="U521" t="s">
        <v>56</v>
      </c>
      <c r="V521" t="s">
        <v>33</v>
      </c>
      <c r="W521">
        <v>2</v>
      </c>
    </row>
    <row r="522" spans="1:23" x14ac:dyDescent="0.25">
      <c r="A522" t="s">
        <v>947</v>
      </c>
      <c r="B522" s="1">
        <v>45658</v>
      </c>
      <c r="C522" t="s">
        <v>948</v>
      </c>
      <c r="D522" t="s">
        <v>79</v>
      </c>
      <c r="E522" t="s">
        <v>26</v>
      </c>
      <c r="F522" t="s">
        <v>47</v>
      </c>
      <c r="G522" t="s">
        <v>48</v>
      </c>
      <c r="H522">
        <v>1</v>
      </c>
      <c r="I522">
        <v>27607</v>
      </c>
      <c r="J522">
        <v>0</v>
      </c>
      <c r="K522">
        <v>0</v>
      </c>
      <c r="L522">
        <v>27607</v>
      </c>
      <c r="M522">
        <v>20526.82</v>
      </c>
      <c r="N522">
        <v>7080.18</v>
      </c>
      <c r="O522" t="s">
        <v>91</v>
      </c>
      <c r="P522">
        <v>2029.05</v>
      </c>
      <c r="Q522" t="s">
        <v>68</v>
      </c>
      <c r="R522" t="s">
        <v>41</v>
      </c>
      <c r="S522">
        <v>2</v>
      </c>
      <c r="T522">
        <v>1</v>
      </c>
      <c r="U522" t="s">
        <v>32</v>
      </c>
      <c r="V522" t="s">
        <v>33</v>
      </c>
      <c r="W522">
        <v>5</v>
      </c>
    </row>
    <row r="523" spans="1:23" x14ac:dyDescent="0.25">
      <c r="A523" t="s">
        <v>949</v>
      </c>
      <c r="B523" s="1">
        <v>45924</v>
      </c>
      <c r="C523" t="s">
        <v>604</v>
      </c>
      <c r="D523" t="s">
        <v>63</v>
      </c>
      <c r="E523" t="s">
        <v>46</v>
      </c>
      <c r="F523" t="s">
        <v>37</v>
      </c>
      <c r="G523" t="s">
        <v>224</v>
      </c>
      <c r="H523">
        <v>1</v>
      </c>
      <c r="I523">
        <v>31639</v>
      </c>
      <c r="J523">
        <v>15</v>
      </c>
      <c r="K523">
        <v>4745.8500000000004</v>
      </c>
      <c r="L523">
        <v>26893.15</v>
      </c>
      <c r="M523">
        <v>17098.7</v>
      </c>
      <c r="N523">
        <v>9794.4500000000007</v>
      </c>
      <c r="O523" t="s">
        <v>29</v>
      </c>
      <c r="P523">
        <v>314.22000000000003</v>
      </c>
      <c r="Q523" t="s">
        <v>30</v>
      </c>
      <c r="R523" t="s">
        <v>31</v>
      </c>
      <c r="S523">
        <v>5</v>
      </c>
      <c r="T523">
        <v>6</v>
      </c>
      <c r="U523" t="s">
        <v>56</v>
      </c>
      <c r="V523" t="s">
        <v>33</v>
      </c>
      <c r="W523">
        <v>2</v>
      </c>
    </row>
    <row r="524" spans="1:23" x14ac:dyDescent="0.25">
      <c r="A524" t="s">
        <v>950</v>
      </c>
      <c r="B524" s="1">
        <v>45933</v>
      </c>
      <c r="C524" t="s">
        <v>99</v>
      </c>
      <c r="D524" t="s">
        <v>71</v>
      </c>
      <c r="E524" t="s">
        <v>46</v>
      </c>
      <c r="F524" t="s">
        <v>27</v>
      </c>
      <c r="G524" t="s">
        <v>164</v>
      </c>
      <c r="H524">
        <v>1</v>
      </c>
      <c r="I524">
        <v>11247</v>
      </c>
      <c r="J524">
        <v>10</v>
      </c>
      <c r="K524">
        <v>1124.7</v>
      </c>
      <c r="L524">
        <v>10122.299999999999</v>
      </c>
      <c r="M524">
        <v>5616.01</v>
      </c>
      <c r="N524">
        <v>4506.29</v>
      </c>
      <c r="O524" t="s">
        <v>55</v>
      </c>
      <c r="P524">
        <v>854.04</v>
      </c>
      <c r="Q524" t="s">
        <v>30</v>
      </c>
      <c r="R524" t="s">
        <v>31</v>
      </c>
      <c r="S524">
        <v>5</v>
      </c>
      <c r="T524">
        <v>3</v>
      </c>
      <c r="U524" t="s">
        <v>32</v>
      </c>
      <c r="V524" t="s">
        <v>42</v>
      </c>
    </row>
    <row r="525" spans="1:23" x14ac:dyDescent="0.25">
      <c r="A525" t="s">
        <v>951</v>
      </c>
      <c r="B525" s="1">
        <v>46009</v>
      </c>
      <c r="C525" t="s">
        <v>952</v>
      </c>
      <c r="D525" t="s">
        <v>90</v>
      </c>
      <c r="E525" t="s">
        <v>26</v>
      </c>
      <c r="F525" t="s">
        <v>53</v>
      </c>
      <c r="G525" t="s">
        <v>82</v>
      </c>
      <c r="H525">
        <v>1</v>
      </c>
      <c r="I525">
        <v>21467</v>
      </c>
      <c r="J525">
        <v>10</v>
      </c>
      <c r="K525">
        <v>2146.6999999999998</v>
      </c>
      <c r="L525">
        <v>19320.3</v>
      </c>
      <c r="M525">
        <v>12714.55</v>
      </c>
      <c r="N525">
        <v>6605.75</v>
      </c>
      <c r="O525" t="s">
        <v>39</v>
      </c>
      <c r="P525">
        <v>1608.34</v>
      </c>
      <c r="Q525" t="s">
        <v>30</v>
      </c>
      <c r="R525" t="s">
        <v>41</v>
      </c>
      <c r="S525">
        <v>2</v>
      </c>
      <c r="T525">
        <v>3</v>
      </c>
      <c r="U525" t="s">
        <v>32</v>
      </c>
      <c r="V525" t="s">
        <v>42</v>
      </c>
    </row>
    <row r="526" spans="1:23" x14ac:dyDescent="0.25">
      <c r="A526" t="s">
        <v>953</v>
      </c>
      <c r="B526" s="1">
        <v>46001</v>
      </c>
      <c r="C526" t="s">
        <v>954</v>
      </c>
      <c r="D526" t="s">
        <v>79</v>
      </c>
      <c r="E526" t="s">
        <v>36</v>
      </c>
      <c r="F526" t="s">
        <v>86</v>
      </c>
      <c r="G526" t="s">
        <v>127</v>
      </c>
      <c r="H526">
        <v>1</v>
      </c>
      <c r="I526">
        <v>7362</v>
      </c>
      <c r="J526">
        <v>10</v>
      </c>
      <c r="K526">
        <v>736.2</v>
      </c>
      <c r="L526">
        <v>6625.8</v>
      </c>
      <c r="M526">
        <v>5185.1899999999996</v>
      </c>
      <c r="N526">
        <v>1440.61</v>
      </c>
      <c r="O526" t="s">
        <v>39</v>
      </c>
      <c r="P526">
        <v>402.44</v>
      </c>
      <c r="Q526" t="s">
        <v>73</v>
      </c>
      <c r="R526" t="s">
        <v>41</v>
      </c>
      <c r="S526">
        <v>2</v>
      </c>
      <c r="T526">
        <v>1</v>
      </c>
      <c r="U526" t="s">
        <v>32</v>
      </c>
      <c r="V526" t="s">
        <v>50</v>
      </c>
      <c r="W526">
        <v>2</v>
      </c>
    </row>
    <row r="527" spans="1:23" x14ac:dyDescent="0.25">
      <c r="A527" t="s">
        <v>955</v>
      </c>
      <c r="B527" s="1">
        <v>45758</v>
      </c>
      <c r="C527" t="s">
        <v>66</v>
      </c>
      <c r="D527" t="s">
        <v>63</v>
      </c>
      <c r="E527" t="s">
        <v>46</v>
      </c>
      <c r="F527" t="s">
        <v>37</v>
      </c>
      <c r="G527" t="s">
        <v>224</v>
      </c>
      <c r="H527">
        <v>3</v>
      </c>
      <c r="I527">
        <v>28874</v>
      </c>
      <c r="J527">
        <v>10</v>
      </c>
      <c r="K527">
        <v>8662.2000000000007</v>
      </c>
      <c r="L527">
        <v>77959.8</v>
      </c>
      <c r="M527">
        <v>57584.19</v>
      </c>
      <c r="N527">
        <v>20375.61</v>
      </c>
      <c r="O527" t="s">
        <v>55</v>
      </c>
      <c r="P527">
        <v>490.46</v>
      </c>
      <c r="Q527" t="s">
        <v>68</v>
      </c>
      <c r="R527" t="s">
        <v>41</v>
      </c>
      <c r="S527">
        <v>2</v>
      </c>
      <c r="T527">
        <v>1</v>
      </c>
      <c r="U527" t="s">
        <v>32</v>
      </c>
      <c r="V527" t="s">
        <v>33</v>
      </c>
      <c r="W527">
        <v>1</v>
      </c>
    </row>
    <row r="528" spans="1:23" x14ac:dyDescent="0.25">
      <c r="A528" t="s">
        <v>956</v>
      </c>
      <c r="B528" s="1">
        <v>45844</v>
      </c>
      <c r="C528" t="s">
        <v>297</v>
      </c>
      <c r="D528" t="s">
        <v>79</v>
      </c>
      <c r="E528" t="s">
        <v>26</v>
      </c>
      <c r="F528" t="s">
        <v>37</v>
      </c>
      <c r="G528" t="s">
        <v>100</v>
      </c>
      <c r="H528">
        <v>2</v>
      </c>
      <c r="I528">
        <v>35634</v>
      </c>
      <c r="J528">
        <v>5</v>
      </c>
      <c r="K528">
        <v>3563.4</v>
      </c>
      <c r="L528">
        <v>67704.600000000006</v>
      </c>
      <c r="M528">
        <v>38915.64</v>
      </c>
      <c r="N528">
        <v>28788.959999999999</v>
      </c>
      <c r="O528" t="s">
        <v>29</v>
      </c>
      <c r="P528">
        <v>1484.59</v>
      </c>
      <c r="Q528" t="s">
        <v>68</v>
      </c>
      <c r="R528" t="s">
        <v>31</v>
      </c>
      <c r="S528">
        <v>5</v>
      </c>
      <c r="T528">
        <v>1</v>
      </c>
      <c r="U528" t="s">
        <v>32</v>
      </c>
      <c r="V528" t="s">
        <v>33</v>
      </c>
      <c r="W528">
        <v>3</v>
      </c>
    </row>
    <row r="529" spans="1:23" x14ac:dyDescent="0.25">
      <c r="A529" t="s">
        <v>957</v>
      </c>
      <c r="B529" s="1">
        <v>45878</v>
      </c>
      <c r="C529" t="s">
        <v>958</v>
      </c>
      <c r="D529" t="s">
        <v>67</v>
      </c>
      <c r="E529" t="s">
        <v>46</v>
      </c>
      <c r="F529" t="s">
        <v>47</v>
      </c>
      <c r="G529" t="s">
        <v>138</v>
      </c>
      <c r="H529">
        <v>2</v>
      </c>
      <c r="I529">
        <v>32235</v>
      </c>
      <c r="J529">
        <v>10</v>
      </c>
      <c r="K529">
        <v>6447</v>
      </c>
      <c r="L529">
        <v>58023</v>
      </c>
      <c r="M529">
        <v>35181.58</v>
      </c>
      <c r="N529">
        <v>22841.42</v>
      </c>
      <c r="O529" t="s">
        <v>55</v>
      </c>
      <c r="P529">
        <v>2372.08</v>
      </c>
      <c r="Q529" t="s">
        <v>30</v>
      </c>
      <c r="R529" t="s">
        <v>41</v>
      </c>
      <c r="S529">
        <v>2</v>
      </c>
      <c r="T529">
        <v>6</v>
      </c>
      <c r="U529" t="s">
        <v>32</v>
      </c>
      <c r="V529" t="s">
        <v>42</v>
      </c>
    </row>
    <row r="530" spans="1:23" x14ac:dyDescent="0.25">
      <c r="A530" t="s">
        <v>959</v>
      </c>
      <c r="B530" s="1">
        <v>45693</v>
      </c>
      <c r="C530" t="s">
        <v>215</v>
      </c>
      <c r="D530" t="s">
        <v>154</v>
      </c>
      <c r="E530" t="s">
        <v>36</v>
      </c>
      <c r="F530" t="s">
        <v>47</v>
      </c>
      <c r="G530" t="s">
        <v>64</v>
      </c>
      <c r="H530">
        <v>1</v>
      </c>
      <c r="I530">
        <v>47663</v>
      </c>
      <c r="J530">
        <v>5</v>
      </c>
      <c r="K530">
        <v>2383.15</v>
      </c>
      <c r="L530">
        <v>45279.85</v>
      </c>
      <c r="M530">
        <v>25743.07</v>
      </c>
      <c r="N530">
        <v>19536.78</v>
      </c>
      <c r="O530" t="s">
        <v>91</v>
      </c>
      <c r="P530">
        <v>906.44</v>
      </c>
      <c r="Q530" t="s">
        <v>40</v>
      </c>
      <c r="R530" t="s">
        <v>31</v>
      </c>
      <c r="S530">
        <v>5</v>
      </c>
      <c r="T530">
        <v>5</v>
      </c>
      <c r="U530" t="s">
        <v>32</v>
      </c>
      <c r="V530" t="s">
        <v>33</v>
      </c>
      <c r="W530">
        <v>5</v>
      </c>
    </row>
    <row r="531" spans="1:23" x14ac:dyDescent="0.25">
      <c r="A531" t="s">
        <v>960</v>
      </c>
      <c r="B531" s="1">
        <v>45998</v>
      </c>
      <c r="C531" t="s">
        <v>961</v>
      </c>
      <c r="D531" t="s">
        <v>79</v>
      </c>
      <c r="E531" t="s">
        <v>46</v>
      </c>
      <c r="F531" t="s">
        <v>53</v>
      </c>
      <c r="G531" t="s">
        <v>268</v>
      </c>
      <c r="H531">
        <v>1</v>
      </c>
      <c r="I531">
        <v>69404</v>
      </c>
      <c r="J531">
        <v>25</v>
      </c>
      <c r="K531">
        <v>17351</v>
      </c>
      <c r="L531">
        <v>52053</v>
      </c>
      <c r="M531">
        <v>34990.71</v>
      </c>
      <c r="N531">
        <v>17062.29</v>
      </c>
      <c r="O531" t="s">
        <v>49</v>
      </c>
      <c r="P531">
        <v>87.83</v>
      </c>
      <c r="Q531" t="s">
        <v>30</v>
      </c>
      <c r="R531" t="s">
        <v>31</v>
      </c>
      <c r="S531">
        <v>5</v>
      </c>
      <c r="T531">
        <v>3</v>
      </c>
      <c r="U531" t="s">
        <v>32</v>
      </c>
      <c r="V531" t="s">
        <v>33</v>
      </c>
      <c r="W531">
        <v>5</v>
      </c>
    </row>
    <row r="532" spans="1:23" x14ac:dyDescent="0.25">
      <c r="A532" t="s">
        <v>962</v>
      </c>
      <c r="B532" s="1">
        <v>45827</v>
      </c>
      <c r="C532" t="s">
        <v>963</v>
      </c>
      <c r="D532" t="s">
        <v>97</v>
      </c>
      <c r="E532" t="s">
        <v>26</v>
      </c>
      <c r="F532" t="s">
        <v>47</v>
      </c>
      <c r="G532" t="s">
        <v>146</v>
      </c>
      <c r="H532">
        <v>1</v>
      </c>
      <c r="I532">
        <v>31233</v>
      </c>
      <c r="J532">
        <v>15</v>
      </c>
      <c r="K532">
        <v>4684.95</v>
      </c>
      <c r="L532">
        <v>26548.05</v>
      </c>
      <c r="M532">
        <v>15991.52</v>
      </c>
      <c r="N532">
        <v>10556.53</v>
      </c>
      <c r="O532" t="s">
        <v>60</v>
      </c>
      <c r="P532">
        <v>1566.31</v>
      </c>
      <c r="Q532" t="s">
        <v>40</v>
      </c>
      <c r="R532" t="s">
        <v>41</v>
      </c>
      <c r="S532">
        <v>2</v>
      </c>
      <c r="T532">
        <v>3</v>
      </c>
      <c r="U532" t="s">
        <v>56</v>
      </c>
      <c r="V532" t="s">
        <v>33</v>
      </c>
      <c r="W532">
        <v>2</v>
      </c>
    </row>
    <row r="533" spans="1:23" x14ac:dyDescent="0.25">
      <c r="A533" t="s">
        <v>964</v>
      </c>
      <c r="B533" s="1">
        <v>45977</v>
      </c>
      <c r="C533" t="s">
        <v>506</v>
      </c>
      <c r="D533" t="s">
        <v>71</v>
      </c>
      <c r="E533" t="s">
        <v>26</v>
      </c>
      <c r="F533" t="s">
        <v>37</v>
      </c>
      <c r="G533" t="s">
        <v>100</v>
      </c>
      <c r="H533">
        <v>2</v>
      </c>
      <c r="I533">
        <v>6338</v>
      </c>
      <c r="J533">
        <v>10</v>
      </c>
      <c r="K533">
        <v>1267.5999999999999</v>
      </c>
      <c r="L533">
        <v>11408.4</v>
      </c>
      <c r="M533">
        <v>7010.09</v>
      </c>
      <c r="N533">
        <v>4398.3100000000004</v>
      </c>
      <c r="O533" t="s">
        <v>55</v>
      </c>
      <c r="P533">
        <v>720.87</v>
      </c>
      <c r="Q533" t="s">
        <v>40</v>
      </c>
      <c r="R533" t="s">
        <v>31</v>
      </c>
      <c r="S533">
        <v>5</v>
      </c>
      <c r="T533">
        <v>2</v>
      </c>
      <c r="U533" t="s">
        <v>32</v>
      </c>
      <c r="V533" t="s">
        <v>42</v>
      </c>
    </row>
    <row r="534" spans="1:23" x14ac:dyDescent="0.25">
      <c r="A534" t="s">
        <v>965</v>
      </c>
      <c r="B534" s="1">
        <v>45818</v>
      </c>
      <c r="C534" t="s">
        <v>484</v>
      </c>
      <c r="D534" t="s">
        <v>79</v>
      </c>
      <c r="E534" t="s">
        <v>26</v>
      </c>
      <c r="F534" t="s">
        <v>27</v>
      </c>
      <c r="G534" t="s">
        <v>113</v>
      </c>
      <c r="H534">
        <v>3</v>
      </c>
      <c r="I534">
        <v>9104</v>
      </c>
      <c r="J534">
        <v>10</v>
      </c>
      <c r="K534">
        <v>2731.2</v>
      </c>
      <c r="L534">
        <v>24580.799999999999</v>
      </c>
      <c r="M534">
        <v>17746.419999999998</v>
      </c>
      <c r="N534">
        <v>6834.38</v>
      </c>
      <c r="O534" t="s">
        <v>91</v>
      </c>
      <c r="P534">
        <v>416.76</v>
      </c>
      <c r="Q534" t="s">
        <v>40</v>
      </c>
      <c r="R534" t="s">
        <v>41</v>
      </c>
      <c r="S534">
        <v>2</v>
      </c>
      <c r="T534">
        <v>5</v>
      </c>
      <c r="U534" t="s">
        <v>32</v>
      </c>
      <c r="V534" t="s">
        <v>50</v>
      </c>
      <c r="W534">
        <v>1</v>
      </c>
    </row>
    <row r="535" spans="1:23" x14ac:dyDescent="0.25">
      <c r="A535" t="s">
        <v>966</v>
      </c>
      <c r="B535" s="1">
        <v>45997</v>
      </c>
      <c r="C535" t="s">
        <v>857</v>
      </c>
      <c r="D535" t="s">
        <v>124</v>
      </c>
      <c r="E535" t="s">
        <v>46</v>
      </c>
      <c r="F535" t="s">
        <v>37</v>
      </c>
      <c r="G535" t="s">
        <v>100</v>
      </c>
      <c r="H535">
        <v>1</v>
      </c>
      <c r="I535">
        <v>4834</v>
      </c>
      <c r="J535">
        <v>20</v>
      </c>
      <c r="K535">
        <v>966.8</v>
      </c>
      <c r="L535">
        <v>3867.2</v>
      </c>
      <c r="M535">
        <v>2573.77</v>
      </c>
      <c r="N535">
        <v>1293.43</v>
      </c>
      <c r="O535" t="s">
        <v>91</v>
      </c>
      <c r="P535">
        <v>2226.89</v>
      </c>
      <c r="Q535" t="s">
        <v>68</v>
      </c>
      <c r="R535" t="s">
        <v>31</v>
      </c>
      <c r="S535">
        <v>5</v>
      </c>
      <c r="T535">
        <v>2</v>
      </c>
      <c r="U535" t="s">
        <v>32</v>
      </c>
      <c r="V535" t="s">
        <v>33</v>
      </c>
      <c r="W535">
        <v>3</v>
      </c>
    </row>
    <row r="536" spans="1:23" x14ac:dyDescent="0.25">
      <c r="A536" t="s">
        <v>967</v>
      </c>
      <c r="B536" s="1">
        <v>45721</v>
      </c>
      <c r="C536" t="s">
        <v>929</v>
      </c>
      <c r="D536" t="s">
        <v>67</v>
      </c>
      <c r="E536" t="s">
        <v>46</v>
      </c>
      <c r="F536" t="s">
        <v>53</v>
      </c>
      <c r="G536" t="s">
        <v>82</v>
      </c>
      <c r="H536">
        <v>3</v>
      </c>
      <c r="I536">
        <v>70940</v>
      </c>
      <c r="J536">
        <v>5</v>
      </c>
      <c r="K536">
        <v>10641</v>
      </c>
      <c r="L536">
        <v>202179</v>
      </c>
      <c r="M536">
        <v>139872.01999999999</v>
      </c>
      <c r="N536">
        <v>62306.98</v>
      </c>
      <c r="O536" t="s">
        <v>29</v>
      </c>
      <c r="P536">
        <v>415.99</v>
      </c>
      <c r="Q536" t="s">
        <v>73</v>
      </c>
      <c r="R536" t="s">
        <v>31</v>
      </c>
      <c r="S536">
        <v>5</v>
      </c>
      <c r="T536">
        <v>3</v>
      </c>
      <c r="U536" t="s">
        <v>32</v>
      </c>
      <c r="V536" t="s">
        <v>33</v>
      </c>
      <c r="W536">
        <v>5</v>
      </c>
    </row>
    <row r="537" spans="1:23" x14ac:dyDescent="0.25">
      <c r="A537" t="s">
        <v>968</v>
      </c>
      <c r="B537" s="1">
        <v>45811</v>
      </c>
      <c r="C537" t="s">
        <v>969</v>
      </c>
      <c r="D537" t="s">
        <v>25</v>
      </c>
      <c r="E537" t="s">
        <v>46</v>
      </c>
      <c r="F537" t="s">
        <v>86</v>
      </c>
      <c r="G537" t="s">
        <v>127</v>
      </c>
      <c r="H537">
        <v>1</v>
      </c>
      <c r="I537">
        <v>7777</v>
      </c>
      <c r="J537">
        <v>10</v>
      </c>
      <c r="K537">
        <v>777.7</v>
      </c>
      <c r="L537">
        <v>6999.3</v>
      </c>
      <c r="M537">
        <v>5534.14</v>
      </c>
      <c r="N537">
        <v>1465.16</v>
      </c>
      <c r="O537" t="s">
        <v>29</v>
      </c>
      <c r="P537">
        <v>1777.3</v>
      </c>
      <c r="Q537" t="s">
        <v>83</v>
      </c>
      <c r="R537" t="s">
        <v>41</v>
      </c>
      <c r="S537">
        <v>2</v>
      </c>
      <c r="T537">
        <v>0</v>
      </c>
      <c r="U537" t="s">
        <v>32</v>
      </c>
      <c r="V537" t="s">
        <v>50</v>
      </c>
      <c r="W537">
        <v>3</v>
      </c>
    </row>
    <row r="538" spans="1:23" x14ac:dyDescent="0.25">
      <c r="A538" t="s">
        <v>970</v>
      </c>
      <c r="B538" s="1">
        <v>45917</v>
      </c>
      <c r="C538" t="s">
        <v>584</v>
      </c>
      <c r="D538" t="s">
        <v>154</v>
      </c>
      <c r="E538" t="s">
        <v>26</v>
      </c>
      <c r="F538" t="s">
        <v>47</v>
      </c>
      <c r="G538" t="s">
        <v>105</v>
      </c>
      <c r="H538">
        <v>1</v>
      </c>
      <c r="I538">
        <v>52600</v>
      </c>
      <c r="J538">
        <v>0</v>
      </c>
      <c r="K538">
        <v>0</v>
      </c>
      <c r="L538">
        <v>52600</v>
      </c>
      <c r="M538">
        <v>31682.95</v>
      </c>
      <c r="N538">
        <v>20917.05</v>
      </c>
      <c r="O538" t="s">
        <v>39</v>
      </c>
      <c r="P538">
        <v>2217.4299999999998</v>
      </c>
      <c r="Q538" t="s">
        <v>40</v>
      </c>
      <c r="R538" t="s">
        <v>31</v>
      </c>
      <c r="S538">
        <v>5</v>
      </c>
      <c r="T538">
        <v>3</v>
      </c>
      <c r="U538" t="s">
        <v>32</v>
      </c>
      <c r="V538" t="s">
        <v>33</v>
      </c>
      <c r="W538">
        <v>3</v>
      </c>
    </row>
    <row r="539" spans="1:23" x14ac:dyDescent="0.25">
      <c r="A539" t="s">
        <v>971</v>
      </c>
      <c r="B539" s="1">
        <v>45816</v>
      </c>
      <c r="C539" t="s">
        <v>176</v>
      </c>
      <c r="D539" t="s">
        <v>63</v>
      </c>
      <c r="E539" t="s">
        <v>46</v>
      </c>
      <c r="F539" t="s">
        <v>27</v>
      </c>
      <c r="G539" t="s">
        <v>28</v>
      </c>
      <c r="H539">
        <v>1</v>
      </c>
      <c r="I539">
        <v>13635</v>
      </c>
      <c r="J539">
        <v>0</v>
      </c>
      <c r="K539">
        <v>0</v>
      </c>
      <c r="L539">
        <v>13635</v>
      </c>
      <c r="M539">
        <v>9632.7099999999991</v>
      </c>
      <c r="N539">
        <v>4002.29</v>
      </c>
      <c r="O539" t="s">
        <v>49</v>
      </c>
      <c r="P539">
        <v>105.33</v>
      </c>
      <c r="Q539" t="s">
        <v>30</v>
      </c>
      <c r="R539" t="s">
        <v>41</v>
      </c>
      <c r="S539">
        <v>2</v>
      </c>
      <c r="T539">
        <v>6</v>
      </c>
      <c r="U539" t="s">
        <v>32</v>
      </c>
      <c r="V539" t="s">
        <v>50</v>
      </c>
      <c r="W539">
        <v>5</v>
      </c>
    </row>
    <row r="540" spans="1:23" x14ac:dyDescent="0.25">
      <c r="A540" t="s">
        <v>972</v>
      </c>
      <c r="B540" s="1">
        <v>45999</v>
      </c>
      <c r="C540" t="s">
        <v>973</v>
      </c>
      <c r="D540" t="s">
        <v>79</v>
      </c>
      <c r="E540" t="s">
        <v>26</v>
      </c>
      <c r="F540" t="s">
        <v>37</v>
      </c>
      <c r="G540" t="s">
        <v>313</v>
      </c>
      <c r="H540">
        <v>2</v>
      </c>
      <c r="I540">
        <v>22991</v>
      </c>
      <c r="J540">
        <v>25</v>
      </c>
      <c r="K540">
        <v>11495.5</v>
      </c>
      <c r="L540">
        <v>34486.5</v>
      </c>
      <c r="M540">
        <v>25153.3</v>
      </c>
      <c r="N540">
        <v>9333.2000000000007</v>
      </c>
      <c r="O540" t="s">
        <v>55</v>
      </c>
      <c r="P540">
        <v>348.62</v>
      </c>
      <c r="Q540" t="s">
        <v>73</v>
      </c>
      <c r="R540" t="s">
        <v>41</v>
      </c>
      <c r="S540">
        <v>2</v>
      </c>
      <c r="T540">
        <v>4</v>
      </c>
      <c r="U540" t="s">
        <v>56</v>
      </c>
      <c r="V540" t="s">
        <v>33</v>
      </c>
      <c r="W540">
        <v>3</v>
      </c>
    </row>
    <row r="541" spans="1:23" x14ac:dyDescent="0.25">
      <c r="A541" t="s">
        <v>974</v>
      </c>
      <c r="B541" s="1">
        <v>45867</v>
      </c>
      <c r="C541" t="s">
        <v>400</v>
      </c>
      <c r="D541" t="s">
        <v>124</v>
      </c>
      <c r="E541" t="s">
        <v>36</v>
      </c>
      <c r="F541" t="s">
        <v>53</v>
      </c>
      <c r="G541" t="s">
        <v>54</v>
      </c>
      <c r="H541">
        <v>1</v>
      </c>
      <c r="I541">
        <v>73011</v>
      </c>
      <c r="J541">
        <v>0</v>
      </c>
      <c r="K541">
        <v>0</v>
      </c>
      <c r="L541">
        <v>73011</v>
      </c>
      <c r="M541">
        <v>41139.769999999997</v>
      </c>
      <c r="N541">
        <v>31871.23</v>
      </c>
      <c r="O541" t="s">
        <v>39</v>
      </c>
      <c r="P541">
        <v>2006.11</v>
      </c>
      <c r="Q541" t="s">
        <v>40</v>
      </c>
      <c r="R541" t="s">
        <v>41</v>
      </c>
      <c r="S541">
        <v>2</v>
      </c>
      <c r="T541">
        <v>1</v>
      </c>
      <c r="U541" t="s">
        <v>32</v>
      </c>
      <c r="V541" t="s">
        <v>33</v>
      </c>
      <c r="W541">
        <v>3</v>
      </c>
    </row>
    <row r="542" spans="1:23" x14ac:dyDescent="0.25">
      <c r="A542" t="s">
        <v>975</v>
      </c>
      <c r="B542" s="1">
        <v>45825</v>
      </c>
      <c r="C542" t="s">
        <v>423</v>
      </c>
      <c r="D542" t="s">
        <v>63</v>
      </c>
      <c r="E542" t="s">
        <v>36</v>
      </c>
      <c r="F542" t="s">
        <v>37</v>
      </c>
      <c r="G542" t="s">
        <v>161</v>
      </c>
      <c r="H542">
        <v>1</v>
      </c>
      <c r="I542">
        <v>6106</v>
      </c>
      <c r="J542">
        <v>20</v>
      </c>
      <c r="K542">
        <v>1221.2</v>
      </c>
      <c r="L542">
        <v>4884.8</v>
      </c>
      <c r="M542">
        <v>3917.08</v>
      </c>
      <c r="N542">
        <v>967.72</v>
      </c>
      <c r="O542" t="s">
        <v>91</v>
      </c>
      <c r="P542">
        <v>1117.96</v>
      </c>
      <c r="Q542" t="s">
        <v>83</v>
      </c>
      <c r="R542" t="s">
        <v>41</v>
      </c>
      <c r="S542">
        <v>2</v>
      </c>
      <c r="T542">
        <v>3</v>
      </c>
      <c r="U542" t="s">
        <v>56</v>
      </c>
      <c r="V542" t="s">
        <v>33</v>
      </c>
      <c r="W542">
        <v>4</v>
      </c>
    </row>
    <row r="543" spans="1:23" x14ac:dyDescent="0.25">
      <c r="A543" t="s">
        <v>976</v>
      </c>
      <c r="B543" s="1">
        <v>45864</v>
      </c>
      <c r="C543" t="s">
        <v>977</v>
      </c>
      <c r="D543" t="s">
        <v>154</v>
      </c>
      <c r="E543" t="s">
        <v>46</v>
      </c>
      <c r="F543" t="s">
        <v>86</v>
      </c>
      <c r="G543" t="s">
        <v>94</v>
      </c>
      <c r="H543">
        <v>3</v>
      </c>
      <c r="I543">
        <v>24242</v>
      </c>
      <c r="J543">
        <v>10</v>
      </c>
      <c r="K543">
        <v>7272.6</v>
      </c>
      <c r="L543">
        <v>65453.4</v>
      </c>
      <c r="M543">
        <v>38397.35</v>
      </c>
      <c r="N543">
        <v>27056.05</v>
      </c>
      <c r="O543" t="s">
        <v>29</v>
      </c>
      <c r="P543">
        <v>901.49</v>
      </c>
      <c r="Q543" t="s">
        <v>73</v>
      </c>
      <c r="R543" t="s">
        <v>31</v>
      </c>
      <c r="S543">
        <v>5</v>
      </c>
      <c r="T543">
        <v>2</v>
      </c>
      <c r="U543" t="s">
        <v>32</v>
      </c>
      <c r="V543" t="s">
        <v>42</v>
      </c>
    </row>
    <row r="544" spans="1:23" x14ac:dyDescent="0.25">
      <c r="A544" t="s">
        <v>978</v>
      </c>
      <c r="B544" s="1">
        <v>46014</v>
      </c>
      <c r="C544" t="s">
        <v>979</v>
      </c>
      <c r="D544" t="s">
        <v>154</v>
      </c>
      <c r="E544" t="s">
        <v>26</v>
      </c>
      <c r="F544" t="s">
        <v>37</v>
      </c>
      <c r="G544" t="s">
        <v>100</v>
      </c>
      <c r="H544">
        <v>2</v>
      </c>
      <c r="I544">
        <v>24529</v>
      </c>
      <c r="J544">
        <v>25</v>
      </c>
      <c r="K544">
        <v>12264.5</v>
      </c>
      <c r="L544">
        <v>36793.5</v>
      </c>
      <c r="M544">
        <v>29523.75</v>
      </c>
      <c r="N544">
        <v>7269.75</v>
      </c>
      <c r="O544" t="s">
        <v>60</v>
      </c>
      <c r="P544">
        <v>1183.6400000000001</v>
      </c>
      <c r="Q544" t="s">
        <v>30</v>
      </c>
      <c r="R544" t="s">
        <v>41</v>
      </c>
      <c r="S544">
        <v>2</v>
      </c>
      <c r="T544">
        <v>3</v>
      </c>
      <c r="U544" t="s">
        <v>32</v>
      </c>
      <c r="V544" t="s">
        <v>50</v>
      </c>
      <c r="W544">
        <v>3</v>
      </c>
    </row>
    <row r="545" spans="1:23" x14ac:dyDescent="0.25">
      <c r="A545" t="s">
        <v>980</v>
      </c>
      <c r="B545" s="1">
        <v>45809</v>
      </c>
      <c r="C545" t="s">
        <v>675</v>
      </c>
      <c r="D545" t="s">
        <v>97</v>
      </c>
      <c r="E545" t="s">
        <v>36</v>
      </c>
      <c r="F545" t="s">
        <v>27</v>
      </c>
      <c r="G545" t="s">
        <v>113</v>
      </c>
      <c r="H545">
        <v>1</v>
      </c>
      <c r="I545">
        <v>29276</v>
      </c>
      <c r="J545">
        <v>25</v>
      </c>
      <c r="K545">
        <v>7319</v>
      </c>
      <c r="L545">
        <v>21957</v>
      </c>
      <c r="M545">
        <v>14288.3</v>
      </c>
      <c r="N545">
        <v>7668.7</v>
      </c>
      <c r="O545" t="s">
        <v>55</v>
      </c>
      <c r="P545">
        <v>1937.27</v>
      </c>
      <c r="Q545" t="s">
        <v>30</v>
      </c>
      <c r="R545" t="s">
        <v>41</v>
      </c>
      <c r="S545">
        <v>2</v>
      </c>
      <c r="T545">
        <v>0</v>
      </c>
      <c r="U545" t="s">
        <v>32</v>
      </c>
      <c r="V545" t="s">
        <v>42</v>
      </c>
    </row>
    <row r="546" spans="1:23" x14ac:dyDescent="0.25">
      <c r="A546" t="s">
        <v>981</v>
      </c>
      <c r="B546" s="1">
        <v>45941</v>
      </c>
      <c r="C546" t="s">
        <v>404</v>
      </c>
      <c r="D546" t="s">
        <v>67</v>
      </c>
      <c r="E546" t="s">
        <v>26</v>
      </c>
      <c r="F546" t="s">
        <v>47</v>
      </c>
      <c r="G546" t="s">
        <v>105</v>
      </c>
      <c r="H546">
        <v>1</v>
      </c>
      <c r="I546">
        <v>24706</v>
      </c>
      <c r="J546">
        <v>10</v>
      </c>
      <c r="K546">
        <v>2470.6</v>
      </c>
      <c r="L546">
        <v>22235.4</v>
      </c>
      <c r="M546">
        <v>15624.14</v>
      </c>
      <c r="N546">
        <v>6611.26</v>
      </c>
      <c r="O546" t="s">
        <v>29</v>
      </c>
      <c r="P546">
        <v>479.32</v>
      </c>
      <c r="Q546" t="s">
        <v>40</v>
      </c>
      <c r="R546" t="s">
        <v>41</v>
      </c>
      <c r="S546">
        <v>2</v>
      </c>
      <c r="T546">
        <v>6</v>
      </c>
      <c r="U546" t="s">
        <v>32</v>
      </c>
      <c r="V546" t="s">
        <v>50</v>
      </c>
      <c r="W546">
        <v>1</v>
      </c>
    </row>
    <row r="547" spans="1:23" x14ac:dyDescent="0.25">
      <c r="A547" t="s">
        <v>982</v>
      </c>
      <c r="B547" s="1">
        <v>45723</v>
      </c>
      <c r="C547" t="s">
        <v>983</v>
      </c>
      <c r="D547" t="s">
        <v>97</v>
      </c>
      <c r="E547" t="s">
        <v>26</v>
      </c>
      <c r="F547" t="s">
        <v>37</v>
      </c>
      <c r="G547" t="s">
        <v>224</v>
      </c>
      <c r="H547">
        <v>3</v>
      </c>
      <c r="I547">
        <v>24374</v>
      </c>
      <c r="J547">
        <v>0</v>
      </c>
      <c r="K547">
        <v>0</v>
      </c>
      <c r="L547">
        <v>73122</v>
      </c>
      <c r="M547">
        <v>56122.35</v>
      </c>
      <c r="N547">
        <v>16999.650000000001</v>
      </c>
      <c r="O547" t="s">
        <v>91</v>
      </c>
      <c r="P547">
        <v>354.43</v>
      </c>
      <c r="Q547" t="s">
        <v>68</v>
      </c>
      <c r="R547" t="s">
        <v>31</v>
      </c>
      <c r="S547">
        <v>5</v>
      </c>
      <c r="T547">
        <v>0</v>
      </c>
      <c r="U547" t="s">
        <v>32</v>
      </c>
      <c r="V547" t="s">
        <v>42</v>
      </c>
    </row>
    <row r="548" spans="1:23" x14ac:dyDescent="0.25">
      <c r="A548" t="s">
        <v>984</v>
      </c>
      <c r="B548" s="1">
        <v>45756</v>
      </c>
      <c r="C548" t="s">
        <v>565</v>
      </c>
      <c r="D548" t="s">
        <v>79</v>
      </c>
      <c r="E548" t="s">
        <v>46</v>
      </c>
      <c r="F548" t="s">
        <v>37</v>
      </c>
      <c r="G548" t="s">
        <v>224</v>
      </c>
      <c r="H548">
        <v>1</v>
      </c>
      <c r="I548">
        <v>7647</v>
      </c>
      <c r="J548">
        <v>0</v>
      </c>
      <c r="K548">
        <v>0</v>
      </c>
      <c r="L548">
        <v>7647</v>
      </c>
      <c r="M548">
        <v>4825.1000000000004</v>
      </c>
      <c r="N548">
        <v>2821.9</v>
      </c>
      <c r="O548" t="s">
        <v>91</v>
      </c>
      <c r="P548">
        <v>740.33</v>
      </c>
      <c r="Q548" t="s">
        <v>40</v>
      </c>
      <c r="R548" t="s">
        <v>31</v>
      </c>
      <c r="S548">
        <v>5</v>
      </c>
      <c r="T548">
        <v>6</v>
      </c>
      <c r="U548" t="s">
        <v>56</v>
      </c>
      <c r="V548" t="s">
        <v>33</v>
      </c>
      <c r="W548">
        <v>5</v>
      </c>
    </row>
    <row r="549" spans="1:23" x14ac:dyDescent="0.25">
      <c r="A549" t="s">
        <v>985</v>
      </c>
      <c r="B549" s="1">
        <v>45873</v>
      </c>
      <c r="C549" t="s">
        <v>421</v>
      </c>
      <c r="D549" t="s">
        <v>45</v>
      </c>
      <c r="E549" t="s">
        <v>46</v>
      </c>
      <c r="F549" t="s">
        <v>86</v>
      </c>
      <c r="G549" t="s">
        <v>110</v>
      </c>
      <c r="H549">
        <v>2</v>
      </c>
      <c r="I549">
        <v>37546</v>
      </c>
      <c r="J549">
        <v>25</v>
      </c>
      <c r="K549">
        <v>18773</v>
      </c>
      <c r="L549">
        <v>56319</v>
      </c>
      <c r="M549">
        <v>34022.01</v>
      </c>
      <c r="N549">
        <v>22296.99</v>
      </c>
      <c r="O549" t="s">
        <v>55</v>
      </c>
      <c r="P549">
        <v>1735.33</v>
      </c>
      <c r="Q549" t="s">
        <v>40</v>
      </c>
      <c r="R549" t="s">
        <v>41</v>
      </c>
      <c r="S549">
        <v>2</v>
      </c>
      <c r="T549">
        <v>1</v>
      </c>
      <c r="U549" t="s">
        <v>32</v>
      </c>
      <c r="V549" t="s">
        <v>33</v>
      </c>
      <c r="W549">
        <v>3</v>
      </c>
    </row>
    <row r="550" spans="1:23" x14ac:dyDescent="0.25">
      <c r="A550" t="s">
        <v>986</v>
      </c>
      <c r="B550" s="1">
        <v>45998</v>
      </c>
      <c r="C550" t="s">
        <v>99</v>
      </c>
      <c r="D550" t="s">
        <v>71</v>
      </c>
      <c r="E550" t="s">
        <v>26</v>
      </c>
      <c r="F550" t="s">
        <v>27</v>
      </c>
      <c r="G550" t="s">
        <v>72</v>
      </c>
      <c r="H550">
        <v>1</v>
      </c>
      <c r="I550">
        <v>4416</v>
      </c>
      <c r="J550">
        <v>20</v>
      </c>
      <c r="K550">
        <v>883.2</v>
      </c>
      <c r="L550">
        <v>3532.8</v>
      </c>
      <c r="M550">
        <v>2057.62</v>
      </c>
      <c r="N550">
        <v>1475.18</v>
      </c>
      <c r="O550" t="s">
        <v>60</v>
      </c>
      <c r="P550">
        <v>896.35</v>
      </c>
      <c r="Q550" t="s">
        <v>40</v>
      </c>
      <c r="R550" t="s">
        <v>31</v>
      </c>
      <c r="S550">
        <v>5</v>
      </c>
      <c r="T550">
        <v>5</v>
      </c>
      <c r="U550" t="s">
        <v>32</v>
      </c>
      <c r="V550" t="s">
        <v>33</v>
      </c>
      <c r="W550">
        <v>5</v>
      </c>
    </row>
    <row r="551" spans="1:23" x14ac:dyDescent="0.25">
      <c r="A551" t="s">
        <v>987</v>
      </c>
      <c r="B551" s="1">
        <v>45852</v>
      </c>
      <c r="C551" t="s">
        <v>440</v>
      </c>
      <c r="D551" t="s">
        <v>154</v>
      </c>
      <c r="E551" t="s">
        <v>36</v>
      </c>
      <c r="F551" t="s">
        <v>27</v>
      </c>
      <c r="G551" t="s">
        <v>164</v>
      </c>
      <c r="H551">
        <v>1</v>
      </c>
      <c r="I551">
        <v>19904</v>
      </c>
      <c r="J551">
        <v>5</v>
      </c>
      <c r="K551">
        <v>995.2</v>
      </c>
      <c r="L551">
        <v>18908.8</v>
      </c>
      <c r="M551">
        <v>12180.77</v>
      </c>
      <c r="N551">
        <v>6728.03</v>
      </c>
      <c r="O551" t="s">
        <v>60</v>
      </c>
      <c r="P551">
        <v>601.34</v>
      </c>
      <c r="Q551" t="s">
        <v>68</v>
      </c>
      <c r="R551" t="s">
        <v>41</v>
      </c>
      <c r="S551">
        <v>2</v>
      </c>
      <c r="T551">
        <v>4</v>
      </c>
      <c r="U551" t="s">
        <v>32</v>
      </c>
      <c r="V551" t="s">
        <v>50</v>
      </c>
      <c r="W551">
        <v>1</v>
      </c>
    </row>
    <row r="552" spans="1:23" x14ac:dyDescent="0.25">
      <c r="A552" t="s">
        <v>988</v>
      </c>
      <c r="B552" s="1">
        <v>46004</v>
      </c>
      <c r="C552" t="s">
        <v>580</v>
      </c>
      <c r="D552" t="s">
        <v>67</v>
      </c>
      <c r="E552" t="s">
        <v>36</v>
      </c>
      <c r="F552" t="s">
        <v>86</v>
      </c>
      <c r="G552" t="s">
        <v>110</v>
      </c>
      <c r="H552">
        <v>1</v>
      </c>
      <c r="I552">
        <v>45705</v>
      </c>
      <c r="J552">
        <v>20</v>
      </c>
      <c r="K552">
        <v>9141</v>
      </c>
      <c r="L552">
        <v>36564</v>
      </c>
      <c r="M552">
        <v>23827.34</v>
      </c>
      <c r="N552">
        <v>12736.66</v>
      </c>
      <c r="O552" t="s">
        <v>49</v>
      </c>
      <c r="P552">
        <v>368.83</v>
      </c>
      <c r="Q552" t="s">
        <v>40</v>
      </c>
      <c r="R552" t="s">
        <v>31</v>
      </c>
      <c r="S552">
        <v>5</v>
      </c>
      <c r="T552">
        <v>5</v>
      </c>
      <c r="U552" t="s">
        <v>32</v>
      </c>
      <c r="V552" t="s">
        <v>33</v>
      </c>
      <c r="W552">
        <v>5</v>
      </c>
    </row>
    <row r="553" spans="1:23" x14ac:dyDescent="0.25">
      <c r="A553" t="s">
        <v>989</v>
      </c>
      <c r="B553" s="1">
        <v>45747</v>
      </c>
      <c r="C553" t="s">
        <v>990</v>
      </c>
      <c r="D553" t="s">
        <v>25</v>
      </c>
      <c r="E553" t="s">
        <v>36</v>
      </c>
      <c r="F553" t="s">
        <v>37</v>
      </c>
      <c r="G553" t="s">
        <v>313</v>
      </c>
      <c r="H553">
        <v>1</v>
      </c>
      <c r="I553">
        <v>5934</v>
      </c>
      <c r="J553">
        <v>0</v>
      </c>
      <c r="K553">
        <v>0</v>
      </c>
      <c r="L553">
        <v>5934</v>
      </c>
      <c r="M553">
        <v>3634.93</v>
      </c>
      <c r="N553">
        <v>2299.0700000000002</v>
      </c>
      <c r="O553" t="s">
        <v>29</v>
      </c>
      <c r="P553">
        <v>1295.75</v>
      </c>
      <c r="Q553" t="s">
        <v>68</v>
      </c>
      <c r="R553" t="s">
        <v>31</v>
      </c>
      <c r="S553">
        <v>5</v>
      </c>
      <c r="T553">
        <v>3</v>
      </c>
      <c r="U553" t="s">
        <v>32</v>
      </c>
      <c r="V553" t="s">
        <v>50</v>
      </c>
      <c r="W553">
        <v>5</v>
      </c>
    </row>
    <row r="554" spans="1:23" x14ac:dyDescent="0.25">
      <c r="A554" t="s">
        <v>991</v>
      </c>
      <c r="B554" s="1">
        <v>45973</v>
      </c>
      <c r="C554" t="s">
        <v>714</v>
      </c>
      <c r="D554" t="s">
        <v>71</v>
      </c>
      <c r="E554" t="s">
        <v>36</v>
      </c>
      <c r="F554" t="s">
        <v>47</v>
      </c>
      <c r="G554" t="s">
        <v>138</v>
      </c>
      <c r="H554">
        <v>1</v>
      </c>
      <c r="I554">
        <v>14502</v>
      </c>
      <c r="J554">
        <v>20</v>
      </c>
      <c r="K554">
        <v>2900.4</v>
      </c>
      <c r="L554">
        <v>11601.6</v>
      </c>
      <c r="M554">
        <v>8772.0300000000007</v>
      </c>
      <c r="N554">
        <v>2829.57</v>
      </c>
      <c r="O554" t="s">
        <v>60</v>
      </c>
      <c r="P554">
        <v>938.67</v>
      </c>
      <c r="Q554" t="s">
        <v>30</v>
      </c>
      <c r="R554" t="s">
        <v>31</v>
      </c>
      <c r="S554">
        <v>5</v>
      </c>
      <c r="T554">
        <v>1</v>
      </c>
      <c r="U554" t="s">
        <v>32</v>
      </c>
      <c r="V554" t="s">
        <v>42</v>
      </c>
    </row>
    <row r="555" spans="1:23" x14ac:dyDescent="0.25">
      <c r="A555" t="s">
        <v>992</v>
      </c>
      <c r="B555" s="1">
        <v>45949</v>
      </c>
      <c r="C555" t="s">
        <v>993</v>
      </c>
      <c r="D555" t="s">
        <v>97</v>
      </c>
      <c r="E555" t="s">
        <v>46</v>
      </c>
      <c r="F555" t="s">
        <v>27</v>
      </c>
      <c r="G555" t="s">
        <v>76</v>
      </c>
      <c r="H555">
        <v>1</v>
      </c>
      <c r="I555">
        <v>10092</v>
      </c>
      <c r="J555">
        <v>15</v>
      </c>
      <c r="K555">
        <v>1513.8</v>
      </c>
      <c r="L555">
        <v>8578.2000000000007</v>
      </c>
      <c r="M555">
        <v>6602.95</v>
      </c>
      <c r="N555">
        <v>1975.25</v>
      </c>
      <c r="O555" t="s">
        <v>91</v>
      </c>
      <c r="P555">
        <v>255.76</v>
      </c>
      <c r="Q555" t="s">
        <v>83</v>
      </c>
      <c r="R555" t="s">
        <v>31</v>
      </c>
      <c r="S555">
        <v>5</v>
      </c>
      <c r="T555">
        <v>5</v>
      </c>
      <c r="U555" t="s">
        <v>32</v>
      </c>
      <c r="V555" t="s">
        <v>33</v>
      </c>
      <c r="W555">
        <v>5</v>
      </c>
    </row>
    <row r="556" spans="1:23" x14ac:dyDescent="0.25">
      <c r="A556" t="s">
        <v>994</v>
      </c>
      <c r="B556" s="1">
        <v>45812</v>
      </c>
      <c r="C556" t="s">
        <v>329</v>
      </c>
      <c r="D556" t="s">
        <v>90</v>
      </c>
      <c r="E556" t="s">
        <v>26</v>
      </c>
      <c r="F556" t="s">
        <v>47</v>
      </c>
      <c r="G556" t="s">
        <v>138</v>
      </c>
      <c r="H556">
        <v>2</v>
      </c>
      <c r="I556">
        <v>29328</v>
      </c>
      <c r="J556">
        <v>20</v>
      </c>
      <c r="K556">
        <v>11731.2</v>
      </c>
      <c r="L556">
        <v>46924.800000000003</v>
      </c>
      <c r="M556">
        <v>28217.62</v>
      </c>
      <c r="N556">
        <v>18707.18</v>
      </c>
      <c r="O556" t="s">
        <v>39</v>
      </c>
      <c r="P556">
        <v>1009.84</v>
      </c>
      <c r="Q556" t="s">
        <v>40</v>
      </c>
      <c r="R556" t="s">
        <v>41</v>
      </c>
      <c r="S556">
        <v>2</v>
      </c>
      <c r="T556">
        <v>2</v>
      </c>
      <c r="U556" t="s">
        <v>32</v>
      </c>
      <c r="V556" t="s">
        <v>33</v>
      </c>
      <c r="W556">
        <v>5</v>
      </c>
    </row>
    <row r="557" spans="1:23" x14ac:dyDescent="0.25">
      <c r="A557" t="s">
        <v>995</v>
      </c>
      <c r="B557" s="1">
        <v>45865</v>
      </c>
      <c r="C557" t="s">
        <v>172</v>
      </c>
      <c r="D557" t="s">
        <v>67</v>
      </c>
      <c r="E557" t="s">
        <v>26</v>
      </c>
      <c r="F557" t="s">
        <v>37</v>
      </c>
      <c r="G557" t="s">
        <v>161</v>
      </c>
      <c r="H557">
        <v>3</v>
      </c>
      <c r="I557">
        <v>37898</v>
      </c>
      <c r="J557">
        <v>10</v>
      </c>
      <c r="K557">
        <v>11369.4</v>
      </c>
      <c r="L557">
        <v>102324.6</v>
      </c>
      <c r="M557">
        <v>59066.52</v>
      </c>
      <c r="N557">
        <v>43258.080000000002</v>
      </c>
      <c r="O557" t="s">
        <v>60</v>
      </c>
      <c r="P557">
        <v>1583.43</v>
      </c>
      <c r="Q557" t="s">
        <v>73</v>
      </c>
      <c r="R557" t="s">
        <v>31</v>
      </c>
      <c r="S557">
        <v>5</v>
      </c>
      <c r="T557">
        <v>4</v>
      </c>
      <c r="U557" t="s">
        <v>32</v>
      </c>
      <c r="V557" t="s">
        <v>33</v>
      </c>
      <c r="W557">
        <v>1</v>
      </c>
    </row>
    <row r="558" spans="1:23" x14ac:dyDescent="0.25">
      <c r="A558" t="s">
        <v>996</v>
      </c>
      <c r="B558" s="1">
        <v>45938</v>
      </c>
      <c r="C558" t="s">
        <v>174</v>
      </c>
      <c r="D558" t="s">
        <v>63</v>
      </c>
      <c r="E558" t="s">
        <v>26</v>
      </c>
      <c r="F558" t="s">
        <v>53</v>
      </c>
      <c r="G558" t="s">
        <v>268</v>
      </c>
      <c r="H558">
        <v>1</v>
      </c>
      <c r="I558">
        <v>29691</v>
      </c>
      <c r="J558">
        <v>25</v>
      </c>
      <c r="K558">
        <v>7422.75</v>
      </c>
      <c r="L558">
        <v>22268.25</v>
      </c>
      <c r="M558">
        <v>17849.97</v>
      </c>
      <c r="N558">
        <v>4418.28</v>
      </c>
      <c r="O558" t="s">
        <v>60</v>
      </c>
      <c r="P558">
        <v>1622.88</v>
      </c>
      <c r="Q558" t="s">
        <v>40</v>
      </c>
      <c r="R558" t="s">
        <v>41</v>
      </c>
      <c r="S558">
        <v>2</v>
      </c>
      <c r="T558">
        <v>3</v>
      </c>
      <c r="U558" t="s">
        <v>32</v>
      </c>
      <c r="V558" t="s">
        <v>42</v>
      </c>
    </row>
    <row r="559" spans="1:23" x14ac:dyDescent="0.25">
      <c r="A559" t="s">
        <v>997</v>
      </c>
      <c r="B559" s="1">
        <v>45658</v>
      </c>
      <c r="C559" t="s">
        <v>419</v>
      </c>
      <c r="D559" t="s">
        <v>63</v>
      </c>
      <c r="E559" t="s">
        <v>46</v>
      </c>
      <c r="F559" t="s">
        <v>53</v>
      </c>
      <c r="G559" t="s">
        <v>82</v>
      </c>
      <c r="H559">
        <v>1</v>
      </c>
      <c r="I559">
        <v>43194</v>
      </c>
      <c r="J559">
        <v>0</v>
      </c>
      <c r="K559">
        <v>0</v>
      </c>
      <c r="L559">
        <v>43194</v>
      </c>
      <c r="M559">
        <v>26138.55</v>
      </c>
      <c r="N559">
        <v>17055.45</v>
      </c>
      <c r="O559" t="s">
        <v>49</v>
      </c>
      <c r="P559">
        <v>460.54</v>
      </c>
      <c r="Q559" t="s">
        <v>83</v>
      </c>
      <c r="R559" t="s">
        <v>41</v>
      </c>
      <c r="S559">
        <v>2</v>
      </c>
      <c r="T559">
        <v>6</v>
      </c>
      <c r="U559" t="s">
        <v>32</v>
      </c>
      <c r="V559" t="s">
        <v>50</v>
      </c>
      <c r="W559">
        <v>5</v>
      </c>
    </row>
    <row r="560" spans="1:23" x14ac:dyDescent="0.25">
      <c r="A560" t="s">
        <v>998</v>
      </c>
      <c r="B560" s="1">
        <v>45813</v>
      </c>
      <c r="C560" t="s">
        <v>386</v>
      </c>
      <c r="D560" t="s">
        <v>45</v>
      </c>
      <c r="E560" t="s">
        <v>26</v>
      </c>
      <c r="F560" t="s">
        <v>47</v>
      </c>
      <c r="G560" t="s">
        <v>105</v>
      </c>
      <c r="H560">
        <v>2</v>
      </c>
      <c r="I560">
        <v>29665</v>
      </c>
      <c r="J560">
        <v>25</v>
      </c>
      <c r="K560">
        <v>14832.5</v>
      </c>
      <c r="L560">
        <v>44497.5</v>
      </c>
      <c r="M560">
        <v>30225.74</v>
      </c>
      <c r="N560">
        <v>14271.76</v>
      </c>
      <c r="O560" t="s">
        <v>29</v>
      </c>
      <c r="P560">
        <v>296</v>
      </c>
      <c r="Q560" t="s">
        <v>83</v>
      </c>
      <c r="R560" t="s">
        <v>41</v>
      </c>
      <c r="S560">
        <v>2</v>
      </c>
      <c r="T560">
        <v>2</v>
      </c>
      <c r="U560" t="s">
        <v>32</v>
      </c>
      <c r="V560" t="s">
        <v>33</v>
      </c>
      <c r="W560">
        <v>5</v>
      </c>
    </row>
    <row r="561" spans="1:23" x14ac:dyDescent="0.25">
      <c r="A561" t="s">
        <v>999</v>
      </c>
      <c r="B561" s="1">
        <v>45804</v>
      </c>
      <c r="C561" t="s">
        <v>115</v>
      </c>
      <c r="D561" t="s">
        <v>25</v>
      </c>
      <c r="E561" t="s">
        <v>26</v>
      </c>
      <c r="F561" t="s">
        <v>27</v>
      </c>
      <c r="G561" t="s">
        <v>28</v>
      </c>
      <c r="H561">
        <v>2</v>
      </c>
      <c r="I561">
        <v>4363</v>
      </c>
      <c r="J561">
        <v>25</v>
      </c>
      <c r="K561">
        <v>2181.5</v>
      </c>
      <c r="L561">
        <v>6544.5</v>
      </c>
      <c r="M561">
        <v>4674.07</v>
      </c>
      <c r="N561">
        <v>1870.43</v>
      </c>
      <c r="O561" t="s">
        <v>60</v>
      </c>
      <c r="P561">
        <v>1309</v>
      </c>
      <c r="Q561" t="s">
        <v>30</v>
      </c>
      <c r="R561" t="s">
        <v>31</v>
      </c>
      <c r="S561">
        <v>5</v>
      </c>
      <c r="T561">
        <v>4</v>
      </c>
      <c r="U561" t="s">
        <v>32</v>
      </c>
      <c r="V561" t="s">
        <v>33</v>
      </c>
      <c r="W561">
        <v>5</v>
      </c>
    </row>
    <row r="562" spans="1:23" x14ac:dyDescent="0.25">
      <c r="A562" t="s">
        <v>1000</v>
      </c>
      <c r="B562" s="1">
        <v>45765</v>
      </c>
      <c r="C562" t="s">
        <v>1001</v>
      </c>
      <c r="D562" t="s">
        <v>71</v>
      </c>
      <c r="E562" t="s">
        <v>46</v>
      </c>
      <c r="F562" t="s">
        <v>27</v>
      </c>
      <c r="G562" t="s">
        <v>76</v>
      </c>
      <c r="H562">
        <v>1</v>
      </c>
      <c r="I562">
        <v>9845</v>
      </c>
      <c r="J562">
        <v>15</v>
      </c>
      <c r="K562">
        <v>1476.75</v>
      </c>
      <c r="L562">
        <v>8368.25</v>
      </c>
      <c r="M562">
        <v>6676.85</v>
      </c>
      <c r="N562">
        <v>1691.4</v>
      </c>
      <c r="O562" t="s">
        <v>29</v>
      </c>
      <c r="P562">
        <v>1553.82</v>
      </c>
      <c r="Q562" t="s">
        <v>68</v>
      </c>
      <c r="R562" t="s">
        <v>31</v>
      </c>
      <c r="S562">
        <v>5</v>
      </c>
      <c r="T562">
        <v>5</v>
      </c>
      <c r="U562" t="s">
        <v>32</v>
      </c>
      <c r="V562" t="s">
        <v>33</v>
      </c>
    </row>
    <row r="563" spans="1:23" x14ac:dyDescent="0.25">
      <c r="A563" t="s">
        <v>1002</v>
      </c>
      <c r="B563" s="1">
        <v>45878</v>
      </c>
      <c r="C563" t="s">
        <v>1003</v>
      </c>
      <c r="D563" t="s">
        <v>90</v>
      </c>
      <c r="E563" t="s">
        <v>36</v>
      </c>
      <c r="F563" t="s">
        <v>27</v>
      </c>
      <c r="G563" t="s">
        <v>28</v>
      </c>
      <c r="H563">
        <v>1</v>
      </c>
      <c r="I563">
        <v>7652</v>
      </c>
      <c r="J563">
        <v>0</v>
      </c>
      <c r="K563">
        <v>0</v>
      </c>
      <c r="L563">
        <v>7652</v>
      </c>
      <c r="M563">
        <v>4792.45</v>
      </c>
      <c r="N563">
        <v>2859.55</v>
      </c>
      <c r="O563" t="s">
        <v>55</v>
      </c>
      <c r="P563">
        <v>1706.98</v>
      </c>
      <c r="Q563" t="s">
        <v>68</v>
      </c>
      <c r="R563" t="s">
        <v>41</v>
      </c>
      <c r="S563">
        <v>2</v>
      </c>
      <c r="T563">
        <v>6</v>
      </c>
      <c r="U563" t="s">
        <v>56</v>
      </c>
      <c r="V563" t="s">
        <v>33</v>
      </c>
      <c r="W563">
        <v>5</v>
      </c>
    </row>
    <row r="564" spans="1:23" x14ac:dyDescent="0.25">
      <c r="A564" t="s">
        <v>1004</v>
      </c>
      <c r="B564" s="1">
        <v>45954</v>
      </c>
      <c r="C564" t="s">
        <v>1005</v>
      </c>
      <c r="D564" t="s">
        <v>67</v>
      </c>
      <c r="E564" t="s">
        <v>46</v>
      </c>
      <c r="F564" t="s">
        <v>86</v>
      </c>
      <c r="G564" t="s">
        <v>87</v>
      </c>
      <c r="H564">
        <v>1</v>
      </c>
      <c r="I564">
        <v>32982</v>
      </c>
      <c r="J564">
        <v>5</v>
      </c>
      <c r="K564">
        <v>1649.1</v>
      </c>
      <c r="L564">
        <v>31332.9</v>
      </c>
      <c r="M564">
        <v>20985.41</v>
      </c>
      <c r="N564">
        <v>10347.49</v>
      </c>
      <c r="O564" t="s">
        <v>49</v>
      </c>
      <c r="P564">
        <v>298.13</v>
      </c>
      <c r="Q564" t="s">
        <v>68</v>
      </c>
      <c r="R564" t="s">
        <v>41</v>
      </c>
      <c r="S564">
        <v>2</v>
      </c>
      <c r="T564">
        <v>3</v>
      </c>
      <c r="U564" t="s">
        <v>56</v>
      </c>
      <c r="V564" t="s">
        <v>33</v>
      </c>
      <c r="W564">
        <v>5</v>
      </c>
    </row>
    <row r="565" spans="1:23" x14ac:dyDescent="0.25">
      <c r="A565" t="s">
        <v>1006</v>
      </c>
      <c r="B565" s="1">
        <v>45968</v>
      </c>
      <c r="C565" t="s">
        <v>1007</v>
      </c>
      <c r="D565" t="s">
        <v>97</v>
      </c>
      <c r="E565" t="s">
        <v>46</v>
      </c>
      <c r="F565" t="s">
        <v>37</v>
      </c>
      <c r="G565" t="s">
        <v>313</v>
      </c>
      <c r="H565">
        <v>1</v>
      </c>
      <c r="I565">
        <v>9141</v>
      </c>
      <c r="J565">
        <v>5</v>
      </c>
      <c r="K565">
        <v>457.05</v>
      </c>
      <c r="L565">
        <v>8683.9500000000007</v>
      </c>
      <c r="M565">
        <v>6914.62</v>
      </c>
      <c r="N565">
        <v>1769.33</v>
      </c>
      <c r="O565" t="s">
        <v>29</v>
      </c>
      <c r="P565">
        <v>1906.39</v>
      </c>
      <c r="Q565" t="s">
        <v>68</v>
      </c>
      <c r="R565" t="s">
        <v>31</v>
      </c>
      <c r="S565">
        <v>5</v>
      </c>
      <c r="T565">
        <v>2</v>
      </c>
      <c r="U565" t="s">
        <v>32</v>
      </c>
      <c r="V565" t="s">
        <v>42</v>
      </c>
    </row>
    <row r="566" spans="1:23" x14ac:dyDescent="0.25">
      <c r="A566" t="s">
        <v>1008</v>
      </c>
      <c r="B566" s="1">
        <v>45993</v>
      </c>
      <c r="C566" t="s">
        <v>1009</v>
      </c>
      <c r="D566" t="s">
        <v>90</v>
      </c>
      <c r="E566" t="s">
        <v>26</v>
      </c>
      <c r="F566" t="s">
        <v>53</v>
      </c>
      <c r="G566" t="s">
        <v>59</v>
      </c>
      <c r="H566">
        <v>2</v>
      </c>
      <c r="I566">
        <v>68475</v>
      </c>
      <c r="J566">
        <v>10</v>
      </c>
      <c r="K566">
        <v>13695</v>
      </c>
      <c r="L566">
        <v>123255</v>
      </c>
      <c r="M566">
        <v>77040.679999999993</v>
      </c>
      <c r="N566">
        <v>46214.32</v>
      </c>
      <c r="O566" t="s">
        <v>91</v>
      </c>
      <c r="P566">
        <v>2419.7199999999998</v>
      </c>
      <c r="Q566" t="s">
        <v>83</v>
      </c>
      <c r="R566" t="s">
        <v>41</v>
      </c>
      <c r="S566">
        <v>2</v>
      </c>
      <c r="T566">
        <v>4</v>
      </c>
      <c r="U566" t="s">
        <v>56</v>
      </c>
      <c r="V566" t="s">
        <v>33</v>
      </c>
      <c r="W566">
        <v>5</v>
      </c>
    </row>
    <row r="567" spans="1:23" x14ac:dyDescent="0.25">
      <c r="A567" t="s">
        <v>1010</v>
      </c>
      <c r="B567" s="1">
        <v>45822</v>
      </c>
      <c r="C567" t="s">
        <v>249</v>
      </c>
      <c r="D567" t="s">
        <v>67</v>
      </c>
      <c r="E567" t="s">
        <v>36</v>
      </c>
      <c r="F567" t="s">
        <v>86</v>
      </c>
      <c r="G567" t="s">
        <v>110</v>
      </c>
      <c r="H567">
        <v>1</v>
      </c>
      <c r="I567">
        <v>32965</v>
      </c>
      <c r="J567">
        <v>15</v>
      </c>
      <c r="K567">
        <v>4944.75</v>
      </c>
      <c r="L567">
        <v>28020.25</v>
      </c>
      <c r="M567">
        <v>19439.689999999999</v>
      </c>
      <c r="N567">
        <v>8580.56</v>
      </c>
      <c r="O567" t="s">
        <v>55</v>
      </c>
      <c r="P567">
        <v>1954.89</v>
      </c>
      <c r="Q567" t="s">
        <v>83</v>
      </c>
      <c r="R567" t="s">
        <v>41</v>
      </c>
      <c r="S567">
        <v>2</v>
      </c>
      <c r="T567">
        <v>0</v>
      </c>
      <c r="U567" t="s">
        <v>32</v>
      </c>
      <c r="V567" t="s">
        <v>50</v>
      </c>
      <c r="W567">
        <v>5</v>
      </c>
    </row>
    <row r="568" spans="1:23" x14ac:dyDescent="0.25">
      <c r="A568" t="s">
        <v>1011</v>
      </c>
      <c r="B568" s="1">
        <v>45896</v>
      </c>
      <c r="C568" t="s">
        <v>1012</v>
      </c>
      <c r="D568" t="s">
        <v>45</v>
      </c>
      <c r="E568" t="s">
        <v>26</v>
      </c>
      <c r="F568" t="s">
        <v>37</v>
      </c>
      <c r="G568" t="s">
        <v>313</v>
      </c>
      <c r="H568">
        <v>1</v>
      </c>
      <c r="I568">
        <v>7743</v>
      </c>
      <c r="J568">
        <v>0</v>
      </c>
      <c r="K568">
        <v>0</v>
      </c>
      <c r="L568">
        <v>7743</v>
      </c>
      <c r="M568">
        <v>5415.37</v>
      </c>
      <c r="N568">
        <v>2327.63</v>
      </c>
      <c r="O568" t="s">
        <v>91</v>
      </c>
      <c r="P568">
        <v>1266.06</v>
      </c>
      <c r="Q568" t="s">
        <v>40</v>
      </c>
      <c r="R568" t="s">
        <v>41</v>
      </c>
      <c r="S568">
        <v>2</v>
      </c>
      <c r="T568">
        <v>6</v>
      </c>
      <c r="U568" t="s">
        <v>32</v>
      </c>
      <c r="V568" t="s">
        <v>50</v>
      </c>
      <c r="W568">
        <v>5</v>
      </c>
    </row>
    <row r="569" spans="1:23" x14ac:dyDescent="0.25">
      <c r="A569" t="s">
        <v>1013</v>
      </c>
      <c r="B569" s="1">
        <v>45884</v>
      </c>
      <c r="C569" t="s">
        <v>438</v>
      </c>
      <c r="D569" t="s">
        <v>154</v>
      </c>
      <c r="E569" t="s">
        <v>26</v>
      </c>
      <c r="F569" t="s">
        <v>37</v>
      </c>
      <c r="G569" t="s">
        <v>38</v>
      </c>
      <c r="H569">
        <v>4</v>
      </c>
      <c r="I569">
        <v>21982</v>
      </c>
      <c r="J569">
        <v>0</v>
      </c>
      <c r="K569">
        <v>0</v>
      </c>
      <c r="L569">
        <v>87928</v>
      </c>
      <c r="M569">
        <v>72072.62</v>
      </c>
      <c r="N569">
        <v>15855.38</v>
      </c>
      <c r="O569" t="s">
        <v>60</v>
      </c>
      <c r="P569">
        <v>1513.49</v>
      </c>
      <c r="Q569" t="s">
        <v>83</v>
      </c>
      <c r="R569" t="s">
        <v>41</v>
      </c>
      <c r="S569">
        <v>2</v>
      </c>
      <c r="T569">
        <v>2</v>
      </c>
      <c r="U569" t="s">
        <v>32</v>
      </c>
      <c r="V569" t="s">
        <v>42</v>
      </c>
    </row>
    <row r="570" spans="1:23" x14ac:dyDescent="0.25">
      <c r="A570" t="s">
        <v>1014</v>
      </c>
      <c r="B570" s="1">
        <v>45884</v>
      </c>
      <c r="C570" t="s">
        <v>434</v>
      </c>
      <c r="D570" t="s">
        <v>63</v>
      </c>
      <c r="E570" t="s">
        <v>46</v>
      </c>
      <c r="F570" t="s">
        <v>37</v>
      </c>
      <c r="G570" t="s">
        <v>313</v>
      </c>
      <c r="H570">
        <v>2</v>
      </c>
      <c r="I570">
        <v>24112</v>
      </c>
      <c r="J570">
        <v>10</v>
      </c>
      <c r="K570">
        <v>4822.3999999999996</v>
      </c>
      <c r="L570">
        <v>43401.599999999999</v>
      </c>
      <c r="M570">
        <v>33667.49</v>
      </c>
      <c r="N570">
        <v>9734.11</v>
      </c>
      <c r="O570" t="s">
        <v>49</v>
      </c>
      <c r="P570">
        <v>57.77</v>
      </c>
      <c r="Q570" t="s">
        <v>83</v>
      </c>
      <c r="R570" t="s">
        <v>41</v>
      </c>
      <c r="S570">
        <v>2</v>
      </c>
      <c r="T570">
        <v>1</v>
      </c>
      <c r="U570" t="s">
        <v>32</v>
      </c>
      <c r="V570" t="s">
        <v>33</v>
      </c>
      <c r="W570">
        <v>4</v>
      </c>
    </row>
    <row r="571" spans="1:23" x14ac:dyDescent="0.25">
      <c r="A571" t="s">
        <v>1015</v>
      </c>
      <c r="B571" s="1">
        <v>46003</v>
      </c>
      <c r="C571" t="s">
        <v>578</v>
      </c>
      <c r="D571" t="s">
        <v>67</v>
      </c>
      <c r="E571" t="s">
        <v>36</v>
      </c>
      <c r="F571" t="s">
        <v>27</v>
      </c>
      <c r="G571" t="s">
        <v>164</v>
      </c>
      <c r="H571">
        <v>1</v>
      </c>
      <c r="I571">
        <v>12558</v>
      </c>
      <c r="J571">
        <v>0</v>
      </c>
      <c r="K571">
        <v>0</v>
      </c>
      <c r="L571">
        <v>12558</v>
      </c>
      <c r="M571">
        <v>8400.2800000000007</v>
      </c>
      <c r="N571">
        <v>4157.72</v>
      </c>
      <c r="O571" t="s">
        <v>49</v>
      </c>
      <c r="P571">
        <v>441.07</v>
      </c>
      <c r="Q571" t="s">
        <v>68</v>
      </c>
      <c r="R571" t="s">
        <v>41</v>
      </c>
      <c r="S571">
        <v>2</v>
      </c>
      <c r="T571">
        <v>1</v>
      </c>
      <c r="U571" t="s">
        <v>32</v>
      </c>
      <c r="V571" t="s">
        <v>33</v>
      </c>
      <c r="W571">
        <v>3</v>
      </c>
    </row>
    <row r="572" spans="1:23" x14ac:dyDescent="0.25">
      <c r="A572" t="s">
        <v>1016</v>
      </c>
      <c r="B572" s="1">
        <v>45767</v>
      </c>
      <c r="C572" t="s">
        <v>1017</v>
      </c>
      <c r="D572" t="s">
        <v>45</v>
      </c>
      <c r="E572" t="s">
        <v>46</v>
      </c>
      <c r="F572" t="s">
        <v>47</v>
      </c>
      <c r="G572" t="s">
        <v>146</v>
      </c>
      <c r="H572">
        <v>1</v>
      </c>
      <c r="I572">
        <v>19075</v>
      </c>
      <c r="J572">
        <v>0</v>
      </c>
      <c r="K572">
        <v>0</v>
      </c>
      <c r="L572">
        <v>19075</v>
      </c>
      <c r="M572">
        <v>13341.44</v>
      </c>
      <c r="N572">
        <v>5733.56</v>
      </c>
      <c r="O572" t="s">
        <v>49</v>
      </c>
      <c r="P572">
        <v>496.39</v>
      </c>
      <c r="Q572" t="s">
        <v>73</v>
      </c>
      <c r="R572" t="s">
        <v>31</v>
      </c>
      <c r="S572">
        <v>5</v>
      </c>
      <c r="T572">
        <v>5</v>
      </c>
      <c r="U572" t="s">
        <v>32</v>
      </c>
      <c r="V572" t="s">
        <v>33</v>
      </c>
      <c r="W572">
        <v>5</v>
      </c>
    </row>
    <row r="573" spans="1:23" x14ac:dyDescent="0.25">
      <c r="A573" t="s">
        <v>1018</v>
      </c>
      <c r="B573" s="1">
        <v>45919</v>
      </c>
      <c r="C573" t="s">
        <v>1019</v>
      </c>
      <c r="D573" t="s">
        <v>90</v>
      </c>
      <c r="E573" t="s">
        <v>46</v>
      </c>
      <c r="F573" t="s">
        <v>53</v>
      </c>
      <c r="G573" t="s">
        <v>59</v>
      </c>
      <c r="H573">
        <v>1</v>
      </c>
      <c r="I573">
        <v>75445</v>
      </c>
      <c r="J573">
        <v>5</v>
      </c>
      <c r="K573">
        <v>3772.25</v>
      </c>
      <c r="L573">
        <v>71672.75</v>
      </c>
      <c r="M573">
        <v>43368.56</v>
      </c>
      <c r="N573">
        <v>28304.19</v>
      </c>
      <c r="O573" t="s">
        <v>29</v>
      </c>
      <c r="P573">
        <v>2092.19</v>
      </c>
      <c r="Q573" t="s">
        <v>30</v>
      </c>
      <c r="R573" t="s">
        <v>41</v>
      </c>
      <c r="S573">
        <v>2</v>
      </c>
      <c r="T573">
        <v>6</v>
      </c>
      <c r="U573" t="s">
        <v>32</v>
      </c>
      <c r="V573" t="s">
        <v>42</v>
      </c>
    </row>
    <row r="574" spans="1:23" x14ac:dyDescent="0.25">
      <c r="A574" t="s">
        <v>1020</v>
      </c>
      <c r="B574" s="1">
        <v>45900</v>
      </c>
      <c r="C574" t="s">
        <v>466</v>
      </c>
      <c r="D574" t="s">
        <v>154</v>
      </c>
      <c r="E574" t="s">
        <v>46</v>
      </c>
      <c r="F574" t="s">
        <v>53</v>
      </c>
      <c r="G574" t="s">
        <v>54</v>
      </c>
      <c r="H574">
        <v>2</v>
      </c>
      <c r="I574">
        <v>52907</v>
      </c>
      <c r="J574">
        <v>0</v>
      </c>
      <c r="K574">
        <v>0</v>
      </c>
      <c r="L574">
        <v>105814</v>
      </c>
      <c r="M574">
        <v>62777.8</v>
      </c>
      <c r="N574">
        <v>43036.2</v>
      </c>
      <c r="O574" t="s">
        <v>55</v>
      </c>
      <c r="P574">
        <v>2297.31</v>
      </c>
      <c r="Q574" t="s">
        <v>83</v>
      </c>
      <c r="R574" t="s">
        <v>41</v>
      </c>
      <c r="S574">
        <v>2</v>
      </c>
      <c r="T574">
        <v>2</v>
      </c>
      <c r="U574" t="s">
        <v>32</v>
      </c>
      <c r="V574" t="s">
        <v>33</v>
      </c>
      <c r="W574">
        <v>2</v>
      </c>
    </row>
    <row r="575" spans="1:23" x14ac:dyDescent="0.25">
      <c r="A575" t="s">
        <v>1021</v>
      </c>
      <c r="B575" s="1">
        <v>45744</v>
      </c>
      <c r="C575" t="s">
        <v>490</v>
      </c>
      <c r="D575" t="s">
        <v>25</v>
      </c>
      <c r="E575" t="s">
        <v>26</v>
      </c>
      <c r="F575" t="s">
        <v>53</v>
      </c>
      <c r="G575" t="s">
        <v>82</v>
      </c>
      <c r="H575">
        <v>2</v>
      </c>
      <c r="I575">
        <v>111690</v>
      </c>
      <c r="J575">
        <v>0</v>
      </c>
      <c r="K575">
        <v>0</v>
      </c>
      <c r="L575">
        <v>223380</v>
      </c>
      <c r="M575">
        <v>162487.96</v>
      </c>
      <c r="N575">
        <v>60892.04</v>
      </c>
      <c r="O575" t="s">
        <v>29</v>
      </c>
      <c r="P575">
        <v>2494.9899999999998</v>
      </c>
      <c r="Q575" t="s">
        <v>83</v>
      </c>
      <c r="R575" t="s">
        <v>41</v>
      </c>
      <c r="S575">
        <v>2</v>
      </c>
      <c r="T575">
        <v>1</v>
      </c>
      <c r="U575" t="s">
        <v>32</v>
      </c>
      <c r="V575" t="s">
        <v>33</v>
      </c>
      <c r="W575">
        <v>5</v>
      </c>
    </row>
    <row r="576" spans="1:23" x14ac:dyDescent="0.25">
      <c r="A576" t="s">
        <v>1022</v>
      </c>
      <c r="B576" s="1">
        <v>45995</v>
      </c>
      <c r="C576" t="s">
        <v>1023</v>
      </c>
      <c r="D576" t="s">
        <v>97</v>
      </c>
      <c r="E576" t="s">
        <v>26</v>
      </c>
      <c r="F576" t="s">
        <v>53</v>
      </c>
      <c r="G576" t="s">
        <v>268</v>
      </c>
      <c r="H576">
        <v>2</v>
      </c>
      <c r="I576">
        <v>79643</v>
      </c>
      <c r="J576">
        <v>20</v>
      </c>
      <c r="K576">
        <v>31857.200000000001</v>
      </c>
      <c r="L576">
        <v>127428.8</v>
      </c>
      <c r="M576">
        <v>92766.05</v>
      </c>
      <c r="N576">
        <v>34662.75</v>
      </c>
      <c r="O576" t="s">
        <v>29</v>
      </c>
      <c r="P576">
        <v>819.12</v>
      </c>
      <c r="Q576" t="s">
        <v>40</v>
      </c>
      <c r="R576" t="s">
        <v>41</v>
      </c>
      <c r="S576">
        <v>2</v>
      </c>
      <c r="T576">
        <v>2</v>
      </c>
      <c r="U576" t="s">
        <v>32</v>
      </c>
      <c r="V576" t="s">
        <v>42</v>
      </c>
    </row>
    <row r="577" spans="1:23" x14ac:dyDescent="0.25">
      <c r="A577" t="s">
        <v>1024</v>
      </c>
      <c r="B577" s="1">
        <v>45701</v>
      </c>
      <c r="C577" t="s">
        <v>762</v>
      </c>
      <c r="D577" t="s">
        <v>124</v>
      </c>
      <c r="E577" t="s">
        <v>46</v>
      </c>
      <c r="F577" t="s">
        <v>86</v>
      </c>
      <c r="G577" t="s">
        <v>87</v>
      </c>
      <c r="H577">
        <v>1</v>
      </c>
      <c r="I577">
        <v>37594</v>
      </c>
      <c r="J577">
        <v>10</v>
      </c>
      <c r="K577">
        <v>3759.4</v>
      </c>
      <c r="L577">
        <v>33834.6</v>
      </c>
      <c r="M577">
        <v>19337.03</v>
      </c>
      <c r="N577">
        <v>14497.57</v>
      </c>
      <c r="O577" t="s">
        <v>39</v>
      </c>
      <c r="P577">
        <v>1702.66</v>
      </c>
      <c r="Q577" t="s">
        <v>40</v>
      </c>
      <c r="R577" t="s">
        <v>31</v>
      </c>
      <c r="S577">
        <v>5</v>
      </c>
      <c r="T577">
        <v>2</v>
      </c>
      <c r="U577" t="s">
        <v>32</v>
      </c>
      <c r="V577" t="s">
        <v>42</v>
      </c>
    </row>
    <row r="578" spans="1:23" x14ac:dyDescent="0.25">
      <c r="A578" t="s">
        <v>1025</v>
      </c>
      <c r="B578" s="1">
        <v>45803</v>
      </c>
      <c r="C578" t="s">
        <v>1026</v>
      </c>
      <c r="D578" t="s">
        <v>124</v>
      </c>
      <c r="E578" t="s">
        <v>36</v>
      </c>
      <c r="F578" t="s">
        <v>47</v>
      </c>
      <c r="G578" t="s">
        <v>105</v>
      </c>
      <c r="H578">
        <v>4</v>
      </c>
      <c r="I578">
        <v>23052</v>
      </c>
      <c r="J578">
        <v>10</v>
      </c>
      <c r="K578">
        <v>9220.7999999999993</v>
      </c>
      <c r="L578">
        <v>82987.199999999997</v>
      </c>
      <c r="M578">
        <v>63475.34</v>
      </c>
      <c r="N578">
        <v>19511.86</v>
      </c>
      <c r="O578" t="s">
        <v>29</v>
      </c>
      <c r="P578">
        <v>387.46</v>
      </c>
      <c r="Q578" t="s">
        <v>30</v>
      </c>
      <c r="R578" t="s">
        <v>41</v>
      </c>
      <c r="S578">
        <v>2</v>
      </c>
      <c r="T578">
        <v>2</v>
      </c>
      <c r="U578" t="s">
        <v>32</v>
      </c>
      <c r="V578" t="s">
        <v>33</v>
      </c>
      <c r="W578">
        <v>1</v>
      </c>
    </row>
    <row r="579" spans="1:23" x14ac:dyDescent="0.25">
      <c r="A579" t="s">
        <v>1027</v>
      </c>
      <c r="B579" s="1">
        <v>45921</v>
      </c>
      <c r="C579" t="s">
        <v>1028</v>
      </c>
      <c r="D579" t="s">
        <v>67</v>
      </c>
      <c r="E579" t="s">
        <v>36</v>
      </c>
      <c r="F579" t="s">
        <v>37</v>
      </c>
      <c r="G579" t="s">
        <v>161</v>
      </c>
      <c r="H579">
        <v>1</v>
      </c>
      <c r="I579">
        <v>11916</v>
      </c>
      <c r="J579">
        <v>15</v>
      </c>
      <c r="K579">
        <v>1787.4</v>
      </c>
      <c r="L579">
        <v>10128.6</v>
      </c>
      <c r="M579">
        <v>6290.99</v>
      </c>
      <c r="N579">
        <v>3837.61</v>
      </c>
      <c r="O579" t="s">
        <v>49</v>
      </c>
      <c r="P579">
        <v>95.45</v>
      </c>
      <c r="Q579" t="s">
        <v>83</v>
      </c>
      <c r="R579" t="s">
        <v>41</v>
      </c>
      <c r="S579">
        <v>2</v>
      </c>
      <c r="T579">
        <v>5</v>
      </c>
      <c r="U579" t="s">
        <v>32</v>
      </c>
      <c r="V579" t="s">
        <v>42</v>
      </c>
    </row>
    <row r="580" spans="1:23" x14ac:dyDescent="0.25">
      <c r="A580" t="s">
        <v>1029</v>
      </c>
      <c r="B580" s="1">
        <v>45997</v>
      </c>
      <c r="C580" t="s">
        <v>1030</v>
      </c>
      <c r="D580" t="s">
        <v>79</v>
      </c>
      <c r="E580" t="s">
        <v>26</v>
      </c>
      <c r="F580" t="s">
        <v>27</v>
      </c>
      <c r="G580" t="s">
        <v>164</v>
      </c>
      <c r="H580">
        <v>1</v>
      </c>
      <c r="I580">
        <v>7676</v>
      </c>
      <c r="J580">
        <v>25</v>
      </c>
      <c r="K580">
        <v>1919</v>
      </c>
      <c r="L580">
        <v>5757</v>
      </c>
      <c r="M580">
        <v>3541.63</v>
      </c>
      <c r="N580">
        <v>2215.37</v>
      </c>
      <c r="O580" t="s">
        <v>91</v>
      </c>
      <c r="P580">
        <v>2264.08</v>
      </c>
      <c r="Q580" t="s">
        <v>73</v>
      </c>
      <c r="R580" t="s">
        <v>31</v>
      </c>
      <c r="S580">
        <v>5</v>
      </c>
      <c r="T580">
        <v>2</v>
      </c>
      <c r="U580" t="s">
        <v>32</v>
      </c>
      <c r="V580" t="s">
        <v>33</v>
      </c>
      <c r="W580">
        <v>3</v>
      </c>
    </row>
    <row r="581" spans="1:23" x14ac:dyDescent="0.25">
      <c r="A581" t="s">
        <v>1031</v>
      </c>
      <c r="B581" s="1">
        <v>45982</v>
      </c>
      <c r="C581" t="s">
        <v>327</v>
      </c>
      <c r="D581" t="s">
        <v>90</v>
      </c>
      <c r="E581" t="s">
        <v>26</v>
      </c>
      <c r="F581" t="s">
        <v>37</v>
      </c>
      <c r="G581" t="s">
        <v>38</v>
      </c>
      <c r="H581">
        <v>1</v>
      </c>
      <c r="I581">
        <v>32553</v>
      </c>
      <c r="J581">
        <v>10</v>
      </c>
      <c r="K581">
        <v>3255.3</v>
      </c>
      <c r="L581">
        <v>29297.7</v>
      </c>
      <c r="M581">
        <v>22107.11</v>
      </c>
      <c r="N581">
        <v>7190.59</v>
      </c>
      <c r="O581" t="s">
        <v>55</v>
      </c>
      <c r="P581">
        <v>1864.53</v>
      </c>
      <c r="Q581" t="s">
        <v>40</v>
      </c>
      <c r="R581" t="s">
        <v>31</v>
      </c>
      <c r="S581">
        <v>5</v>
      </c>
      <c r="T581">
        <v>5</v>
      </c>
      <c r="U581" t="s">
        <v>32</v>
      </c>
      <c r="V581" t="s">
        <v>50</v>
      </c>
      <c r="W581">
        <v>2</v>
      </c>
    </row>
    <row r="582" spans="1:23" x14ac:dyDescent="0.25">
      <c r="A582" t="s">
        <v>1032</v>
      </c>
      <c r="B582" s="1">
        <v>45975</v>
      </c>
      <c r="C582" t="s">
        <v>1033</v>
      </c>
      <c r="D582" t="s">
        <v>90</v>
      </c>
      <c r="E582" t="s">
        <v>26</v>
      </c>
      <c r="F582" t="s">
        <v>37</v>
      </c>
      <c r="G582" t="s">
        <v>224</v>
      </c>
      <c r="H582">
        <v>2</v>
      </c>
      <c r="I582">
        <v>15581</v>
      </c>
      <c r="J582">
        <v>25</v>
      </c>
      <c r="K582">
        <v>7790.5</v>
      </c>
      <c r="L582">
        <v>23371.5</v>
      </c>
      <c r="M582">
        <v>17413.73</v>
      </c>
      <c r="N582">
        <v>5957.77</v>
      </c>
      <c r="O582" t="s">
        <v>29</v>
      </c>
      <c r="P582">
        <v>883.9</v>
      </c>
      <c r="Q582" t="s">
        <v>73</v>
      </c>
      <c r="R582" t="s">
        <v>31</v>
      </c>
      <c r="S582">
        <v>5</v>
      </c>
      <c r="T582">
        <v>5</v>
      </c>
      <c r="U582" t="s">
        <v>32</v>
      </c>
      <c r="V582" t="s">
        <v>33</v>
      </c>
      <c r="W582">
        <v>2</v>
      </c>
    </row>
    <row r="583" spans="1:23" x14ac:dyDescent="0.25">
      <c r="A583" t="s">
        <v>1034</v>
      </c>
      <c r="B583" s="1">
        <v>45829</v>
      </c>
      <c r="C583" t="s">
        <v>104</v>
      </c>
      <c r="D583" t="s">
        <v>97</v>
      </c>
      <c r="E583" t="s">
        <v>26</v>
      </c>
      <c r="F583" t="s">
        <v>53</v>
      </c>
      <c r="G583" t="s">
        <v>82</v>
      </c>
      <c r="H583">
        <v>3</v>
      </c>
      <c r="I583">
        <v>46389</v>
      </c>
      <c r="J583">
        <v>0</v>
      </c>
      <c r="K583">
        <v>0</v>
      </c>
      <c r="L583">
        <v>139167</v>
      </c>
      <c r="M583">
        <v>78117.539999999994</v>
      </c>
      <c r="N583">
        <v>61049.46</v>
      </c>
      <c r="O583" t="s">
        <v>29</v>
      </c>
      <c r="P583">
        <v>839.99</v>
      </c>
      <c r="Q583" t="s">
        <v>40</v>
      </c>
      <c r="R583" t="s">
        <v>31</v>
      </c>
      <c r="S583">
        <v>5</v>
      </c>
      <c r="T583">
        <v>3</v>
      </c>
      <c r="U583" t="s">
        <v>32</v>
      </c>
      <c r="V583" t="s">
        <v>50</v>
      </c>
      <c r="W583">
        <v>5</v>
      </c>
    </row>
    <row r="584" spans="1:23" x14ac:dyDescent="0.25">
      <c r="A584" t="s">
        <v>1035</v>
      </c>
      <c r="B584" s="1">
        <v>45705</v>
      </c>
      <c r="C584" t="s">
        <v>107</v>
      </c>
      <c r="D584" t="s">
        <v>63</v>
      </c>
      <c r="E584" t="s">
        <v>46</v>
      </c>
      <c r="F584" t="s">
        <v>86</v>
      </c>
      <c r="G584" t="s">
        <v>180</v>
      </c>
      <c r="H584">
        <v>1</v>
      </c>
      <c r="I584">
        <v>28193</v>
      </c>
      <c r="J584">
        <v>0</v>
      </c>
      <c r="K584">
        <v>0</v>
      </c>
      <c r="L584">
        <v>28193</v>
      </c>
      <c r="M584">
        <v>22543.67</v>
      </c>
      <c r="N584">
        <v>5649.33</v>
      </c>
      <c r="O584" t="s">
        <v>91</v>
      </c>
      <c r="P584">
        <v>675.74</v>
      </c>
      <c r="Q584" t="s">
        <v>40</v>
      </c>
      <c r="R584" t="s">
        <v>41</v>
      </c>
      <c r="S584">
        <v>2</v>
      </c>
      <c r="T584">
        <v>1</v>
      </c>
      <c r="U584" t="s">
        <v>32</v>
      </c>
      <c r="V584" t="s">
        <v>50</v>
      </c>
      <c r="W584">
        <v>1</v>
      </c>
    </row>
    <row r="585" spans="1:23" x14ac:dyDescent="0.25">
      <c r="A585" t="s">
        <v>1036</v>
      </c>
      <c r="B585" s="1">
        <v>45778</v>
      </c>
      <c r="C585" t="s">
        <v>1037</v>
      </c>
      <c r="D585" t="s">
        <v>97</v>
      </c>
      <c r="E585" t="s">
        <v>26</v>
      </c>
      <c r="F585" t="s">
        <v>47</v>
      </c>
      <c r="G585" t="s">
        <v>138</v>
      </c>
      <c r="H585">
        <v>1</v>
      </c>
      <c r="I585">
        <v>8689</v>
      </c>
      <c r="J585">
        <v>15</v>
      </c>
      <c r="K585">
        <v>1303.3499999999999</v>
      </c>
      <c r="L585">
        <v>7385.65</v>
      </c>
      <c r="M585">
        <v>5521.99</v>
      </c>
      <c r="N585">
        <v>1863.66</v>
      </c>
      <c r="O585" t="s">
        <v>29</v>
      </c>
      <c r="P585">
        <v>1243.8499999999999</v>
      </c>
      <c r="Q585" t="s">
        <v>83</v>
      </c>
      <c r="R585" t="s">
        <v>31</v>
      </c>
      <c r="S585">
        <v>5</v>
      </c>
      <c r="T585">
        <v>6</v>
      </c>
      <c r="U585" t="s">
        <v>32</v>
      </c>
      <c r="V585" t="s">
        <v>42</v>
      </c>
    </row>
    <row r="586" spans="1:23" x14ac:dyDescent="0.25">
      <c r="A586" t="s">
        <v>1038</v>
      </c>
      <c r="B586" s="1">
        <v>46002</v>
      </c>
      <c r="C586" t="s">
        <v>1039</v>
      </c>
      <c r="D586" t="s">
        <v>67</v>
      </c>
      <c r="E586" t="s">
        <v>46</v>
      </c>
      <c r="F586" t="s">
        <v>53</v>
      </c>
      <c r="G586" t="s">
        <v>54</v>
      </c>
      <c r="H586">
        <v>1</v>
      </c>
      <c r="I586">
        <v>45497</v>
      </c>
      <c r="J586">
        <v>5</v>
      </c>
      <c r="K586">
        <v>2274.85</v>
      </c>
      <c r="L586">
        <v>43222.15</v>
      </c>
      <c r="M586">
        <v>32260.48</v>
      </c>
      <c r="N586">
        <v>10961.67</v>
      </c>
      <c r="O586" t="s">
        <v>39</v>
      </c>
      <c r="P586">
        <v>971.28</v>
      </c>
      <c r="Q586" t="s">
        <v>30</v>
      </c>
      <c r="R586" t="s">
        <v>31</v>
      </c>
      <c r="S586">
        <v>5</v>
      </c>
      <c r="T586">
        <v>5</v>
      </c>
      <c r="U586" t="s">
        <v>32</v>
      </c>
      <c r="V586" t="s">
        <v>33</v>
      </c>
      <c r="W586">
        <v>5</v>
      </c>
    </row>
    <row r="587" spans="1:23" x14ac:dyDescent="0.25">
      <c r="A587" t="s">
        <v>1040</v>
      </c>
      <c r="B587" s="1">
        <v>45816</v>
      </c>
      <c r="C587" t="s">
        <v>1041</v>
      </c>
      <c r="D587" t="s">
        <v>90</v>
      </c>
      <c r="E587" t="s">
        <v>46</v>
      </c>
      <c r="F587" t="s">
        <v>37</v>
      </c>
      <c r="G587" t="s">
        <v>224</v>
      </c>
      <c r="H587">
        <v>2</v>
      </c>
      <c r="I587">
        <v>6335</v>
      </c>
      <c r="J587">
        <v>0</v>
      </c>
      <c r="K587">
        <v>0</v>
      </c>
      <c r="L587">
        <v>12670</v>
      </c>
      <c r="M587">
        <v>7809.75</v>
      </c>
      <c r="N587">
        <v>4860.25</v>
      </c>
      <c r="O587" t="s">
        <v>60</v>
      </c>
      <c r="P587">
        <v>2369.27</v>
      </c>
      <c r="Q587" t="s">
        <v>68</v>
      </c>
      <c r="R587" t="s">
        <v>41</v>
      </c>
      <c r="S587">
        <v>2</v>
      </c>
      <c r="T587">
        <v>6</v>
      </c>
      <c r="U587" t="s">
        <v>32</v>
      </c>
      <c r="V587" t="s">
        <v>42</v>
      </c>
    </row>
    <row r="588" spans="1:23" x14ac:dyDescent="0.25">
      <c r="A588" t="s">
        <v>1042</v>
      </c>
      <c r="B588" s="1">
        <v>45773</v>
      </c>
      <c r="C588" t="s">
        <v>1033</v>
      </c>
      <c r="D588" t="s">
        <v>67</v>
      </c>
      <c r="E588" t="s">
        <v>26</v>
      </c>
      <c r="F588" t="s">
        <v>86</v>
      </c>
      <c r="G588" t="s">
        <v>127</v>
      </c>
      <c r="H588">
        <v>1</v>
      </c>
      <c r="I588">
        <v>17627</v>
      </c>
      <c r="J588">
        <v>0</v>
      </c>
      <c r="K588">
        <v>0</v>
      </c>
      <c r="L588">
        <v>17627</v>
      </c>
      <c r="M588">
        <v>11761.9</v>
      </c>
      <c r="N588">
        <v>5865.1</v>
      </c>
      <c r="O588" t="s">
        <v>91</v>
      </c>
      <c r="P588">
        <v>609.66</v>
      </c>
      <c r="Q588" t="s">
        <v>30</v>
      </c>
      <c r="R588" t="s">
        <v>31</v>
      </c>
      <c r="S588">
        <v>5</v>
      </c>
      <c r="T588">
        <v>4</v>
      </c>
      <c r="U588" t="s">
        <v>32</v>
      </c>
      <c r="V588" t="s">
        <v>33</v>
      </c>
      <c r="W588">
        <v>5</v>
      </c>
    </row>
    <row r="589" spans="1:23" x14ac:dyDescent="0.25">
      <c r="A589" t="s">
        <v>1043</v>
      </c>
      <c r="B589" s="1">
        <v>45759</v>
      </c>
      <c r="C589" t="s">
        <v>657</v>
      </c>
      <c r="D589" t="s">
        <v>45</v>
      </c>
      <c r="E589" t="s">
        <v>26</v>
      </c>
      <c r="F589" t="s">
        <v>86</v>
      </c>
      <c r="G589" t="s">
        <v>110</v>
      </c>
      <c r="H589">
        <v>1</v>
      </c>
      <c r="I589">
        <v>45334</v>
      </c>
      <c r="J589">
        <v>20</v>
      </c>
      <c r="K589">
        <v>9066.7999999999993</v>
      </c>
      <c r="L589">
        <v>36267.199999999997</v>
      </c>
      <c r="M589">
        <v>24747.279999999999</v>
      </c>
      <c r="N589">
        <v>11519.92</v>
      </c>
      <c r="O589" t="s">
        <v>91</v>
      </c>
      <c r="P589">
        <v>1449.85</v>
      </c>
      <c r="Q589" t="s">
        <v>73</v>
      </c>
      <c r="R589" t="s">
        <v>41</v>
      </c>
      <c r="S589">
        <v>2</v>
      </c>
      <c r="T589">
        <v>4</v>
      </c>
      <c r="U589" t="s">
        <v>32</v>
      </c>
      <c r="V589" t="s">
        <v>50</v>
      </c>
      <c r="W589">
        <v>3</v>
      </c>
    </row>
    <row r="590" spans="1:23" x14ac:dyDescent="0.25">
      <c r="A590" t="s">
        <v>1044</v>
      </c>
      <c r="B590" s="1">
        <v>45733</v>
      </c>
      <c r="C590" t="s">
        <v>553</v>
      </c>
      <c r="D590" t="s">
        <v>63</v>
      </c>
      <c r="E590" t="s">
        <v>36</v>
      </c>
      <c r="F590" t="s">
        <v>53</v>
      </c>
      <c r="G590" t="s">
        <v>268</v>
      </c>
      <c r="H590">
        <v>1</v>
      </c>
      <c r="I590">
        <v>95824</v>
      </c>
      <c r="J590">
        <v>10</v>
      </c>
      <c r="K590">
        <v>9582.4</v>
      </c>
      <c r="L590">
        <v>86241.600000000006</v>
      </c>
      <c r="M590">
        <v>62815.4</v>
      </c>
      <c r="N590">
        <v>23426.2</v>
      </c>
      <c r="O590" t="s">
        <v>60</v>
      </c>
      <c r="P590">
        <v>494.53</v>
      </c>
      <c r="Q590" t="s">
        <v>30</v>
      </c>
      <c r="R590" t="s">
        <v>41</v>
      </c>
      <c r="S590">
        <v>2</v>
      </c>
      <c r="T590">
        <v>3</v>
      </c>
      <c r="U590" t="s">
        <v>56</v>
      </c>
      <c r="V590" t="s">
        <v>33</v>
      </c>
      <c r="W590">
        <v>5</v>
      </c>
    </row>
    <row r="591" spans="1:23" x14ac:dyDescent="0.25">
      <c r="A591" t="s">
        <v>1045</v>
      </c>
      <c r="B591" s="1">
        <v>45670</v>
      </c>
      <c r="C591" t="s">
        <v>1046</v>
      </c>
      <c r="D591" t="s">
        <v>124</v>
      </c>
      <c r="E591" t="s">
        <v>46</v>
      </c>
      <c r="F591" t="s">
        <v>27</v>
      </c>
      <c r="G591" t="s">
        <v>28</v>
      </c>
      <c r="H591">
        <v>1</v>
      </c>
      <c r="I591">
        <v>21924</v>
      </c>
      <c r="J591">
        <v>10</v>
      </c>
      <c r="K591">
        <v>2192.4</v>
      </c>
      <c r="L591">
        <v>19731.599999999999</v>
      </c>
      <c r="M591">
        <v>14448.41</v>
      </c>
      <c r="N591">
        <v>5283.19</v>
      </c>
      <c r="O591" t="s">
        <v>55</v>
      </c>
      <c r="P591">
        <v>1216.49</v>
      </c>
      <c r="Q591" t="s">
        <v>30</v>
      </c>
      <c r="R591" t="s">
        <v>41</v>
      </c>
      <c r="S591">
        <v>2</v>
      </c>
      <c r="T591">
        <v>1</v>
      </c>
      <c r="U591" t="s">
        <v>32</v>
      </c>
      <c r="V591" t="s">
        <v>33</v>
      </c>
      <c r="W591">
        <v>5</v>
      </c>
    </row>
    <row r="592" spans="1:23" x14ac:dyDescent="0.25">
      <c r="A592" t="s">
        <v>1047</v>
      </c>
      <c r="B592" s="1">
        <v>45681</v>
      </c>
      <c r="C592" t="s">
        <v>1048</v>
      </c>
      <c r="D592" t="s">
        <v>67</v>
      </c>
      <c r="E592" t="s">
        <v>46</v>
      </c>
      <c r="F592" t="s">
        <v>86</v>
      </c>
      <c r="G592" t="s">
        <v>180</v>
      </c>
      <c r="H592">
        <v>2</v>
      </c>
      <c r="I592">
        <v>64672</v>
      </c>
      <c r="J592">
        <v>0</v>
      </c>
      <c r="K592">
        <v>0</v>
      </c>
      <c r="L592">
        <v>129344</v>
      </c>
      <c r="M592">
        <v>89858.32</v>
      </c>
      <c r="N592">
        <v>39485.68</v>
      </c>
      <c r="O592" t="s">
        <v>49</v>
      </c>
      <c r="P592">
        <v>198.36</v>
      </c>
      <c r="Q592" t="s">
        <v>40</v>
      </c>
      <c r="R592" t="s">
        <v>31</v>
      </c>
      <c r="S592">
        <v>5</v>
      </c>
      <c r="T592">
        <v>4</v>
      </c>
      <c r="U592" t="s">
        <v>32</v>
      </c>
      <c r="V592" t="s">
        <v>50</v>
      </c>
      <c r="W592">
        <v>5</v>
      </c>
    </row>
    <row r="593" spans="1:23" x14ac:dyDescent="0.25">
      <c r="A593" t="s">
        <v>1049</v>
      </c>
      <c r="B593" s="1">
        <v>45783</v>
      </c>
      <c r="C593" t="s">
        <v>1050</v>
      </c>
      <c r="D593" t="s">
        <v>71</v>
      </c>
      <c r="E593" t="s">
        <v>26</v>
      </c>
      <c r="F593" t="s">
        <v>37</v>
      </c>
      <c r="G593" t="s">
        <v>224</v>
      </c>
      <c r="H593">
        <v>1</v>
      </c>
      <c r="I593">
        <v>7225</v>
      </c>
      <c r="J593">
        <v>25</v>
      </c>
      <c r="K593">
        <v>1806.25</v>
      </c>
      <c r="L593">
        <v>5418.75</v>
      </c>
      <c r="M593">
        <v>3288.23</v>
      </c>
      <c r="N593">
        <v>2130.52</v>
      </c>
      <c r="O593" t="s">
        <v>55</v>
      </c>
      <c r="P593">
        <v>2127.7399999999998</v>
      </c>
      <c r="Q593" t="s">
        <v>30</v>
      </c>
      <c r="R593" t="s">
        <v>31</v>
      </c>
      <c r="S593">
        <v>5</v>
      </c>
      <c r="T593">
        <v>1</v>
      </c>
      <c r="U593" t="s">
        <v>32</v>
      </c>
      <c r="V593" t="s">
        <v>42</v>
      </c>
    </row>
    <row r="594" spans="1:23" x14ac:dyDescent="0.25">
      <c r="A594" t="s">
        <v>1051</v>
      </c>
      <c r="B594" s="1">
        <v>45901</v>
      </c>
      <c r="C594" t="s">
        <v>1052</v>
      </c>
      <c r="D594" t="s">
        <v>25</v>
      </c>
      <c r="E594" t="s">
        <v>46</v>
      </c>
      <c r="F594" t="s">
        <v>47</v>
      </c>
      <c r="G594" t="s">
        <v>48</v>
      </c>
      <c r="H594">
        <v>2</v>
      </c>
      <c r="I594">
        <v>7893</v>
      </c>
      <c r="J594">
        <v>0</v>
      </c>
      <c r="K594">
        <v>0</v>
      </c>
      <c r="L594">
        <v>15786</v>
      </c>
      <c r="M594">
        <v>10819.8</v>
      </c>
      <c r="N594">
        <v>4966.2</v>
      </c>
      <c r="O594" t="s">
        <v>39</v>
      </c>
      <c r="P594">
        <v>851.11</v>
      </c>
      <c r="Q594" t="s">
        <v>83</v>
      </c>
      <c r="R594" t="s">
        <v>31</v>
      </c>
      <c r="S594">
        <v>5</v>
      </c>
      <c r="T594">
        <v>5</v>
      </c>
      <c r="U594" t="s">
        <v>32</v>
      </c>
      <c r="V594" t="s">
        <v>33</v>
      </c>
      <c r="W594">
        <v>2</v>
      </c>
    </row>
    <row r="595" spans="1:23" x14ac:dyDescent="0.25">
      <c r="A595" t="s">
        <v>1053</v>
      </c>
      <c r="B595" s="1">
        <v>45970</v>
      </c>
      <c r="C595" t="s">
        <v>567</v>
      </c>
      <c r="D595" t="s">
        <v>63</v>
      </c>
      <c r="E595" t="s">
        <v>46</v>
      </c>
      <c r="F595" t="s">
        <v>47</v>
      </c>
      <c r="G595" t="s">
        <v>146</v>
      </c>
      <c r="H595">
        <v>2</v>
      </c>
      <c r="I595">
        <v>33263</v>
      </c>
      <c r="J595">
        <v>0</v>
      </c>
      <c r="K595">
        <v>0</v>
      </c>
      <c r="L595">
        <v>66526</v>
      </c>
      <c r="M595">
        <v>37963.879999999997</v>
      </c>
      <c r="N595">
        <v>28562.12</v>
      </c>
      <c r="O595" t="s">
        <v>49</v>
      </c>
      <c r="P595">
        <v>56.63</v>
      </c>
      <c r="Q595" t="s">
        <v>40</v>
      </c>
      <c r="R595" t="s">
        <v>41</v>
      </c>
      <c r="S595">
        <v>2</v>
      </c>
      <c r="T595">
        <v>0</v>
      </c>
      <c r="U595" t="s">
        <v>32</v>
      </c>
      <c r="V595" t="s">
        <v>42</v>
      </c>
    </row>
    <row r="596" spans="1:23" x14ac:dyDescent="0.25">
      <c r="A596" t="s">
        <v>1054</v>
      </c>
      <c r="B596" s="1">
        <v>45695</v>
      </c>
      <c r="C596" t="s">
        <v>1055</v>
      </c>
      <c r="D596" t="s">
        <v>45</v>
      </c>
      <c r="E596" t="s">
        <v>46</v>
      </c>
      <c r="F596" t="s">
        <v>37</v>
      </c>
      <c r="G596" t="s">
        <v>161</v>
      </c>
      <c r="H596">
        <v>2</v>
      </c>
      <c r="I596">
        <v>5535</v>
      </c>
      <c r="J596">
        <v>10</v>
      </c>
      <c r="K596">
        <v>1107</v>
      </c>
      <c r="L596">
        <v>9963</v>
      </c>
      <c r="M596">
        <v>6216.85</v>
      </c>
      <c r="N596">
        <v>3746.15</v>
      </c>
      <c r="O596" t="s">
        <v>60</v>
      </c>
      <c r="P596">
        <v>2429.3000000000002</v>
      </c>
      <c r="Q596" t="s">
        <v>40</v>
      </c>
      <c r="R596" t="s">
        <v>31</v>
      </c>
      <c r="S596">
        <v>5</v>
      </c>
      <c r="T596">
        <v>7</v>
      </c>
      <c r="U596" t="s">
        <v>56</v>
      </c>
      <c r="V596" t="s">
        <v>33</v>
      </c>
      <c r="W596">
        <v>3</v>
      </c>
    </row>
    <row r="597" spans="1:23" x14ac:dyDescent="0.25">
      <c r="A597" t="s">
        <v>1056</v>
      </c>
      <c r="B597" s="1">
        <v>45891</v>
      </c>
      <c r="C597" t="s">
        <v>272</v>
      </c>
      <c r="D597" t="s">
        <v>71</v>
      </c>
      <c r="E597" t="s">
        <v>46</v>
      </c>
      <c r="F597" t="s">
        <v>27</v>
      </c>
      <c r="G597" t="s">
        <v>113</v>
      </c>
      <c r="H597">
        <v>1</v>
      </c>
      <c r="I597">
        <v>26531</v>
      </c>
      <c r="J597">
        <v>25</v>
      </c>
      <c r="K597">
        <v>6632.75</v>
      </c>
      <c r="L597">
        <v>19898.25</v>
      </c>
      <c r="M597">
        <v>12258.23</v>
      </c>
      <c r="N597">
        <v>7640.02</v>
      </c>
      <c r="O597" t="s">
        <v>55</v>
      </c>
      <c r="P597">
        <v>1105.3800000000001</v>
      </c>
      <c r="Q597" t="s">
        <v>73</v>
      </c>
      <c r="R597" t="s">
        <v>41</v>
      </c>
      <c r="S597">
        <v>2</v>
      </c>
      <c r="T597">
        <v>1</v>
      </c>
      <c r="U597" t="s">
        <v>32</v>
      </c>
      <c r="V597" t="s">
        <v>33</v>
      </c>
      <c r="W597">
        <v>5</v>
      </c>
    </row>
    <row r="598" spans="1:23" x14ac:dyDescent="0.25">
      <c r="A598" t="s">
        <v>1057</v>
      </c>
      <c r="B598" s="1">
        <v>45870</v>
      </c>
      <c r="C598" t="s">
        <v>747</v>
      </c>
      <c r="D598" t="s">
        <v>124</v>
      </c>
      <c r="E598" t="s">
        <v>36</v>
      </c>
      <c r="F598" t="s">
        <v>37</v>
      </c>
      <c r="G598" t="s">
        <v>224</v>
      </c>
      <c r="H598">
        <v>1</v>
      </c>
      <c r="I598">
        <v>11140</v>
      </c>
      <c r="J598">
        <v>10</v>
      </c>
      <c r="K598">
        <v>1114</v>
      </c>
      <c r="L598">
        <v>10026</v>
      </c>
      <c r="M598">
        <v>6414.21</v>
      </c>
      <c r="N598">
        <v>3611.79</v>
      </c>
      <c r="O598" t="s">
        <v>29</v>
      </c>
      <c r="P598">
        <v>589.29</v>
      </c>
      <c r="Q598" t="s">
        <v>30</v>
      </c>
      <c r="R598" t="s">
        <v>31</v>
      </c>
      <c r="S598">
        <v>5</v>
      </c>
      <c r="T598">
        <v>0</v>
      </c>
      <c r="U598" t="s">
        <v>32</v>
      </c>
      <c r="V598" t="s">
        <v>50</v>
      </c>
      <c r="W598">
        <v>5</v>
      </c>
    </row>
    <row r="599" spans="1:23" x14ac:dyDescent="0.25">
      <c r="A599" t="s">
        <v>1058</v>
      </c>
      <c r="B599" s="1">
        <v>45980</v>
      </c>
      <c r="C599" t="s">
        <v>622</v>
      </c>
      <c r="D599" t="s">
        <v>154</v>
      </c>
      <c r="E599" t="s">
        <v>26</v>
      </c>
      <c r="F599" t="s">
        <v>37</v>
      </c>
      <c r="G599" t="s">
        <v>161</v>
      </c>
      <c r="H599">
        <v>1</v>
      </c>
      <c r="I599">
        <v>36336</v>
      </c>
      <c r="J599">
        <v>10</v>
      </c>
      <c r="K599">
        <v>3633.6</v>
      </c>
      <c r="L599">
        <v>32702.400000000001</v>
      </c>
      <c r="M599">
        <v>21622.89</v>
      </c>
      <c r="N599">
        <v>11079.51</v>
      </c>
      <c r="O599" t="s">
        <v>60</v>
      </c>
      <c r="P599">
        <v>283.97000000000003</v>
      </c>
      <c r="Q599" t="s">
        <v>40</v>
      </c>
      <c r="R599" t="s">
        <v>41</v>
      </c>
      <c r="S599">
        <v>2</v>
      </c>
      <c r="T599">
        <v>6</v>
      </c>
      <c r="U599" t="s">
        <v>32</v>
      </c>
      <c r="V599" t="s">
        <v>50</v>
      </c>
      <c r="W599">
        <v>2</v>
      </c>
    </row>
    <row r="600" spans="1:23" x14ac:dyDescent="0.25">
      <c r="A600" t="s">
        <v>1059</v>
      </c>
      <c r="B600" s="1">
        <v>45952</v>
      </c>
      <c r="C600" t="s">
        <v>1060</v>
      </c>
      <c r="D600" t="s">
        <v>63</v>
      </c>
      <c r="E600" t="s">
        <v>46</v>
      </c>
      <c r="F600" t="s">
        <v>37</v>
      </c>
      <c r="G600" t="s">
        <v>100</v>
      </c>
      <c r="H600">
        <v>2</v>
      </c>
      <c r="I600">
        <v>19449</v>
      </c>
      <c r="J600">
        <v>10</v>
      </c>
      <c r="K600">
        <v>3889.8</v>
      </c>
      <c r="L600">
        <v>35008.199999999997</v>
      </c>
      <c r="M600">
        <v>23615.5</v>
      </c>
      <c r="N600">
        <v>11392.7</v>
      </c>
      <c r="O600" t="s">
        <v>49</v>
      </c>
      <c r="P600">
        <v>241.57</v>
      </c>
      <c r="Q600" t="s">
        <v>83</v>
      </c>
      <c r="R600" t="s">
        <v>31</v>
      </c>
      <c r="S600">
        <v>5</v>
      </c>
      <c r="T600">
        <v>4</v>
      </c>
      <c r="U600" t="s">
        <v>32</v>
      </c>
      <c r="V600" t="s">
        <v>33</v>
      </c>
      <c r="W600">
        <v>1</v>
      </c>
    </row>
    <row r="601" spans="1:23" x14ac:dyDescent="0.25">
      <c r="A601" t="s">
        <v>1061</v>
      </c>
      <c r="B601" s="1">
        <v>45757</v>
      </c>
      <c r="C601" t="s">
        <v>645</v>
      </c>
      <c r="D601" t="s">
        <v>154</v>
      </c>
      <c r="E601" t="s">
        <v>26</v>
      </c>
      <c r="F601" t="s">
        <v>27</v>
      </c>
      <c r="G601" t="s">
        <v>76</v>
      </c>
      <c r="H601">
        <v>1</v>
      </c>
      <c r="I601">
        <v>17399</v>
      </c>
      <c r="J601">
        <v>0</v>
      </c>
      <c r="K601">
        <v>0</v>
      </c>
      <c r="L601">
        <v>17399</v>
      </c>
      <c r="M601">
        <v>12511</v>
      </c>
      <c r="N601">
        <v>4888</v>
      </c>
      <c r="O601" t="s">
        <v>29</v>
      </c>
      <c r="P601">
        <v>1922.68</v>
      </c>
      <c r="Q601" t="s">
        <v>40</v>
      </c>
      <c r="R601" t="s">
        <v>41</v>
      </c>
      <c r="S601">
        <v>2</v>
      </c>
      <c r="T601">
        <v>1</v>
      </c>
      <c r="U601" t="s">
        <v>32</v>
      </c>
      <c r="V601" t="s">
        <v>42</v>
      </c>
    </row>
    <row r="602" spans="1:23" x14ac:dyDescent="0.25">
      <c r="A602" t="s">
        <v>1062</v>
      </c>
      <c r="B602" s="1">
        <v>46014</v>
      </c>
      <c r="C602" t="s">
        <v>1063</v>
      </c>
      <c r="D602" t="s">
        <v>63</v>
      </c>
      <c r="E602" t="s">
        <v>46</v>
      </c>
      <c r="F602" t="s">
        <v>27</v>
      </c>
      <c r="G602" t="s">
        <v>113</v>
      </c>
      <c r="H602">
        <v>1</v>
      </c>
      <c r="I602">
        <v>14063</v>
      </c>
      <c r="J602">
        <v>0</v>
      </c>
      <c r="K602">
        <v>0</v>
      </c>
      <c r="L602">
        <v>14063</v>
      </c>
      <c r="M602">
        <v>8271.99</v>
      </c>
      <c r="N602">
        <v>5791.01</v>
      </c>
      <c r="O602" t="s">
        <v>55</v>
      </c>
      <c r="P602">
        <v>1612.2</v>
      </c>
      <c r="Q602" t="s">
        <v>73</v>
      </c>
      <c r="R602" t="s">
        <v>31</v>
      </c>
      <c r="S602">
        <v>5</v>
      </c>
      <c r="T602">
        <v>6</v>
      </c>
      <c r="U602" t="s">
        <v>32</v>
      </c>
      <c r="V602" t="s">
        <v>42</v>
      </c>
    </row>
    <row r="603" spans="1:23" x14ac:dyDescent="0.25">
      <c r="A603" t="s">
        <v>1064</v>
      </c>
      <c r="B603" s="1">
        <v>45854</v>
      </c>
      <c r="C603" t="s">
        <v>1065</v>
      </c>
      <c r="D603" t="s">
        <v>67</v>
      </c>
      <c r="E603" t="s">
        <v>46</v>
      </c>
      <c r="F603" t="s">
        <v>37</v>
      </c>
      <c r="G603" t="s">
        <v>38</v>
      </c>
      <c r="H603">
        <v>1</v>
      </c>
      <c r="I603">
        <v>38365</v>
      </c>
      <c r="J603">
        <v>20</v>
      </c>
      <c r="K603">
        <v>7673</v>
      </c>
      <c r="L603">
        <v>30692</v>
      </c>
      <c r="M603">
        <v>16961.990000000002</v>
      </c>
      <c r="N603">
        <v>13730.01</v>
      </c>
      <c r="O603" t="s">
        <v>60</v>
      </c>
      <c r="P603">
        <v>1282.1300000000001</v>
      </c>
      <c r="Q603" t="s">
        <v>83</v>
      </c>
      <c r="R603" t="s">
        <v>31</v>
      </c>
      <c r="S603">
        <v>5</v>
      </c>
      <c r="T603">
        <v>3</v>
      </c>
      <c r="U603" t="s">
        <v>32</v>
      </c>
      <c r="V603" t="s">
        <v>33</v>
      </c>
      <c r="W603">
        <v>2</v>
      </c>
    </row>
    <row r="604" spans="1:23" x14ac:dyDescent="0.25">
      <c r="A604" t="s">
        <v>1066</v>
      </c>
      <c r="B604" s="1">
        <v>45911</v>
      </c>
      <c r="C604" t="s">
        <v>284</v>
      </c>
      <c r="D604" t="s">
        <v>79</v>
      </c>
      <c r="E604" t="s">
        <v>26</v>
      </c>
      <c r="F604" t="s">
        <v>86</v>
      </c>
      <c r="G604" t="s">
        <v>87</v>
      </c>
      <c r="H604">
        <v>1</v>
      </c>
      <c r="I604">
        <v>83916</v>
      </c>
      <c r="J604">
        <v>10</v>
      </c>
      <c r="K604">
        <v>8391.6</v>
      </c>
      <c r="L604">
        <v>75524.399999999994</v>
      </c>
      <c r="M604">
        <v>54514.48</v>
      </c>
      <c r="N604">
        <v>21009.919999999998</v>
      </c>
      <c r="O604" t="s">
        <v>29</v>
      </c>
      <c r="P604">
        <v>232.5</v>
      </c>
      <c r="Q604" t="s">
        <v>68</v>
      </c>
      <c r="R604" t="s">
        <v>41</v>
      </c>
      <c r="S604">
        <v>2</v>
      </c>
      <c r="T604">
        <v>3</v>
      </c>
      <c r="U604" t="s">
        <v>56</v>
      </c>
      <c r="V604" t="s">
        <v>33</v>
      </c>
      <c r="W604">
        <v>5</v>
      </c>
    </row>
    <row r="605" spans="1:23" x14ac:dyDescent="0.25">
      <c r="A605" t="s">
        <v>1067</v>
      </c>
      <c r="B605" s="1">
        <v>45862</v>
      </c>
      <c r="C605" t="s">
        <v>282</v>
      </c>
      <c r="D605" t="s">
        <v>45</v>
      </c>
      <c r="E605" t="s">
        <v>46</v>
      </c>
      <c r="F605" t="s">
        <v>86</v>
      </c>
      <c r="G605" t="s">
        <v>94</v>
      </c>
      <c r="H605">
        <v>2</v>
      </c>
      <c r="I605">
        <v>79546</v>
      </c>
      <c r="J605">
        <v>0</v>
      </c>
      <c r="K605">
        <v>0</v>
      </c>
      <c r="L605">
        <v>159092</v>
      </c>
      <c r="M605">
        <v>112957.32</v>
      </c>
      <c r="N605">
        <v>46134.68</v>
      </c>
      <c r="O605" t="s">
        <v>49</v>
      </c>
      <c r="P605">
        <v>130.25</v>
      </c>
      <c r="Q605" t="s">
        <v>40</v>
      </c>
      <c r="R605" t="s">
        <v>31</v>
      </c>
      <c r="S605">
        <v>5</v>
      </c>
      <c r="T605">
        <v>7</v>
      </c>
      <c r="U605" t="s">
        <v>56</v>
      </c>
      <c r="V605" t="s">
        <v>33</v>
      </c>
      <c r="W605">
        <v>3</v>
      </c>
    </row>
    <row r="606" spans="1:23" x14ac:dyDescent="0.25">
      <c r="A606" t="s">
        <v>1068</v>
      </c>
      <c r="B606" s="1">
        <v>45782</v>
      </c>
      <c r="C606" t="s">
        <v>1069</v>
      </c>
      <c r="D606" t="s">
        <v>45</v>
      </c>
      <c r="E606" t="s">
        <v>26</v>
      </c>
      <c r="F606" t="s">
        <v>53</v>
      </c>
      <c r="G606" t="s">
        <v>268</v>
      </c>
      <c r="H606">
        <v>1</v>
      </c>
      <c r="I606">
        <v>110184</v>
      </c>
      <c r="J606">
        <v>5</v>
      </c>
      <c r="K606">
        <v>5509.2</v>
      </c>
      <c r="L606">
        <v>104674.8</v>
      </c>
      <c r="M606">
        <v>62322</v>
      </c>
      <c r="N606">
        <v>42352.800000000003</v>
      </c>
      <c r="O606" t="s">
        <v>49</v>
      </c>
      <c r="P606">
        <v>468.3</v>
      </c>
      <c r="Q606" t="s">
        <v>40</v>
      </c>
      <c r="R606" t="s">
        <v>31</v>
      </c>
      <c r="S606">
        <v>5</v>
      </c>
      <c r="T606">
        <v>5</v>
      </c>
      <c r="U606" t="s">
        <v>32</v>
      </c>
      <c r="V606" t="s">
        <v>33</v>
      </c>
      <c r="W606">
        <v>1</v>
      </c>
    </row>
    <row r="607" spans="1:23" x14ac:dyDescent="0.25">
      <c r="A607" t="s">
        <v>1070</v>
      </c>
      <c r="B607" s="1">
        <v>45733</v>
      </c>
      <c r="C607" t="s">
        <v>274</v>
      </c>
      <c r="D607" t="s">
        <v>67</v>
      </c>
      <c r="E607" t="s">
        <v>46</v>
      </c>
      <c r="F607" t="s">
        <v>47</v>
      </c>
      <c r="G607" t="s">
        <v>146</v>
      </c>
      <c r="H607">
        <v>3</v>
      </c>
      <c r="I607">
        <v>15976</v>
      </c>
      <c r="J607">
        <v>15</v>
      </c>
      <c r="K607">
        <v>7189.2</v>
      </c>
      <c r="L607">
        <v>40738.800000000003</v>
      </c>
      <c r="M607">
        <v>29719.26</v>
      </c>
      <c r="N607">
        <v>11019.54</v>
      </c>
      <c r="O607" t="s">
        <v>55</v>
      </c>
      <c r="P607">
        <v>1948.02</v>
      </c>
      <c r="Q607" t="s">
        <v>68</v>
      </c>
      <c r="R607" t="s">
        <v>41</v>
      </c>
      <c r="S607">
        <v>2</v>
      </c>
      <c r="T607">
        <v>5</v>
      </c>
      <c r="U607" t="s">
        <v>56</v>
      </c>
      <c r="V607" t="s">
        <v>33</v>
      </c>
      <c r="W607">
        <v>5</v>
      </c>
    </row>
    <row r="608" spans="1:23" x14ac:dyDescent="0.25">
      <c r="A608" t="s">
        <v>1071</v>
      </c>
      <c r="B608" s="1">
        <v>45993</v>
      </c>
      <c r="C608" t="s">
        <v>427</v>
      </c>
      <c r="D608" t="s">
        <v>71</v>
      </c>
      <c r="E608" t="s">
        <v>26</v>
      </c>
      <c r="F608" t="s">
        <v>37</v>
      </c>
      <c r="G608" t="s">
        <v>100</v>
      </c>
      <c r="H608">
        <v>1</v>
      </c>
      <c r="I608">
        <v>18018</v>
      </c>
      <c r="J608">
        <v>0</v>
      </c>
      <c r="K608">
        <v>0</v>
      </c>
      <c r="L608">
        <v>18018</v>
      </c>
      <c r="M608">
        <v>14509.58</v>
      </c>
      <c r="N608">
        <v>3508.42</v>
      </c>
      <c r="O608" t="s">
        <v>49</v>
      </c>
      <c r="P608">
        <v>246.76</v>
      </c>
      <c r="Q608" t="s">
        <v>30</v>
      </c>
      <c r="R608" t="s">
        <v>31</v>
      </c>
      <c r="S608">
        <v>5</v>
      </c>
      <c r="T608">
        <v>3</v>
      </c>
      <c r="U608" t="s">
        <v>32</v>
      </c>
      <c r="V608" t="s">
        <v>33</v>
      </c>
      <c r="W608">
        <v>5</v>
      </c>
    </row>
    <row r="609" spans="1:23" x14ac:dyDescent="0.25">
      <c r="A609" t="s">
        <v>1072</v>
      </c>
      <c r="B609" s="1">
        <v>46010</v>
      </c>
      <c r="C609" t="s">
        <v>737</v>
      </c>
      <c r="D609" t="s">
        <v>97</v>
      </c>
      <c r="E609" t="s">
        <v>26</v>
      </c>
      <c r="F609" t="s">
        <v>27</v>
      </c>
      <c r="G609" t="s">
        <v>72</v>
      </c>
      <c r="H609">
        <v>1</v>
      </c>
      <c r="I609">
        <v>27371</v>
      </c>
      <c r="J609">
        <v>5</v>
      </c>
      <c r="K609">
        <v>1368.55</v>
      </c>
      <c r="L609">
        <v>26002.45</v>
      </c>
      <c r="M609">
        <v>18632.91</v>
      </c>
      <c r="N609">
        <v>7369.54</v>
      </c>
      <c r="O609" t="s">
        <v>60</v>
      </c>
      <c r="P609">
        <v>611.71</v>
      </c>
      <c r="Q609" t="s">
        <v>83</v>
      </c>
      <c r="R609" t="s">
        <v>41</v>
      </c>
      <c r="S609">
        <v>2</v>
      </c>
      <c r="T609">
        <v>1</v>
      </c>
      <c r="U609" t="s">
        <v>32</v>
      </c>
      <c r="V609" t="s">
        <v>33</v>
      </c>
      <c r="W609">
        <v>3</v>
      </c>
    </row>
    <row r="610" spans="1:23" x14ac:dyDescent="0.25">
      <c r="A610" t="s">
        <v>1073</v>
      </c>
      <c r="B610" s="1">
        <v>45660</v>
      </c>
      <c r="C610" t="s">
        <v>81</v>
      </c>
      <c r="D610" t="s">
        <v>97</v>
      </c>
      <c r="E610" t="s">
        <v>46</v>
      </c>
      <c r="F610" t="s">
        <v>47</v>
      </c>
      <c r="G610" t="s">
        <v>105</v>
      </c>
      <c r="H610">
        <v>1</v>
      </c>
      <c r="I610">
        <v>31174</v>
      </c>
      <c r="J610">
        <v>10</v>
      </c>
      <c r="K610">
        <v>3117.4</v>
      </c>
      <c r="L610">
        <v>28056.6</v>
      </c>
      <c r="M610">
        <v>15685.12</v>
      </c>
      <c r="N610">
        <v>12371.48</v>
      </c>
      <c r="O610" t="s">
        <v>91</v>
      </c>
      <c r="P610">
        <v>301.01</v>
      </c>
      <c r="Q610" t="s">
        <v>73</v>
      </c>
      <c r="R610" t="s">
        <v>41</v>
      </c>
      <c r="S610">
        <v>2</v>
      </c>
      <c r="T610">
        <v>1</v>
      </c>
      <c r="U610" t="s">
        <v>32</v>
      </c>
      <c r="V610" t="s">
        <v>33</v>
      </c>
      <c r="W610">
        <v>4</v>
      </c>
    </row>
    <row r="611" spans="1:23" x14ac:dyDescent="0.25">
      <c r="A611" t="s">
        <v>1074</v>
      </c>
      <c r="B611" s="1">
        <v>45712</v>
      </c>
      <c r="C611" t="s">
        <v>310</v>
      </c>
      <c r="D611" t="s">
        <v>90</v>
      </c>
      <c r="E611" t="s">
        <v>36</v>
      </c>
      <c r="F611" t="s">
        <v>86</v>
      </c>
      <c r="G611" t="s">
        <v>180</v>
      </c>
      <c r="H611">
        <v>4</v>
      </c>
      <c r="I611">
        <v>70264</v>
      </c>
      <c r="J611">
        <v>25</v>
      </c>
      <c r="K611">
        <v>70264</v>
      </c>
      <c r="L611">
        <v>210792</v>
      </c>
      <c r="M611">
        <v>161889.57999999999</v>
      </c>
      <c r="N611">
        <v>48902.42</v>
      </c>
      <c r="O611" t="s">
        <v>49</v>
      </c>
      <c r="P611">
        <v>325.81</v>
      </c>
      <c r="Q611" t="s">
        <v>68</v>
      </c>
      <c r="R611" t="s">
        <v>41</v>
      </c>
      <c r="S611">
        <v>2</v>
      </c>
      <c r="T611">
        <v>4</v>
      </c>
      <c r="U611" t="s">
        <v>56</v>
      </c>
      <c r="V611" t="s">
        <v>33</v>
      </c>
      <c r="W611">
        <v>1</v>
      </c>
    </row>
    <row r="612" spans="1:23" x14ac:dyDescent="0.25">
      <c r="A612" t="s">
        <v>1075</v>
      </c>
      <c r="B612" s="1">
        <v>45875</v>
      </c>
      <c r="C612" t="s">
        <v>1076</v>
      </c>
      <c r="D612" t="s">
        <v>71</v>
      </c>
      <c r="E612" t="s">
        <v>46</v>
      </c>
      <c r="F612" t="s">
        <v>47</v>
      </c>
      <c r="G612" t="s">
        <v>146</v>
      </c>
      <c r="H612">
        <v>2</v>
      </c>
      <c r="I612">
        <v>27593</v>
      </c>
      <c r="J612">
        <v>5</v>
      </c>
      <c r="K612">
        <v>2759.3</v>
      </c>
      <c r="L612">
        <v>52426.7</v>
      </c>
      <c r="M612">
        <v>38107.839999999997</v>
      </c>
      <c r="N612">
        <v>14318.86</v>
      </c>
      <c r="O612" t="s">
        <v>55</v>
      </c>
      <c r="P612">
        <v>1745.58</v>
      </c>
      <c r="Q612" t="s">
        <v>73</v>
      </c>
      <c r="R612" t="s">
        <v>31</v>
      </c>
      <c r="S612">
        <v>5</v>
      </c>
      <c r="T612">
        <v>2</v>
      </c>
      <c r="U612" t="s">
        <v>32</v>
      </c>
      <c r="V612" t="s">
        <v>50</v>
      </c>
      <c r="W612">
        <v>5</v>
      </c>
    </row>
    <row r="613" spans="1:23" x14ac:dyDescent="0.25">
      <c r="A613" t="s">
        <v>1077</v>
      </c>
      <c r="B613" s="1">
        <v>45770</v>
      </c>
      <c r="C613" t="s">
        <v>1078</v>
      </c>
      <c r="D613" t="s">
        <v>97</v>
      </c>
      <c r="E613" t="s">
        <v>36</v>
      </c>
      <c r="F613" t="s">
        <v>47</v>
      </c>
      <c r="G613" t="s">
        <v>64</v>
      </c>
      <c r="H613">
        <v>1</v>
      </c>
      <c r="I613">
        <v>50759</v>
      </c>
      <c r="J613">
        <v>25</v>
      </c>
      <c r="K613">
        <v>12689.75</v>
      </c>
      <c r="L613">
        <v>38069.25</v>
      </c>
      <c r="M613">
        <v>22454.34</v>
      </c>
      <c r="N613">
        <v>15614.91</v>
      </c>
      <c r="O613" t="s">
        <v>55</v>
      </c>
      <c r="P613">
        <v>1219.82</v>
      </c>
      <c r="Q613" t="s">
        <v>73</v>
      </c>
      <c r="R613" t="s">
        <v>31</v>
      </c>
      <c r="S613">
        <v>5</v>
      </c>
      <c r="T613">
        <v>4</v>
      </c>
      <c r="U613" t="s">
        <v>32</v>
      </c>
      <c r="V613" t="s">
        <v>33</v>
      </c>
      <c r="W613">
        <v>2</v>
      </c>
    </row>
    <row r="614" spans="1:23" x14ac:dyDescent="0.25">
      <c r="A614" t="s">
        <v>1079</v>
      </c>
      <c r="B614" s="1">
        <v>45748</v>
      </c>
      <c r="C614" t="s">
        <v>1080</v>
      </c>
      <c r="D614" t="s">
        <v>71</v>
      </c>
      <c r="E614" t="s">
        <v>26</v>
      </c>
      <c r="F614" t="s">
        <v>37</v>
      </c>
      <c r="G614" t="s">
        <v>161</v>
      </c>
      <c r="H614">
        <v>2</v>
      </c>
      <c r="I614">
        <v>26982</v>
      </c>
      <c r="J614">
        <v>0</v>
      </c>
      <c r="K614">
        <v>0</v>
      </c>
      <c r="L614">
        <v>53964</v>
      </c>
      <c r="M614">
        <v>34655.26</v>
      </c>
      <c r="N614">
        <v>19308.740000000002</v>
      </c>
      <c r="O614" t="s">
        <v>91</v>
      </c>
      <c r="P614">
        <v>2339.63</v>
      </c>
      <c r="Q614" t="s">
        <v>83</v>
      </c>
      <c r="R614" t="s">
        <v>31</v>
      </c>
      <c r="S614">
        <v>5</v>
      </c>
      <c r="T614">
        <v>4</v>
      </c>
      <c r="U614" t="s">
        <v>32</v>
      </c>
      <c r="V614" t="s">
        <v>42</v>
      </c>
    </row>
    <row r="615" spans="1:23" x14ac:dyDescent="0.25">
      <c r="A615" t="s">
        <v>1081</v>
      </c>
      <c r="B615" s="1">
        <v>46014</v>
      </c>
      <c r="C615" t="s">
        <v>1082</v>
      </c>
      <c r="D615" t="s">
        <v>79</v>
      </c>
      <c r="E615" t="s">
        <v>46</v>
      </c>
      <c r="F615" t="s">
        <v>53</v>
      </c>
      <c r="G615" t="s">
        <v>151</v>
      </c>
      <c r="H615">
        <v>2</v>
      </c>
      <c r="I615">
        <v>11635</v>
      </c>
      <c r="J615">
        <v>20</v>
      </c>
      <c r="K615">
        <v>4654</v>
      </c>
      <c r="L615">
        <v>18616</v>
      </c>
      <c r="M615">
        <v>10647.31</v>
      </c>
      <c r="N615">
        <v>7968.69</v>
      </c>
      <c r="O615" t="s">
        <v>91</v>
      </c>
      <c r="P615">
        <v>1766.05</v>
      </c>
      <c r="Q615" t="s">
        <v>68</v>
      </c>
      <c r="R615" t="s">
        <v>31</v>
      </c>
      <c r="S615">
        <v>5</v>
      </c>
      <c r="T615">
        <v>2</v>
      </c>
      <c r="U615" t="s">
        <v>32</v>
      </c>
      <c r="V615" t="s">
        <v>50</v>
      </c>
      <c r="W615">
        <v>5</v>
      </c>
    </row>
    <row r="616" spans="1:23" x14ac:dyDescent="0.25">
      <c r="A616" t="s">
        <v>1083</v>
      </c>
      <c r="B616" s="1">
        <v>45923</v>
      </c>
      <c r="C616" t="s">
        <v>492</v>
      </c>
      <c r="D616" t="s">
        <v>71</v>
      </c>
      <c r="E616" t="s">
        <v>46</v>
      </c>
      <c r="F616" t="s">
        <v>47</v>
      </c>
      <c r="G616" t="s">
        <v>48</v>
      </c>
      <c r="H616">
        <v>1</v>
      </c>
      <c r="I616">
        <v>27679</v>
      </c>
      <c r="J616">
        <v>10</v>
      </c>
      <c r="K616">
        <v>2767.9</v>
      </c>
      <c r="L616">
        <v>24911.1</v>
      </c>
      <c r="M616">
        <v>19643.98</v>
      </c>
      <c r="N616">
        <v>5267.12</v>
      </c>
      <c r="O616" t="s">
        <v>49</v>
      </c>
      <c r="P616">
        <v>363.9</v>
      </c>
      <c r="Q616" t="s">
        <v>73</v>
      </c>
      <c r="R616" t="s">
        <v>41</v>
      </c>
      <c r="S616">
        <v>2</v>
      </c>
      <c r="T616">
        <v>6</v>
      </c>
      <c r="U616" t="s">
        <v>56</v>
      </c>
      <c r="V616" t="s">
        <v>33</v>
      </c>
      <c r="W616">
        <v>3</v>
      </c>
    </row>
    <row r="617" spans="1:23" x14ac:dyDescent="0.25">
      <c r="A617" t="s">
        <v>1084</v>
      </c>
      <c r="B617" s="1">
        <v>45895</v>
      </c>
      <c r="C617" t="s">
        <v>440</v>
      </c>
      <c r="D617" t="s">
        <v>45</v>
      </c>
      <c r="E617" t="s">
        <v>46</v>
      </c>
      <c r="F617" t="s">
        <v>53</v>
      </c>
      <c r="G617" t="s">
        <v>54</v>
      </c>
      <c r="H617">
        <v>2</v>
      </c>
      <c r="I617">
        <v>67939</v>
      </c>
      <c r="J617">
        <v>0</v>
      </c>
      <c r="K617">
        <v>0</v>
      </c>
      <c r="L617">
        <v>135878</v>
      </c>
      <c r="M617">
        <v>94468.66</v>
      </c>
      <c r="N617">
        <v>41409.339999999997</v>
      </c>
      <c r="O617" t="s">
        <v>39</v>
      </c>
      <c r="P617">
        <v>1685.82</v>
      </c>
      <c r="Q617" t="s">
        <v>73</v>
      </c>
      <c r="R617" t="s">
        <v>41</v>
      </c>
      <c r="S617">
        <v>2</v>
      </c>
      <c r="T617">
        <v>2</v>
      </c>
      <c r="U617" t="s">
        <v>32</v>
      </c>
      <c r="V617" t="s">
        <v>33</v>
      </c>
      <c r="W617">
        <v>3</v>
      </c>
    </row>
    <row r="618" spans="1:23" x14ac:dyDescent="0.25">
      <c r="A618" t="s">
        <v>1085</v>
      </c>
      <c r="B618" s="1">
        <v>45683</v>
      </c>
      <c r="C618" t="s">
        <v>1086</v>
      </c>
      <c r="D618" t="s">
        <v>97</v>
      </c>
      <c r="E618" t="s">
        <v>26</v>
      </c>
      <c r="F618" t="s">
        <v>47</v>
      </c>
      <c r="G618" t="s">
        <v>48</v>
      </c>
      <c r="H618">
        <v>1</v>
      </c>
      <c r="I618">
        <v>20809</v>
      </c>
      <c r="J618">
        <v>10</v>
      </c>
      <c r="K618">
        <v>2080.9</v>
      </c>
      <c r="L618">
        <v>18728.099999999999</v>
      </c>
      <c r="M618">
        <v>10459.469999999999</v>
      </c>
      <c r="N618">
        <v>8268.6299999999992</v>
      </c>
      <c r="O618" t="s">
        <v>49</v>
      </c>
      <c r="P618">
        <v>112.92</v>
      </c>
      <c r="Q618" t="s">
        <v>40</v>
      </c>
      <c r="R618" t="s">
        <v>31</v>
      </c>
      <c r="S618">
        <v>5</v>
      </c>
      <c r="T618">
        <v>5</v>
      </c>
      <c r="U618" t="s">
        <v>32</v>
      </c>
      <c r="V618" t="s">
        <v>33</v>
      </c>
      <c r="W618">
        <v>4</v>
      </c>
    </row>
    <row r="619" spans="1:23" x14ac:dyDescent="0.25">
      <c r="A619" t="s">
        <v>1087</v>
      </c>
      <c r="B619" s="1">
        <v>45943</v>
      </c>
      <c r="C619" t="s">
        <v>1088</v>
      </c>
      <c r="D619" t="s">
        <v>71</v>
      </c>
      <c r="E619" t="s">
        <v>26</v>
      </c>
      <c r="F619" t="s">
        <v>86</v>
      </c>
      <c r="G619" t="s">
        <v>94</v>
      </c>
      <c r="H619">
        <v>1</v>
      </c>
      <c r="I619">
        <v>53039</v>
      </c>
      <c r="J619">
        <v>15</v>
      </c>
      <c r="K619">
        <v>7955.85</v>
      </c>
      <c r="L619">
        <v>45083.15</v>
      </c>
      <c r="M619">
        <v>30583.68</v>
      </c>
      <c r="N619">
        <v>14499.47</v>
      </c>
      <c r="O619" t="s">
        <v>49</v>
      </c>
      <c r="P619">
        <v>460.92</v>
      </c>
      <c r="Q619" t="s">
        <v>73</v>
      </c>
      <c r="R619" t="s">
        <v>31</v>
      </c>
      <c r="S619">
        <v>5</v>
      </c>
      <c r="T619">
        <v>6</v>
      </c>
      <c r="U619" t="s">
        <v>56</v>
      </c>
      <c r="V619" t="s">
        <v>33</v>
      </c>
      <c r="W619">
        <v>2</v>
      </c>
    </row>
    <row r="620" spans="1:23" x14ac:dyDescent="0.25">
      <c r="A620" t="s">
        <v>1089</v>
      </c>
      <c r="B620" s="1">
        <v>45785</v>
      </c>
      <c r="C620" t="s">
        <v>781</v>
      </c>
      <c r="D620" t="s">
        <v>154</v>
      </c>
      <c r="E620" t="s">
        <v>46</v>
      </c>
      <c r="F620" t="s">
        <v>47</v>
      </c>
      <c r="G620" t="s">
        <v>105</v>
      </c>
      <c r="H620">
        <v>2</v>
      </c>
      <c r="I620">
        <v>44746</v>
      </c>
      <c r="J620">
        <v>20</v>
      </c>
      <c r="K620">
        <v>17898.400000000001</v>
      </c>
      <c r="L620">
        <v>71593.600000000006</v>
      </c>
      <c r="M620">
        <v>55499.79</v>
      </c>
      <c r="N620">
        <v>16093.81</v>
      </c>
      <c r="O620" t="s">
        <v>55</v>
      </c>
      <c r="P620">
        <v>977.12</v>
      </c>
      <c r="Q620" t="s">
        <v>30</v>
      </c>
      <c r="R620" t="s">
        <v>41</v>
      </c>
      <c r="S620">
        <v>2</v>
      </c>
      <c r="T620">
        <v>2</v>
      </c>
      <c r="U620" t="s">
        <v>32</v>
      </c>
      <c r="V620" t="s">
        <v>33</v>
      </c>
      <c r="W620">
        <v>5</v>
      </c>
    </row>
    <row r="621" spans="1:23" x14ac:dyDescent="0.25">
      <c r="A621" t="s">
        <v>1090</v>
      </c>
      <c r="B621" s="1">
        <v>45720</v>
      </c>
      <c r="C621" t="s">
        <v>1091</v>
      </c>
      <c r="D621" t="s">
        <v>97</v>
      </c>
      <c r="E621" t="s">
        <v>46</v>
      </c>
      <c r="F621" t="s">
        <v>86</v>
      </c>
      <c r="G621" t="s">
        <v>180</v>
      </c>
      <c r="H621">
        <v>2</v>
      </c>
      <c r="I621">
        <v>83735</v>
      </c>
      <c r="J621">
        <v>25</v>
      </c>
      <c r="K621">
        <v>41867.5</v>
      </c>
      <c r="L621">
        <v>125602.5</v>
      </c>
      <c r="M621">
        <v>74723.929999999993</v>
      </c>
      <c r="N621">
        <v>50878.57</v>
      </c>
      <c r="O621" t="s">
        <v>55</v>
      </c>
      <c r="P621">
        <v>1929.26</v>
      </c>
      <c r="Q621" t="s">
        <v>68</v>
      </c>
      <c r="R621" t="s">
        <v>31</v>
      </c>
      <c r="S621">
        <v>5</v>
      </c>
      <c r="T621">
        <v>5</v>
      </c>
      <c r="U621" t="s">
        <v>32</v>
      </c>
      <c r="V621" t="s">
        <v>33</v>
      </c>
      <c r="W621">
        <v>5</v>
      </c>
    </row>
    <row r="622" spans="1:23" x14ac:dyDescent="0.25">
      <c r="A622" t="s">
        <v>1092</v>
      </c>
      <c r="B622" s="1">
        <v>45891</v>
      </c>
      <c r="C622" t="s">
        <v>509</v>
      </c>
      <c r="D622" t="s">
        <v>63</v>
      </c>
      <c r="E622" t="s">
        <v>36</v>
      </c>
      <c r="F622" t="s">
        <v>86</v>
      </c>
      <c r="G622" t="s">
        <v>180</v>
      </c>
      <c r="H622">
        <v>1</v>
      </c>
      <c r="I622">
        <v>6110</v>
      </c>
      <c r="J622">
        <v>5</v>
      </c>
      <c r="K622">
        <v>305.5</v>
      </c>
      <c r="L622">
        <v>5804.5</v>
      </c>
      <c r="M622">
        <v>4576.25</v>
      </c>
      <c r="N622">
        <v>1228.25</v>
      </c>
      <c r="O622" t="s">
        <v>91</v>
      </c>
      <c r="P622">
        <v>624.57000000000005</v>
      </c>
      <c r="Q622" t="s">
        <v>68</v>
      </c>
      <c r="R622" t="s">
        <v>41</v>
      </c>
      <c r="S622">
        <v>2</v>
      </c>
      <c r="T622">
        <v>1</v>
      </c>
      <c r="U622" t="s">
        <v>32</v>
      </c>
      <c r="V622" t="s">
        <v>33</v>
      </c>
      <c r="W622">
        <v>1</v>
      </c>
    </row>
    <row r="623" spans="1:23" x14ac:dyDescent="0.25">
      <c r="A623" t="s">
        <v>1093</v>
      </c>
      <c r="B623" s="1">
        <v>45726</v>
      </c>
      <c r="C623" t="s">
        <v>1094</v>
      </c>
      <c r="E623" t="s">
        <v>26</v>
      </c>
      <c r="F623" t="s">
        <v>27</v>
      </c>
      <c r="G623" t="s">
        <v>164</v>
      </c>
      <c r="H623">
        <v>2</v>
      </c>
      <c r="I623">
        <v>14795</v>
      </c>
      <c r="J623">
        <v>20</v>
      </c>
      <c r="K623">
        <v>5918</v>
      </c>
      <c r="L623">
        <v>23672</v>
      </c>
      <c r="M623">
        <v>16533.8</v>
      </c>
      <c r="N623">
        <v>7138.2</v>
      </c>
      <c r="O623" t="s">
        <v>49</v>
      </c>
      <c r="P623">
        <v>350.8</v>
      </c>
      <c r="Q623" t="s">
        <v>30</v>
      </c>
      <c r="R623" t="s">
        <v>31</v>
      </c>
      <c r="S623">
        <v>5</v>
      </c>
      <c r="T623">
        <v>5</v>
      </c>
      <c r="U623" t="s">
        <v>32</v>
      </c>
      <c r="V623" t="s">
        <v>33</v>
      </c>
      <c r="W623">
        <v>4</v>
      </c>
    </row>
    <row r="624" spans="1:23" x14ac:dyDescent="0.25">
      <c r="A624" t="s">
        <v>1095</v>
      </c>
      <c r="B624" s="1">
        <v>45895</v>
      </c>
      <c r="C624" t="s">
        <v>307</v>
      </c>
      <c r="D624" t="s">
        <v>154</v>
      </c>
      <c r="E624" t="s">
        <v>26</v>
      </c>
      <c r="F624" t="s">
        <v>47</v>
      </c>
      <c r="G624" t="s">
        <v>138</v>
      </c>
      <c r="H624">
        <v>1</v>
      </c>
      <c r="I624">
        <v>28437</v>
      </c>
      <c r="J624">
        <v>15</v>
      </c>
      <c r="K624">
        <v>4265.55</v>
      </c>
      <c r="L624">
        <v>24171.45</v>
      </c>
      <c r="M624">
        <v>16780.09</v>
      </c>
      <c r="N624">
        <v>7391.36</v>
      </c>
      <c r="O624" t="s">
        <v>39</v>
      </c>
      <c r="P624">
        <v>1902.99</v>
      </c>
      <c r="Q624" t="s">
        <v>40</v>
      </c>
      <c r="R624" t="s">
        <v>41</v>
      </c>
      <c r="S624">
        <v>2</v>
      </c>
      <c r="T624">
        <v>5</v>
      </c>
      <c r="U624" t="s">
        <v>56</v>
      </c>
      <c r="V624" t="s">
        <v>33</v>
      </c>
      <c r="W624">
        <v>5</v>
      </c>
    </row>
    <row r="625" spans="1:23" x14ac:dyDescent="0.25">
      <c r="A625" t="s">
        <v>1096</v>
      </c>
      <c r="B625" s="1">
        <v>45999</v>
      </c>
      <c r="C625" t="s">
        <v>1097</v>
      </c>
      <c r="D625" t="s">
        <v>124</v>
      </c>
      <c r="E625" t="s">
        <v>46</v>
      </c>
      <c r="F625" t="s">
        <v>53</v>
      </c>
      <c r="G625" t="s">
        <v>268</v>
      </c>
      <c r="H625">
        <v>1</v>
      </c>
      <c r="I625">
        <v>9208</v>
      </c>
      <c r="J625">
        <v>0</v>
      </c>
      <c r="K625">
        <v>0</v>
      </c>
      <c r="L625">
        <v>9208</v>
      </c>
      <c r="M625">
        <v>6669.41</v>
      </c>
      <c r="N625">
        <v>2538.59</v>
      </c>
      <c r="O625" t="s">
        <v>39</v>
      </c>
      <c r="P625">
        <v>301.77</v>
      </c>
      <c r="Q625" t="s">
        <v>73</v>
      </c>
      <c r="R625" t="s">
        <v>41</v>
      </c>
      <c r="S625">
        <v>2</v>
      </c>
      <c r="T625">
        <v>4</v>
      </c>
      <c r="U625" t="s">
        <v>56</v>
      </c>
      <c r="V625" t="s">
        <v>33</v>
      </c>
      <c r="W625">
        <v>2</v>
      </c>
    </row>
    <row r="626" spans="1:23" x14ac:dyDescent="0.25">
      <c r="A626" t="s">
        <v>1098</v>
      </c>
      <c r="B626" s="1">
        <v>45929</v>
      </c>
      <c r="C626" t="s">
        <v>580</v>
      </c>
      <c r="D626" t="s">
        <v>71</v>
      </c>
      <c r="E626" t="s">
        <v>46</v>
      </c>
      <c r="F626" t="s">
        <v>27</v>
      </c>
      <c r="G626" t="s">
        <v>164</v>
      </c>
      <c r="H626">
        <v>1</v>
      </c>
      <c r="I626">
        <v>4641</v>
      </c>
      <c r="J626">
        <v>15</v>
      </c>
      <c r="K626">
        <v>696.15</v>
      </c>
      <c r="L626">
        <v>3944.85</v>
      </c>
      <c r="M626">
        <v>2360.87</v>
      </c>
      <c r="N626">
        <v>1583.98</v>
      </c>
      <c r="O626" t="s">
        <v>49</v>
      </c>
      <c r="P626">
        <v>412.8</v>
      </c>
      <c r="Q626" t="s">
        <v>73</v>
      </c>
      <c r="R626" t="s">
        <v>31</v>
      </c>
      <c r="S626">
        <v>5</v>
      </c>
      <c r="T626">
        <v>8</v>
      </c>
      <c r="U626" t="s">
        <v>56</v>
      </c>
      <c r="V626" t="s">
        <v>33</v>
      </c>
      <c r="W626">
        <v>4</v>
      </c>
    </row>
    <row r="627" spans="1:23" x14ac:dyDescent="0.25">
      <c r="A627" t="s">
        <v>1099</v>
      </c>
      <c r="B627" s="1">
        <v>45944</v>
      </c>
      <c r="C627" t="s">
        <v>203</v>
      </c>
      <c r="D627" t="s">
        <v>154</v>
      </c>
      <c r="E627" t="s">
        <v>46</v>
      </c>
      <c r="F627" t="s">
        <v>53</v>
      </c>
      <c r="G627" t="s">
        <v>54</v>
      </c>
      <c r="H627">
        <v>1</v>
      </c>
      <c r="I627">
        <v>98954</v>
      </c>
      <c r="J627">
        <v>15</v>
      </c>
      <c r="K627">
        <v>14843.1</v>
      </c>
      <c r="L627">
        <v>84110.9</v>
      </c>
      <c r="M627">
        <v>63778.53</v>
      </c>
      <c r="N627">
        <v>20332.37</v>
      </c>
      <c r="O627" t="s">
        <v>39</v>
      </c>
      <c r="P627">
        <v>1906.75</v>
      </c>
      <c r="Q627" t="s">
        <v>83</v>
      </c>
      <c r="R627" t="s">
        <v>41</v>
      </c>
      <c r="S627">
        <v>2</v>
      </c>
      <c r="T627">
        <v>1</v>
      </c>
      <c r="U627" t="s">
        <v>32</v>
      </c>
      <c r="V627" t="s">
        <v>33</v>
      </c>
      <c r="W627">
        <v>3</v>
      </c>
    </row>
    <row r="628" spans="1:23" x14ac:dyDescent="0.25">
      <c r="A628" t="s">
        <v>1100</v>
      </c>
      <c r="B628" s="1">
        <v>45962</v>
      </c>
      <c r="C628" t="s">
        <v>158</v>
      </c>
      <c r="D628" t="s">
        <v>25</v>
      </c>
      <c r="E628" t="s">
        <v>26</v>
      </c>
      <c r="F628" t="s">
        <v>37</v>
      </c>
      <c r="G628" t="s">
        <v>100</v>
      </c>
      <c r="H628">
        <v>2</v>
      </c>
      <c r="I628">
        <v>38846</v>
      </c>
      <c r="J628">
        <v>15</v>
      </c>
      <c r="K628">
        <v>11653.8</v>
      </c>
      <c r="L628">
        <v>66038.2</v>
      </c>
      <c r="M628">
        <v>51838.99</v>
      </c>
      <c r="N628">
        <v>14199.21</v>
      </c>
      <c r="O628" t="s">
        <v>60</v>
      </c>
      <c r="P628">
        <v>975.37</v>
      </c>
      <c r="Q628" t="s">
        <v>40</v>
      </c>
      <c r="R628" t="s">
        <v>31</v>
      </c>
      <c r="S628">
        <v>5</v>
      </c>
      <c r="T628">
        <v>3</v>
      </c>
      <c r="U628" t="s">
        <v>32</v>
      </c>
      <c r="V628" t="s">
        <v>33</v>
      </c>
      <c r="W628">
        <v>1</v>
      </c>
    </row>
    <row r="629" spans="1:23" x14ac:dyDescent="0.25">
      <c r="A629" t="s">
        <v>1101</v>
      </c>
      <c r="B629" s="1">
        <v>45820</v>
      </c>
      <c r="C629" t="s">
        <v>574</v>
      </c>
      <c r="D629" t="s">
        <v>45</v>
      </c>
      <c r="E629" t="s">
        <v>36</v>
      </c>
      <c r="F629" t="s">
        <v>86</v>
      </c>
      <c r="G629" t="s">
        <v>87</v>
      </c>
      <c r="H629">
        <v>1</v>
      </c>
      <c r="I629">
        <v>11222</v>
      </c>
      <c r="J629">
        <v>20</v>
      </c>
      <c r="K629">
        <v>2244.4</v>
      </c>
      <c r="L629">
        <v>8977.6</v>
      </c>
      <c r="M629">
        <v>5827.52</v>
      </c>
      <c r="N629">
        <v>3150.08</v>
      </c>
      <c r="O629" t="s">
        <v>49</v>
      </c>
      <c r="P629">
        <v>241.57</v>
      </c>
      <c r="Q629" t="s">
        <v>73</v>
      </c>
      <c r="R629" t="s">
        <v>41</v>
      </c>
      <c r="S629">
        <v>2</v>
      </c>
      <c r="T629">
        <v>2</v>
      </c>
      <c r="U629" t="s">
        <v>32</v>
      </c>
      <c r="V629" t="s">
        <v>42</v>
      </c>
    </row>
    <row r="630" spans="1:23" x14ac:dyDescent="0.25">
      <c r="A630" t="s">
        <v>1102</v>
      </c>
      <c r="B630" s="1">
        <v>45884</v>
      </c>
      <c r="C630" t="s">
        <v>237</v>
      </c>
      <c r="D630" t="s">
        <v>154</v>
      </c>
      <c r="E630" t="s">
        <v>46</v>
      </c>
      <c r="F630" t="s">
        <v>53</v>
      </c>
      <c r="G630" t="s">
        <v>82</v>
      </c>
      <c r="H630">
        <v>1</v>
      </c>
      <c r="I630">
        <v>51550</v>
      </c>
      <c r="J630">
        <v>10</v>
      </c>
      <c r="K630">
        <v>5155</v>
      </c>
      <c r="L630">
        <v>46395</v>
      </c>
      <c r="M630">
        <v>34685.56</v>
      </c>
      <c r="N630">
        <v>11709.44</v>
      </c>
      <c r="O630" t="s">
        <v>39</v>
      </c>
      <c r="P630">
        <v>603.04</v>
      </c>
      <c r="Q630" t="s">
        <v>40</v>
      </c>
      <c r="R630" t="s">
        <v>41</v>
      </c>
      <c r="S630">
        <v>2</v>
      </c>
      <c r="T630">
        <v>1</v>
      </c>
      <c r="U630" t="s">
        <v>32</v>
      </c>
      <c r="V630" t="s">
        <v>42</v>
      </c>
    </row>
    <row r="631" spans="1:23" x14ac:dyDescent="0.25">
      <c r="A631" t="s">
        <v>1103</v>
      </c>
      <c r="B631" s="1">
        <v>45971</v>
      </c>
      <c r="C631" t="s">
        <v>500</v>
      </c>
      <c r="D631" t="s">
        <v>67</v>
      </c>
      <c r="E631" t="s">
        <v>36</v>
      </c>
      <c r="F631" t="s">
        <v>53</v>
      </c>
      <c r="G631" t="s">
        <v>268</v>
      </c>
      <c r="H631">
        <v>1</v>
      </c>
      <c r="I631">
        <v>69035</v>
      </c>
      <c r="J631">
        <v>20</v>
      </c>
      <c r="K631">
        <v>13807</v>
      </c>
      <c r="L631">
        <v>55228</v>
      </c>
      <c r="M631">
        <v>30981.42</v>
      </c>
      <c r="N631">
        <v>24246.58</v>
      </c>
      <c r="O631" t="s">
        <v>60</v>
      </c>
      <c r="P631">
        <v>537.53</v>
      </c>
      <c r="Q631" t="s">
        <v>83</v>
      </c>
      <c r="R631" t="s">
        <v>41</v>
      </c>
      <c r="S631">
        <v>2</v>
      </c>
      <c r="T631">
        <v>4</v>
      </c>
      <c r="U631" t="s">
        <v>56</v>
      </c>
      <c r="V631" t="s">
        <v>33</v>
      </c>
      <c r="W631">
        <v>1</v>
      </c>
    </row>
    <row r="632" spans="1:23" x14ac:dyDescent="0.25">
      <c r="A632" t="s">
        <v>1104</v>
      </c>
      <c r="B632" s="1">
        <v>45916</v>
      </c>
      <c r="C632" t="s">
        <v>144</v>
      </c>
      <c r="D632" t="s">
        <v>25</v>
      </c>
      <c r="E632" t="s">
        <v>26</v>
      </c>
      <c r="F632" t="s">
        <v>27</v>
      </c>
      <c r="G632" t="s">
        <v>28</v>
      </c>
      <c r="H632">
        <v>1</v>
      </c>
      <c r="I632">
        <v>27145</v>
      </c>
      <c r="J632">
        <v>15</v>
      </c>
      <c r="K632">
        <v>4071.75</v>
      </c>
      <c r="L632">
        <v>23073.25</v>
      </c>
      <c r="M632">
        <v>18703.02</v>
      </c>
      <c r="N632">
        <v>4370.2299999999996</v>
      </c>
      <c r="O632" t="s">
        <v>49</v>
      </c>
      <c r="P632">
        <v>327.01</v>
      </c>
      <c r="Q632" t="s">
        <v>40</v>
      </c>
      <c r="R632" t="s">
        <v>41</v>
      </c>
      <c r="S632">
        <v>2</v>
      </c>
      <c r="T632">
        <v>1</v>
      </c>
      <c r="U632" t="s">
        <v>32</v>
      </c>
      <c r="V632" t="s">
        <v>33</v>
      </c>
      <c r="W632">
        <v>3</v>
      </c>
    </row>
    <row r="633" spans="1:23" x14ac:dyDescent="0.25">
      <c r="A633" t="s">
        <v>1105</v>
      </c>
      <c r="B633" s="1">
        <v>45876</v>
      </c>
      <c r="C633" t="s">
        <v>1106</v>
      </c>
      <c r="D633" t="s">
        <v>45</v>
      </c>
      <c r="E633" t="s">
        <v>46</v>
      </c>
      <c r="F633" t="s">
        <v>47</v>
      </c>
      <c r="G633" t="s">
        <v>138</v>
      </c>
      <c r="H633">
        <v>3</v>
      </c>
      <c r="I633">
        <v>52145</v>
      </c>
      <c r="J633">
        <v>0</v>
      </c>
      <c r="K633">
        <v>0</v>
      </c>
      <c r="L633">
        <v>156435</v>
      </c>
      <c r="M633">
        <v>111576.97</v>
      </c>
      <c r="N633">
        <v>44858.03</v>
      </c>
      <c r="O633" t="s">
        <v>60</v>
      </c>
      <c r="P633">
        <v>211.62</v>
      </c>
      <c r="Q633" t="s">
        <v>68</v>
      </c>
      <c r="R633" t="s">
        <v>41</v>
      </c>
      <c r="S633">
        <v>2</v>
      </c>
      <c r="T633">
        <v>5</v>
      </c>
      <c r="U633" t="s">
        <v>56</v>
      </c>
      <c r="V633" t="s">
        <v>33</v>
      </c>
      <c r="W633">
        <v>3</v>
      </c>
    </row>
    <row r="634" spans="1:23" x14ac:dyDescent="0.25">
      <c r="A634" t="s">
        <v>1107</v>
      </c>
      <c r="B634" s="1">
        <v>45938</v>
      </c>
      <c r="C634" t="s">
        <v>990</v>
      </c>
      <c r="D634" t="s">
        <v>63</v>
      </c>
      <c r="E634" t="s">
        <v>26</v>
      </c>
      <c r="F634" t="s">
        <v>53</v>
      </c>
      <c r="G634" t="s">
        <v>54</v>
      </c>
      <c r="H634">
        <v>2</v>
      </c>
      <c r="I634">
        <v>92211</v>
      </c>
      <c r="J634">
        <v>0</v>
      </c>
      <c r="K634">
        <v>0</v>
      </c>
      <c r="L634">
        <v>184422</v>
      </c>
      <c r="M634">
        <v>136736.43</v>
      </c>
      <c r="N634">
        <v>47685.57</v>
      </c>
      <c r="O634" t="s">
        <v>39</v>
      </c>
      <c r="P634">
        <v>862.01</v>
      </c>
      <c r="Q634" t="s">
        <v>40</v>
      </c>
      <c r="R634" t="s">
        <v>31</v>
      </c>
      <c r="S634">
        <v>5</v>
      </c>
      <c r="T634">
        <v>4</v>
      </c>
      <c r="U634" t="s">
        <v>32</v>
      </c>
      <c r="V634" t="s">
        <v>33</v>
      </c>
      <c r="W634">
        <v>5</v>
      </c>
    </row>
    <row r="635" spans="1:23" x14ac:dyDescent="0.25">
      <c r="A635" t="s">
        <v>1108</v>
      </c>
      <c r="B635" s="1">
        <v>45886</v>
      </c>
      <c r="C635" t="s">
        <v>332</v>
      </c>
      <c r="D635" t="s">
        <v>45</v>
      </c>
      <c r="E635" t="s">
        <v>26</v>
      </c>
      <c r="F635" t="s">
        <v>27</v>
      </c>
      <c r="G635" t="s">
        <v>28</v>
      </c>
      <c r="H635">
        <v>1</v>
      </c>
      <c r="I635">
        <v>14660</v>
      </c>
      <c r="J635">
        <v>10</v>
      </c>
      <c r="K635">
        <v>1466</v>
      </c>
      <c r="L635">
        <v>13194</v>
      </c>
      <c r="M635">
        <v>10187.219999999999</v>
      </c>
      <c r="N635">
        <v>3006.78</v>
      </c>
      <c r="O635" t="s">
        <v>39</v>
      </c>
      <c r="P635">
        <v>1907.91</v>
      </c>
      <c r="Q635" t="s">
        <v>68</v>
      </c>
      <c r="R635" t="s">
        <v>41</v>
      </c>
      <c r="S635">
        <v>2</v>
      </c>
      <c r="T635">
        <v>1</v>
      </c>
      <c r="U635" t="s">
        <v>32</v>
      </c>
      <c r="V635" t="s">
        <v>33</v>
      </c>
      <c r="W635">
        <v>5</v>
      </c>
    </row>
    <row r="636" spans="1:23" x14ac:dyDescent="0.25">
      <c r="A636" t="s">
        <v>1109</v>
      </c>
      <c r="B636" s="1">
        <v>45739</v>
      </c>
      <c r="C636" t="s">
        <v>668</v>
      </c>
      <c r="D636" t="s">
        <v>63</v>
      </c>
      <c r="E636" t="s">
        <v>46</v>
      </c>
      <c r="F636" t="s">
        <v>37</v>
      </c>
      <c r="G636" t="s">
        <v>161</v>
      </c>
      <c r="H636">
        <v>3</v>
      </c>
      <c r="I636">
        <v>26629</v>
      </c>
      <c r="J636">
        <v>0</v>
      </c>
      <c r="K636">
        <v>0</v>
      </c>
      <c r="L636">
        <v>79887</v>
      </c>
      <c r="M636">
        <v>48414.62</v>
      </c>
      <c r="N636">
        <v>31472.38</v>
      </c>
      <c r="O636" t="s">
        <v>60</v>
      </c>
      <c r="P636">
        <v>871.19</v>
      </c>
      <c r="Q636" t="s">
        <v>73</v>
      </c>
      <c r="R636" t="s">
        <v>41</v>
      </c>
      <c r="S636">
        <v>2</v>
      </c>
      <c r="T636">
        <v>2</v>
      </c>
      <c r="U636" t="s">
        <v>32</v>
      </c>
      <c r="V636" t="s">
        <v>42</v>
      </c>
    </row>
    <row r="637" spans="1:23" x14ac:dyDescent="0.25">
      <c r="A637" t="s">
        <v>1110</v>
      </c>
      <c r="B637" s="1">
        <v>45901</v>
      </c>
      <c r="C637" t="s">
        <v>770</v>
      </c>
      <c r="D637" t="s">
        <v>154</v>
      </c>
      <c r="E637" t="s">
        <v>26</v>
      </c>
      <c r="F637" t="s">
        <v>27</v>
      </c>
      <c r="G637" t="s">
        <v>113</v>
      </c>
      <c r="H637">
        <v>2</v>
      </c>
      <c r="I637">
        <v>28565</v>
      </c>
      <c r="J637">
        <v>10</v>
      </c>
      <c r="K637">
        <v>5713</v>
      </c>
      <c r="L637">
        <v>51417</v>
      </c>
      <c r="M637">
        <v>36004.17</v>
      </c>
      <c r="N637">
        <v>15412.83</v>
      </c>
      <c r="O637" t="s">
        <v>29</v>
      </c>
      <c r="P637">
        <v>2318.71</v>
      </c>
      <c r="Q637" t="s">
        <v>68</v>
      </c>
      <c r="R637" t="s">
        <v>31</v>
      </c>
      <c r="S637">
        <v>5</v>
      </c>
      <c r="T637">
        <v>1</v>
      </c>
      <c r="U637" t="s">
        <v>32</v>
      </c>
      <c r="V637" t="s">
        <v>33</v>
      </c>
      <c r="W637">
        <v>4</v>
      </c>
    </row>
    <row r="638" spans="1:23" x14ac:dyDescent="0.25">
      <c r="A638" t="s">
        <v>1111</v>
      </c>
      <c r="B638" s="1">
        <v>45888</v>
      </c>
      <c r="C638" t="s">
        <v>1112</v>
      </c>
      <c r="D638" t="s">
        <v>79</v>
      </c>
      <c r="E638" t="s">
        <v>46</v>
      </c>
      <c r="F638" t="s">
        <v>27</v>
      </c>
      <c r="G638" t="s">
        <v>28</v>
      </c>
      <c r="H638">
        <v>4</v>
      </c>
      <c r="I638">
        <v>8713</v>
      </c>
      <c r="J638">
        <v>25</v>
      </c>
      <c r="K638">
        <v>8713</v>
      </c>
      <c r="L638">
        <v>26139</v>
      </c>
      <c r="M638">
        <v>17259.57</v>
      </c>
      <c r="N638">
        <v>8879.43</v>
      </c>
      <c r="O638" t="s">
        <v>60</v>
      </c>
      <c r="P638">
        <v>841.42</v>
      </c>
      <c r="Q638" t="s">
        <v>73</v>
      </c>
      <c r="R638" t="s">
        <v>41</v>
      </c>
      <c r="S638">
        <v>2</v>
      </c>
      <c r="T638">
        <v>3</v>
      </c>
      <c r="U638" t="s">
        <v>56</v>
      </c>
      <c r="V638" t="s">
        <v>33</v>
      </c>
      <c r="W638">
        <v>5</v>
      </c>
    </row>
    <row r="639" spans="1:23" x14ac:dyDescent="0.25">
      <c r="A639" t="s">
        <v>1113</v>
      </c>
      <c r="B639" s="1">
        <v>45790</v>
      </c>
      <c r="C639" t="s">
        <v>158</v>
      </c>
      <c r="D639" t="s">
        <v>97</v>
      </c>
      <c r="E639" t="s">
        <v>46</v>
      </c>
      <c r="F639" t="s">
        <v>53</v>
      </c>
      <c r="G639" t="s">
        <v>59</v>
      </c>
      <c r="H639">
        <v>3</v>
      </c>
      <c r="I639">
        <v>73858</v>
      </c>
      <c r="J639">
        <v>0</v>
      </c>
      <c r="K639">
        <v>0</v>
      </c>
      <c r="L639">
        <v>221574</v>
      </c>
      <c r="M639">
        <v>145798.94</v>
      </c>
      <c r="N639">
        <v>75775.06</v>
      </c>
      <c r="O639" t="s">
        <v>29</v>
      </c>
      <c r="P639">
        <v>1267.25</v>
      </c>
      <c r="Q639" t="s">
        <v>68</v>
      </c>
      <c r="R639" t="s">
        <v>41</v>
      </c>
      <c r="S639">
        <v>2</v>
      </c>
      <c r="T639">
        <v>2</v>
      </c>
      <c r="U639" t="s">
        <v>32</v>
      </c>
      <c r="V639" t="s">
        <v>33</v>
      </c>
      <c r="W639">
        <v>5</v>
      </c>
    </row>
    <row r="640" spans="1:23" x14ac:dyDescent="0.25">
      <c r="A640" t="s">
        <v>1114</v>
      </c>
      <c r="B640" s="1">
        <v>45784</v>
      </c>
      <c r="C640" t="s">
        <v>898</v>
      </c>
      <c r="D640" t="s">
        <v>71</v>
      </c>
      <c r="E640" t="s">
        <v>46</v>
      </c>
      <c r="F640" t="s">
        <v>53</v>
      </c>
      <c r="G640" t="s">
        <v>54</v>
      </c>
      <c r="H640">
        <v>2</v>
      </c>
      <c r="I640">
        <v>90117</v>
      </c>
      <c r="J640">
        <v>0</v>
      </c>
      <c r="K640">
        <v>0</v>
      </c>
      <c r="L640">
        <v>180234</v>
      </c>
      <c r="M640">
        <v>128305.59</v>
      </c>
      <c r="N640">
        <v>51928.41</v>
      </c>
      <c r="O640" t="s">
        <v>60</v>
      </c>
      <c r="P640">
        <v>1602.57</v>
      </c>
      <c r="Q640" t="s">
        <v>68</v>
      </c>
      <c r="R640" t="s">
        <v>41</v>
      </c>
      <c r="S640">
        <v>2</v>
      </c>
      <c r="T640">
        <v>0</v>
      </c>
      <c r="U640" t="s">
        <v>32</v>
      </c>
      <c r="V640" t="s">
        <v>50</v>
      </c>
      <c r="W640">
        <v>3</v>
      </c>
    </row>
    <row r="641" spans="1:23" x14ac:dyDescent="0.25">
      <c r="A641" t="s">
        <v>1115</v>
      </c>
      <c r="B641" s="1">
        <v>45984</v>
      </c>
      <c r="C641" t="s">
        <v>1116</v>
      </c>
      <c r="D641" t="s">
        <v>25</v>
      </c>
      <c r="E641" t="s">
        <v>26</v>
      </c>
      <c r="F641" t="s">
        <v>37</v>
      </c>
      <c r="G641" t="s">
        <v>100</v>
      </c>
      <c r="H641">
        <v>3</v>
      </c>
      <c r="I641">
        <v>16650</v>
      </c>
      <c r="J641">
        <v>0</v>
      </c>
      <c r="K641">
        <v>0</v>
      </c>
      <c r="L641">
        <v>49950</v>
      </c>
      <c r="M641">
        <v>33646.199999999997</v>
      </c>
      <c r="N641">
        <v>16303.8</v>
      </c>
      <c r="O641" t="s">
        <v>55</v>
      </c>
      <c r="P641">
        <v>2355.42</v>
      </c>
      <c r="Q641" t="s">
        <v>68</v>
      </c>
      <c r="R641" t="s">
        <v>31</v>
      </c>
      <c r="S641">
        <v>5</v>
      </c>
      <c r="T641">
        <v>1</v>
      </c>
      <c r="U641" t="s">
        <v>32</v>
      </c>
      <c r="V641" t="s">
        <v>50</v>
      </c>
      <c r="W641">
        <v>4</v>
      </c>
    </row>
    <row r="642" spans="1:23" x14ac:dyDescent="0.25">
      <c r="A642" t="s">
        <v>1117</v>
      </c>
      <c r="B642" s="1">
        <v>45799</v>
      </c>
      <c r="C642" t="s">
        <v>612</v>
      </c>
      <c r="D642" t="s">
        <v>79</v>
      </c>
      <c r="E642" t="s">
        <v>46</v>
      </c>
      <c r="F642" t="s">
        <v>86</v>
      </c>
      <c r="G642" t="s">
        <v>87</v>
      </c>
      <c r="H642">
        <v>1</v>
      </c>
      <c r="I642">
        <v>64150</v>
      </c>
      <c r="J642">
        <v>20</v>
      </c>
      <c r="K642">
        <v>12830</v>
      </c>
      <c r="L642">
        <v>51320</v>
      </c>
      <c r="M642">
        <v>35157.18</v>
      </c>
      <c r="N642">
        <v>16162.82</v>
      </c>
      <c r="O642" t="s">
        <v>55</v>
      </c>
      <c r="P642">
        <v>2316.36</v>
      </c>
      <c r="Q642" t="s">
        <v>68</v>
      </c>
      <c r="R642" t="s">
        <v>41</v>
      </c>
      <c r="S642">
        <v>2</v>
      </c>
      <c r="T642">
        <v>1</v>
      </c>
      <c r="U642" t="s">
        <v>32</v>
      </c>
      <c r="V642" t="s">
        <v>33</v>
      </c>
      <c r="W642">
        <v>5</v>
      </c>
    </row>
    <row r="643" spans="1:23" x14ac:dyDescent="0.25">
      <c r="A643" t="s">
        <v>1118</v>
      </c>
      <c r="B643" s="1">
        <v>45924</v>
      </c>
      <c r="C643" t="s">
        <v>1119</v>
      </c>
      <c r="D643" t="s">
        <v>90</v>
      </c>
      <c r="E643" t="s">
        <v>46</v>
      </c>
      <c r="F643" t="s">
        <v>47</v>
      </c>
      <c r="G643" t="s">
        <v>105</v>
      </c>
      <c r="H643">
        <v>2</v>
      </c>
      <c r="I643">
        <v>37815</v>
      </c>
      <c r="J643">
        <v>10</v>
      </c>
      <c r="K643">
        <v>7563</v>
      </c>
      <c r="L643">
        <v>68067</v>
      </c>
      <c r="M643">
        <v>53671.27</v>
      </c>
      <c r="N643">
        <v>14395.73</v>
      </c>
      <c r="O643" t="s">
        <v>49</v>
      </c>
      <c r="P643">
        <v>399.47</v>
      </c>
      <c r="Q643" t="s">
        <v>40</v>
      </c>
      <c r="R643" t="s">
        <v>31</v>
      </c>
      <c r="S643">
        <v>5</v>
      </c>
      <c r="T643">
        <v>5</v>
      </c>
      <c r="U643" t="s">
        <v>32</v>
      </c>
      <c r="V643" t="s">
        <v>42</v>
      </c>
    </row>
    <row r="644" spans="1:23" x14ac:dyDescent="0.25">
      <c r="A644" t="s">
        <v>1120</v>
      </c>
      <c r="B644" s="1">
        <v>45906</v>
      </c>
      <c r="C644" t="s">
        <v>768</v>
      </c>
      <c r="D644" t="s">
        <v>90</v>
      </c>
      <c r="E644" t="s">
        <v>36</v>
      </c>
      <c r="F644" t="s">
        <v>53</v>
      </c>
      <c r="G644" t="s">
        <v>54</v>
      </c>
      <c r="H644">
        <v>2</v>
      </c>
      <c r="I644">
        <v>104046</v>
      </c>
      <c r="J644">
        <v>20</v>
      </c>
      <c r="K644">
        <v>41618.400000000001</v>
      </c>
      <c r="L644">
        <v>166473.60000000001</v>
      </c>
      <c r="M644">
        <v>110824.62</v>
      </c>
      <c r="N644">
        <v>55648.98</v>
      </c>
      <c r="O644" t="s">
        <v>39</v>
      </c>
      <c r="P644">
        <v>2148.2600000000002</v>
      </c>
      <c r="Q644" t="s">
        <v>40</v>
      </c>
      <c r="R644" t="s">
        <v>31</v>
      </c>
      <c r="S644">
        <v>5</v>
      </c>
      <c r="T644">
        <v>4</v>
      </c>
      <c r="U644" t="s">
        <v>32</v>
      </c>
      <c r="V644" t="s">
        <v>33</v>
      </c>
      <c r="W644">
        <v>2</v>
      </c>
    </row>
    <row r="645" spans="1:23" x14ac:dyDescent="0.25">
      <c r="A645" t="s">
        <v>1121</v>
      </c>
      <c r="B645" s="1">
        <v>45978</v>
      </c>
      <c r="C645" t="s">
        <v>1078</v>
      </c>
      <c r="D645" t="s">
        <v>71</v>
      </c>
      <c r="E645" t="s">
        <v>46</v>
      </c>
      <c r="F645" t="s">
        <v>53</v>
      </c>
      <c r="G645" t="s">
        <v>268</v>
      </c>
      <c r="H645">
        <v>3</v>
      </c>
      <c r="I645">
        <v>113274</v>
      </c>
      <c r="J645">
        <v>10</v>
      </c>
      <c r="K645">
        <v>33982.199999999997</v>
      </c>
      <c r="L645">
        <v>305839.8</v>
      </c>
      <c r="M645">
        <v>221229.1</v>
      </c>
      <c r="N645">
        <v>84610.7</v>
      </c>
      <c r="O645" t="s">
        <v>49</v>
      </c>
      <c r="P645">
        <v>271.20999999999998</v>
      </c>
      <c r="Q645" t="s">
        <v>68</v>
      </c>
      <c r="R645" t="s">
        <v>41</v>
      </c>
      <c r="S645">
        <v>2</v>
      </c>
      <c r="T645">
        <v>1</v>
      </c>
      <c r="U645" t="s">
        <v>32</v>
      </c>
      <c r="V645" t="s">
        <v>33</v>
      </c>
      <c r="W645">
        <v>5</v>
      </c>
    </row>
    <row r="646" spans="1:23" x14ac:dyDescent="0.25">
      <c r="A646" t="s">
        <v>1122</v>
      </c>
      <c r="B646" s="1">
        <v>45780</v>
      </c>
      <c r="C646" t="s">
        <v>388</v>
      </c>
      <c r="D646" t="s">
        <v>67</v>
      </c>
      <c r="E646" t="s">
        <v>26</v>
      </c>
      <c r="F646" t="s">
        <v>86</v>
      </c>
      <c r="G646" t="s">
        <v>94</v>
      </c>
      <c r="H646">
        <v>2</v>
      </c>
      <c r="I646">
        <v>83912</v>
      </c>
      <c r="J646">
        <v>0</v>
      </c>
      <c r="K646">
        <v>0</v>
      </c>
      <c r="L646">
        <v>167824</v>
      </c>
      <c r="M646">
        <v>115946.31</v>
      </c>
      <c r="N646">
        <v>51877.69</v>
      </c>
      <c r="O646" t="s">
        <v>39</v>
      </c>
      <c r="P646">
        <v>1496.14</v>
      </c>
      <c r="Q646" t="s">
        <v>73</v>
      </c>
      <c r="R646" t="s">
        <v>31</v>
      </c>
      <c r="S646">
        <v>5</v>
      </c>
      <c r="T646">
        <v>4</v>
      </c>
      <c r="U646" t="s">
        <v>32</v>
      </c>
      <c r="V646" t="s">
        <v>33</v>
      </c>
      <c r="W646">
        <v>3</v>
      </c>
    </row>
    <row r="647" spans="1:23" x14ac:dyDescent="0.25">
      <c r="A647" t="s">
        <v>1123</v>
      </c>
      <c r="B647" s="1">
        <v>45798</v>
      </c>
      <c r="C647" t="s">
        <v>1003</v>
      </c>
      <c r="D647" t="s">
        <v>63</v>
      </c>
      <c r="E647" t="s">
        <v>26</v>
      </c>
      <c r="F647" t="s">
        <v>86</v>
      </c>
      <c r="G647" t="s">
        <v>87</v>
      </c>
      <c r="H647">
        <v>2</v>
      </c>
      <c r="I647">
        <v>22849</v>
      </c>
      <c r="J647">
        <v>15</v>
      </c>
      <c r="K647">
        <v>6854.7</v>
      </c>
      <c r="L647">
        <v>38843.300000000003</v>
      </c>
      <c r="M647">
        <v>24062.36</v>
      </c>
      <c r="N647">
        <v>14780.94</v>
      </c>
      <c r="O647" t="s">
        <v>60</v>
      </c>
      <c r="P647">
        <v>686.82</v>
      </c>
      <c r="Q647" t="s">
        <v>73</v>
      </c>
      <c r="R647" t="s">
        <v>31</v>
      </c>
      <c r="S647">
        <v>5</v>
      </c>
      <c r="T647">
        <v>4</v>
      </c>
      <c r="U647" t="s">
        <v>32</v>
      </c>
      <c r="V647" t="s">
        <v>33</v>
      </c>
      <c r="W647">
        <v>5</v>
      </c>
    </row>
    <row r="648" spans="1:23" x14ac:dyDescent="0.25">
      <c r="A648" t="s">
        <v>1124</v>
      </c>
      <c r="B648" s="1">
        <v>45883</v>
      </c>
      <c r="C648" t="s">
        <v>203</v>
      </c>
      <c r="D648" t="s">
        <v>63</v>
      </c>
      <c r="E648" t="s">
        <v>26</v>
      </c>
      <c r="F648" t="s">
        <v>47</v>
      </c>
      <c r="G648" t="s">
        <v>64</v>
      </c>
      <c r="H648">
        <v>2</v>
      </c>
      <c r="I648">
        <v>33597</v>
      </c>
      <c r="J648">
        <v>10</v>
      </c>
      <c r="K648">
        <v>6719.4</v>
      </c>
      <c r="L648">
        <v>60474.6</v>
      </c>
      <c r="M648">
        <v>43773.93</v>
      </c>
      <c r="N648">
        <v>16700.669999999998</v>
      </c>
      <c r="O648" t="s">
        <v>39</v>
      </c>
      <c r="P648">
        <v>1061.03</v>
      </c>
      <c r="Q648" t="s">
        <v>30</v>
      </c>
      <c r="R648" t="s">
        <v>41</v>
      </c>
      <c r="S648">
        <v>2</v>
      </c>
      <c r="T648">
        <v>4</v>
      </c>
      <c r="U648" t="s">
        <v>32</v>
      </c>
      <c r="V648" t="s">
        <v>42</v>
      </c>
    </row>
    <row r="649" spans="1:23" x14ac:dyDescent="0.25">
      <c r="A649" t="s">
        <v>1125</v>
      </c>
      <c r="B649" s="1">
        <v>45697</v>
      </c>
      <c r="C649" t="s">
        <v>943</v>
      </c>
      <c r="D649" t="s">
        <v>154</v>
      </c>
      <c r="E649" t="s">
        <v>36</v>
      </c>
      <c r="F649" t="s">
        <v>47</v>
      </c>
      <c r="G649" t="s">
        <v>64</v>
      </c>
      <c r="H649">
        <v>1</v>
      </c>
      <c r="I649">
        <v>29437</v>
      </c>
      <c r="J649">
        <v>5</v>
      </c>
      <c r="K649">
        <v>1471.85</v>
      </c>
      <c r="L649">
        <v>27965.15</v>
      </c>
      <c r="M649">
        <v>16514.09</v>
      </c>
      <c r="N649">
        <v>11451.06</v>
      </c>
      <c r="O649" t="s">
        <v>60</v>
      </c>
      <c r="P649">
        <v>652.97</v>
      </c>
      <c r="Q649" t="s">
        <v>30</v>
      </c>
      <c r="R649" t="s">
        <v>31</v>
      </c>
      <c r="S649">
        <v>5</v>
      </c>
      <c r="T649">
        <v>5</v>
      </c>
      <c r="U649" t="s">
        <v>32</v>
      </c>
      <c r="V649" t="s">
        <v>42</v>
      </c>
    </row>
    <row r="650" spans="1:23" x14ac:dyDescent="0.25">
      <c r="A650" t="s">
        <v>1126</v>
      </c>
      <c r="B650" s="1">
        <v>45804</v>
      </c>
      <c r="C650" t="s">
        <v>203</v>
      </c>
      <c r="D650" t="s">
        <v>97</v>
      </c>
      <c r="E650" t="s">
        <v>26</v>
      </c>
      <c r="F650" t="s">
        <v>27</v>
      </c>
      <c r="G650" t="s">
        <v>28</v>
      </c>
      <c r="H650">
        <v>1</v>
      </c>
      <c r="I650">
        <v>14297</v>
      </c>
      <c r="J650">
        <v>0</v>
      </c>
      <c r="K650">
        <v>0</v>
      </c>
      <c r="L650">
        <v>14297</v>
      </c>
      <c r="M650">
        <v>8911.2900000000009</v>
      </c>
      <c r="N650">
        <v>5385.71</v>
      </c>
      <c r="O650" t="s">
        <v>91</v>
      </c>
      <c r="P650">
        <v>328.74</v>
      </c>
      <c r="Q650" t="s">
        <v>40</v>
      </c>
      <c r="R650" t="s">
        <v>31</v>
      </c>
      <c r="S650">
        <v>5</v>
      </c>
      <c r="T650">
        <v>6</v>
      </c>
      <c r="U650" t="s">
        <v>32</v>
      </c>
      <c r="V650" t="s">
        <v>42</v>
      </c>
    </row>
    <row r="651" spans="1:23" x14ac:dyDescent="0.25">
      <c r="A651" t="s">
        <v>1127</v>
      </c>
      <c r="B651" s="1">
        <v>45778</v>
      </c>
      <c r="C651" t="s">
        <v>1094</v>
      </c>
      <c r="D651" t="s">
        <v>63</v>
      </c>
      <c r="E651" t="s">
        <v>46</v>
      </c>
      <c r="F651" t="s">
        <v>37</v>
      </c>
      <c r="G651" t="s">
        <v>161</v>
      </c>
      <c r="H651">
        <v>3</v>
      </c>
      <c r="I651">
        <v>6636</v>
      </c>
      <c r="J651">
        <v>10</v>
      </c>
      <c r="K651">
        <v>1990.8</v>
      </c>
      <c r="L651">
        <v>17917.2</v>
      </c>
      <c r="M651">
        <v>12524.72</v>
      </c>
      <c r="N651">
        <v>5392.48</v>
      </c>
      <c r="O651" t="s">
        <v>49</v>
      </c>
      <c r="P651">
        <v>423.81</v>
      </c>
      <c r="Q651" t="s">
        <v>83</v>
      </c>
      <c r="R651" t="s">
        <v>31</v>
      </c>
      <c r="S651">
        <v>5</v>
      </c>
      <c r="T651">
        <v>6</v>
      </c>
      <c r="U651" t="s">
        <v>56</v>
      </c>
      <c r="V651" t="s">
        <v>33</v>
      </c>
      <c r="W651">
        <v>5</v>
      </c>
    </row>
    <row r="652" spans="1:23" x14ac:dyDescent="0.25">
      <c r="A652" t="s">
        <v>1128</v>
      </c>
      <c r="B652" s="1">
        <v>45797</v>
      </c>
      <c r="C652" t="s">
        <v>1129</v>
      </c>
      <c r="D652" t="s">
        <v>90</v>
      </c>
      <c r="E652" t="s">
        <v>46</v>
      </c>
      <c r="F652" t="s">
        <v>47</v>
      </c>
      <c r="G652" t="s">
        <v>64</v>
      </c>
      <c r="H652">
        <v>2</v>
      </c>
      <c r="I652">
        <v>38279</v>
      </c>
      <c r="J652">
        <v>0</v>
      </c>
      <c r="K652">
        <v>0</v>
      </c>
      <c r="L652">
        <v>76558</v>
      </c>
      <c r="M652">
        <v>48697.91</v>
      </c>
      <c r="N652">
        <v>27860.09</v>
      </c>
      <c r="O652" t="s">
        <v>91</v>
      </c>
      <c r="P652">
        <v>467.73</v>
      </c>
      <c r="Q652" t="s">
        <v>83</v>
      </c>
      <c r="R652" t="s">
        <v>31</v>
      </c>
      <c r="S652">
        <v>5</v>
      </c>
      <c r="T652">
        <v>1</v>
      </c>
      <c r="U652" t="s">
        <v>32</v>
      </c>
      <c r="V652" t="s">
        <v>50</v>
      </c>
      <c r="W652">
        <v>4</v>
      </c>
    </row>
    <row r="653" spans="1:23" x14ac:dyDescent="0.25">
      <c r="A653" t="s">
        <v>1130</v>
      </c>
      <c r="B653" s="1">
        <v>45829</v>
      </c>
      <c r="C653" t="s">
        <v>1131</v>
      </c>
      <c r="D653" t="s">
        <v>97</v>
      </c>
      <c r="E653" t="s">
        <v>46</v>
      </c>
      <c r="F653" t="s">
        <v>27</v>
      </c>
      <c r="G653" t="s">
        <v>76</v>
      </c>
      <c r="H653">
        <v>1</v>
      </c>
      <c r="I653">
        <v>17582</v>
      </c>
      <c r="J653">
        <v>20</v>
      </c>
      <c r="K653">
        <v>3516.4</v>
      </c>
      <c r="L653">
        <v>14065.6</v>
      </c>
      <c r="M653">
        <v>10688.41</v>
      </c>
      <c r="N653">
        <v>3377.19</v>
      </c>
      <c r="O653" t="s">
        <v>29</v>
      </c>
      <c r="P653">
        <v>779.02</v>
      </c>
      <c r="Q653" t="s">
        <v>30</v>
      </c>
      <c r="R653" t="s">
        <v>41</v>
      </c>
      <c r="S653">
        <v>2</v>
      </c>
      <c r="T653">
        <v>4</v>
      </c>
      <c r="U653" t="s">
        <v>56</v>
      </c>
      <c r="V653" t="s">
        <v>33</v>
      </c>
      <c r="W653">
        <v>1</v>
      </c>
    </row>
    <row r="654" spans="1:23" x14ac:dyDescent="0.25">
      <c r="A654" t="s">
        <v>1132</v>
      </c>
      <c r="B654" s="1">
        <v>45821</v>
      </c>
      <c r="C654" t="s">
        <v>1133</v>
      </c>
      <c r="D654" t="s">
        <v>154</v>
      </c>
      <c r="E654" t="s">
        <v>26</v>
      </c>
      <c r="F654" t="s">
        <v>37</v>
      </c>
      <c r="G654" t="s">
        <v>313</v>
      </c>
      <c r="H654">
        <v>1</v>
      </c>
      <c r="I654">
        <v>20319</v>
      </c>
      <c r="J654">
        <v>10</v>
      </c>
      <c r="K654">
        <v>2031.9</v>
      </c>
      <c r="L654">
        <v>18287.099999999999</v>
      </c>
      <c r="M654">
        <v>11417.15</v>
      </c>
      <c r="N654">
        <v>6869.95</v>
      </c>
      <c r="O654" t="s">
        <v>39</v>
      </c>
      <c r="P654">
        <v>1212.0999999999999</v>
      </c>
      <c r="Q654" t="s">
        <v>68</v>
      </c>
      <c r="R654" t="s">
        <v>41</v>
      </c>
      <c r="S654">
        <v>2</v>
      </c>
      <c r="T654">
        <v>5</v>
      </c>
      <c r="U654" t="s">
        <v>32</v>
      </c>
      <c r="V654" t="s">
        <v>42</v>
      </c>
    </row>
    <row r="655" spans="1:23" x14ac:dyDescent="0.25">
      <c r="A655" t="s">
        <v>1134</v>
      </c>
      <c r="B655" s="1">
        <v>45934</v>
      </c>
      <c r="C655" t="s">
        <v>1007</v>
      </c>
      <c r="D655" t="s">
        <v>97</v>
      </c>
      <c r="E655" t="s">
        <v>26</v>
      </c>
      <c r="F655" t="s">
        <v>27</v>
      </c>
      <c r="G655" t="s">
        <v>164</v>
      </c>
      <c r="H655">
        <v>1</v>
      </c>
      <c r="I655">
        <v>6598</v>
      </c>
      <c r="J655">
        <v>10</v>
      </c>
      <c r="K655">
        <v>659.8</v>
      </c>
      <c r="L655">
        <v>5938.2</v>
      </c>
      <c r="M655">
        <v>4288.74</v>
      </c>
      <c r="N655">
        <v>1649.46</v>
      </c>
      <c r="O655" t="s">
        <v>60</v>
      </c>
      <c r="P655">
        <v>1991.22</v>
      </c>
      <c r="Q655" t="s">
        <v>68</v>
      </c>
      <c r="R655" t="s">
        <v>31</v>
      </c>
      <c r="S655">
        <v>5</v>
      </c>
      <c r="T655">
        <v>1</v>
      </c>
      <c r="U655" t="s">
        <v>32</v>
      </c>
      <c r="V655" t="s">
        <v>42</v>
      </c>
    </row>
    <row r="656" spans="1:23" x14ac:dyDescent="0.25">
      <c r="A656" t="s">
        <v>1135</v>
      </c>
      <c r="B656" s="1">
        <v>45699</v>
      </c>
      <c r="C656" t="s">
        <v>1136</v>
      </c>
      <c r="D656" t="s">
        <v>63</v>
      </c>
      <c r="E656" t="s">
        <v>26</v>
      </c>
      <c r="F656" t="s">
        <v>47</v>
      </c>
      <c r="G656" t="s">
        <v>48</v>
      </c>
      <c r="H656">
        <v>1</v>
      </c>
      <c r="I656">
        <v>26664</v>
      </c>
      <c r="J656">
        <v>10</v>
      </c>
      <c r="K656">
        <v>2666.4</v>
      </c>
      <c r="L656">
        <v>23997.599999999999</v>
      </c>
      <c r="M656">
        <v>14211.97</v>
      </c>
      <c r="N656">
        <v>9785.6299999999992</v>
      </c>
      <c r="O656" t="s">
        <v>39</v>
      </c>
      <c r="P656">
        <v>563.27</v>
      </c>
      <c r="Q656" t="s">
        <v>68</v>
      </c>
      <c r="R656" t="s">
        <v>31</v>
      </c>
      <c r="S656">
        <v>5</v>
      </c>
      <c r="T656">
        <v>10</v>
      </c>
      <c r="U656" t="s">
        <v>56</v>
      </c>
      <c r="V656" t="s">
        <v>33</v>
      </c>
      <c r="W656">
        <v>5</v>
      </c>
    </row>
    <row r="657" spans="1:23" x14ac:dyDescent="0.25">
      <c r="A657" t="s">
        <v>1137</v>
      </c>
      <c r="B657" s="1">
        <v>45728</v>
      </c>
      <c r="C657" t="s">
        <v>1138</v>
      </c>
      <c r="D657" t="s">
        <v>45</v>
      </c>
      <c r="E657" t="s">
        <v>26</v>
      </c>
      <c r="F657" t="s">
        <v>86</v>
      </c>
      <c r="G657" t="s">
        <v>110</v>
      </c>
      <c r="H657">
        <v>1</v>
      </c>
      <c r="I657">
        <v>45795</v>
      </c>
      <c r="J657">
        <v>10</v>
      </c>
      <c r="K657">
        <v>4579.5</v>
      </c>
      <c r="L657">
        <v>41215.5</v>
      </c>
      <c r="M657">
        <v>26382.25</v>
      </c>
      <c r="N657">
        <v>14833.25</v>
      </c>
      <c r="O657" t="s">
        <v>60</v>
      </c>
      <c r="P657">
        <v>908.44</v>
      </c>
      <c r="Q657" t="s">
        <v>40</v>
      </c>
      <c r="R657" t="s">
        <v>41</v>
      </c>
      <c r="S657">
        <v>2</v>
      </c>
      <c r="T657">
        <v>2</v>
      </c>
      <c r="U657" t="s">
        <v>32</v>
      </c>
      <c r="V657" t="s">
        <v>33</v>
      </c>
      <c r="W657">
        <v>4</v>
      </c>
    </row>
    <row r="658" spans="1:23" x14ac:dyDescent="0.25">
      <c r="A658" t="s">
        <v>1139</v>
      </c>
      <c r="B658" s="1">
        <v>45735</v>
      </c>
      <c r="C658" t="s">
        <v>1060</v>
      </c>
      <c r="D658" t="s">
        <v>71</v>
      </c>
      <c r="E658" t="s">
        <v>36</v>
      </c>
      <c r="F658" t="s">
        <v>27</v>
      </c>
      <c r="G658" t="s">
        <v>113</v>
      </c>
      <c r="H658">
        <v>1</v>
      </c>
      <c r="I658">
        <v>28634</v>
      </c>
      <c r="J658">
        <v>0</v>
      </c>
      <c r="K658">
        <v>0</v>
      </c>
      <c r="L658">
        <v>28634</v>
      </c>
      <c r="M658">
        <v>22076.93</v>
      </c>
      <c r="N658">
        <v>6557.07</v>
      </c>
      <c r="O658" t="s">
        <v>55</v>
      </c>
      <c r="P658">
        <v>1848.35</v>
      </c>
      <c r="Q658" t="s">
        <v>73</v>
      </c>
      <c r="R658" t="s">
        <v>31</v>
      </c>
      <c r="S658">
        <v>5</v>
      </c>
      <c r="T658">
        <v>5</v>
      </c>
      <c r="U658" t="s">
        <v>32</v>
      </c>
      <c r="V658" t="s">
        <v>33</v>
      </c>
      <c r="W658">
        <v>5</v>
      </c>
    </row>
    <row r="659" spans="1:23" x14ac:dyDescent="0.25">
      <c r="A659" t="s">
        <v>1140</v>
      </c>
      <c r="B659" s="1">
        <v>45776</v>
      </c>
      <c r="C659" t="s">
        <v>337</v>
      </c>
      <c r="D659" t="s">
        <v>71</v>
      </c>
      <c r="E659" t="s">
        <v>46</v>
      </c>
      <c r="F659" t="s">
        <v>86</v>
      </c>
      <c r="G659" t="s">
        <v>180</v>
      </c>
      <c r="H659">
        <v>2</v>
      </c>
      <c r="I659">
        <v>71921</v>
      </c>
      <c r="J659">
        <v>0</v>
      </c>
      <c r="K659">
        <v>0</v>
      </c>
      <c r="L659">
        <v>143842</v>
      </c>
      <c r="M659">
        <v>82003.64</v>
      </c>
      <c r="N659">
        <v>61838.36</v>
      </c>
      <c r="O659" t="s">
        <v>60</v>
      </c>
      <c r="P659">
        <v>1303.27</v>
      </c>
      <c r="Q659" t="s">
        <v>40</v>
      </c>
      <c r="R659" t="s">
        <v>41</v>
      </c>
      <c r="S659">
        <v>2</v>
      </c>
      <c r="T659">
        <v>1</v>
      </c>
      <c r="U659" t="s">
        <v>32</v>
      </c>
      <c r="V659" t="s">
        <v>33</v>
      </c>
      <c r="W659">
        <v>5</v>
      </c>
    </row>
    <row r="660" spans="1:23" x14ac:dyDescent="0.25">
      <c r="A660" t="s">
        <v>1141</v>
      </c>
      <c r="B660" s="1">
        <v>45854</v>
      </c>
      <c r="C660" t="s">
        <v>668</v>
      </c>
      <c r="D660" t="s">
        <v>67</v>
      </c>
      <c r="E660" t="s">
        <v>46</v>
      </c>
      <c r="F660" t="s">
        <v>27</v>
      </c>
      <c r="G660" t="s">
        <v>164</v>
      </c>
      <c r="H660">
        <v>2</v>
      </c>
      <c r="I660">
        <v>5338</v>
      </c>
      <c r="J660">
        <v>10</v>
      </c>
      <c r="K660">
        <v>1067.5999999999999</v>
      </c>
      <c r="L660">
        <v>9608.4</v>
      </c>
      <c r="M660">
        <v>6680.07</v>
      </c>
      <c r="N660">
        <v>2928.33</v>
      </c>
      <c r="O660" t="s">
        <v>91</v>
      </c>
      <c r="P660">
        <v>1285.23</v>
      </c>
      <c r="Q660" t="s">
        <v>83</v>
      </c>
      <c r="R660" t="s">
        <v>41</v>
      </c>
      <c r="S660">
        <v>2</v>
      </c>
      <c r="T660">
        <v>2</v>
      </c>
      <c r="U660" t="s">
        <v>32</v>
      </c>
      <c r="V660" t="s">
        <v>33</v>
      </c>
      <c r="W660">
        <v>1</v>
      </c>
    </row>
    <row r="661" spans="1:23" x14ac:dyDescent="0.25">
      <c r="A661" t="s">
        <v>1142</v>
      </c>
      <c r="B661" s="1">
        <v>46013</v>
      </c>
      <c r="C661" t="s">
        <v>1033</v>
      </c>
      <c r="D661" t="s">
        <v>154</v>
      </c>
      <c r="E661" t="s">
        <v>46</v>
      </c>
      <c r="F661" t="s">
        <v>86</v>
      </c>
      <c r="G661" t="s">
        <v>127</v>
      </c>
      <c r="H661">
        <v>1</v>
      </c>
      <c r="I661">
        <v>38142</v>
      </c>
      <c r="J661">
        <v>10</v>
      </c>
      <c r="K661">
        <v>3814.2</v>
      </c>
      <c r="L661">
        <v>34327.800000000003</v>
      </c>
      <c r="M661">
        <v>24039.83</v>
      </c>
      <c r="N661">
        <v>10287.969999999999</v>
      </c>
      <c r="O661" t="s">
        <v>29</v>
      </c>
      <c r="P661">
        <v>1975.83</v>
      </c>
      <c r="Q661" t="s">
        <v>83</v>
      </c>
      <c r="R661" t="s">
        <v>31</v>
      </c>
      <c r="S661">
        <v>5</v>
      </c>
      <c r="T661">
        <v>4</v>
      </c>
      <c r="U661" t="s">
        <v>32</v>
      </c>
      <c r="V661" t="s">
        <v>33</v>
      </c>
      <c r="W661">
        <v>2</v>
      </c>
    </row>
    <row r="662" spans="1:23" x14ac:dyDescent="0.25">
      <c r="A662" t="s">
        <v>1143</v>
      </c>
      <c r="B662" s="1">
        <v>45736</v>
      </c>
      <c r="C662" t="s">
        <v>380</v>
      </c>
      <c r="D662" t="s">
        <v>124</v>
      </c>
      <c r="E662" t="s">
        <v>46</v>
      </c>
      <c r="F662" t="s">
        <v>86</v>
      </c>
      <c r="G662" t="s">
        <v>94</v>
      </c>
      <c r="H662">
        <v>1</v>
      </c>
      <c r="I662">
        <v>32081</v>
      </c>
      <c r="J662">
        <v>10</v>
      </c>
      <c r="K662">
        <v>3208.1</v>
      </c>
      <c r="L662">
        <v>28872.9</v>
      </c>
      <c r="M662">
        <v>20585.7</v>
      </c>
      <c r="N662">
        <v>8287.2000000000007</v>
      </c>
      <c r="O662" t="s">
        <v>91</v>
      </c>
      <c r="P662">
        <v>1677.15</v>
      </c>
      <c r="Q662" t="s">
        <v>30</v>
      </c>
      <c r="R662" t="s">
        <v>31</v>
      </c>
      <c r="S662">
        <v>5</v>
      </c>
      <c r="T662">
        <v>3</v>
      </c>
      <c r="U662" t="s">
        <v>32</v>
      </c>
      <c r="V662" t="s">
        <v>33</v>
      </c>
      <c r="W662">
        <v>1</v>
      </c>
    </row>
    <row r="663" spans="1:23" x14ac:dyDescent="0.25">
      <c r="A663" t="s">
        <v>1144</v>
      </c>
      <c r="B663" s="1">
        <v>46019</v>
      </c>
      <c r="C663" t="s">
        <v>631</v>
      </c>
      <c r="D663" t="s">
        <v>97</v>
      </c>
      <c r="E663" t="s">
        <v>36</v>
      </c>
      <c r="F663" t="s">
        <v>27</v>
      </c>
      <c r="G663" t="s">
        <v>113</v>
      </c>
      <c r="H663">
        <v>1</v>
      </c>
      <c r="I663">
        <v>4551</v>
      </c>
      <c r="J663">
        <v>10</v>
      </c>
      <c r="K663">
        <v>455.1</v>
      </c>
      <c r="L663">
        <v>4095.9</v>
      </c>
      <c r="M663">
        <v>3126.55</v>
      </c>
      <c r="N663">
        <v>969.35</v>
      </c>
      <c r="O663" t="s">
        <v>55</v>
      </c>
      <c r="P663">
        <v>967.63</v>
      </c>
      <c r="Q663" t="s">
        <v>83</v>
      </c>
      <c r="R663" t="s">
        <v>41</v>
      </c>
      <c r="S663">
        <v>2</v>
      </c>
      <c r="T663">
        <v>1</v>
      </c>
      <c r="U663" t="s">
        <v>32</v>
      </c>
      <c r="V663" t="s">
        <v>33</v>
      </c>
      <c r="W663">
        <v>5</v>
      </c>
    </row>
    <row r="664" spans="1:23" x14ac:dyDescent="0.25">
      <c r="A664" t="s">
        <v>1145</v>
      </c>
      <c r="B664" s="1">
        <v>45767</v>
      </c>
      <c r="C664" t="s">
        <v>819</v>
      </c>
      <c r="D664" t="s">
        <v>97</v>
      </c>
      <c r="E664" t="s">
        <v>26</v>
      </c>
      <c r="F664" t="s">
        <v>53</v>
      </c>
      <c r="G664" t="s">
        <v>82</v>
      </c>
      <c r="H664">
        <v>2</v>
      </c>
      <c r="I664">
        <v>119926</v>
      </c>
      <c r="J664">
        <v>0</v>
      </c>
      <c r="K664">
        <v>0</v>
      </c>
      <c r="L664">
        <v>239852</v>
      </c>
      <c r="M664">
        <v>181597.02</v>
      </c>
      <c r="N664">
        <v>58254.98</v>
      </c>
      <c r="O664" t="s">
        <v>55</v>
      </c>
      <c r="P664">
        <v>1237.96</v>
      </c>
      <c r="Q664" t="s">
        <v>68</v>
      </c>
      <c r="R664" t="s">
        <v>41</v>
      </c>
      <c r="S664">
        <v>2</v>
      </c>
      <c r="T664">
        <v>1</v>
      </c>
      <c r="U664" t="s">
        <v>32</v>
      </c>
      <c r="V664" t="s">
        <v>33</v>
      </c>
      <c r="W664">
        <v>4</v>
      </c>
    </row>
    <row r="665" spans="1:23" x14ac:dyDescent="0.25">
      <c r="A665" t="s">
        <v>1146</v>
      </c>
      <c r="B665" s="1">
        <v>45690</v>
      </c>
      <c r="C665" t="s">
        <v>1082</v>
      </c>
      <c r="D665" t="s">
        <v>45</v>
      </c>
      <c r="E665" t="s">
        <v>26</v>
      </c>
      <c r="F665" t="s">
        <v>86</v>
      </c>
      <c r="G665" t="s">
        <v>180</v>
      </c>
      <c r="H665">
        <v>2</v>
      </c>
      <c r="I665">
        <v>8815</v>
      </c>
      <c r="J665">
        <v>0</v>
      </c>
      <c r="K665">
        <v>0</v>
      </c>
      <c r="L665">
        <v>17630</v>
      </c>
      <c r="M665">
        <v>12665.33</v>
      </c>
      <c r="N665">
        <v>4964.67</v>
      </c>
      <c r="O665" t="s">
        <v>39</v>
      </c>
      <c r="P665">
        <v>718.03</v>
      </c>
      <c r="Q665" t="s">
        <v>30</v>
      </c>
      <c r="R665" t="s">
        <v>31</v>
      </c>
      <c r="S665">
        <v>5</v>
      </c>
      <c r="T665">
        <v>3</v>
      </c>
      <c r="U665" t="s">
        <v>32</v>
      </c>
      <c r="V665" t="s">
        <v>33</v>
      </c>
      <c r="W665">
        <v>1</v>
      </c>
    </row>
    <row r="666" spans="1:23" x14ac:dyDescent="0.25">
      <c r="A666" t="s">
        <v>1147</v>
      </c>
      <c r="B666" s="1">
        <v>45870</v>
      </c>
      <c r="C666" t="s">
        <v>1148</v>
      </c>
      <c r="D666" t="s">
        <v>45</v>
      </c>
      <c r="E666" t="s">
        <v>26</v>
      </c>
      <c r="F666" t="s">
        <v>47</v>
      </c>
      <c r="G666" t="s">
        <v>48</v>
      </c>
      <c r="H666">
        <v>1</v>
      </c>
      <c r="I666">
        <v>50607</v>
      </c>
      <c r="J666">
        <v>0</v>
      </c>
      <c r="K666">
        <v>0</v>
      </c>
      <c r="L666">
        <v>50607</v>
      </c>
      <c r="M666">
        <v>30414.240000000002</v>
      </c>
      <c r="N666">
        <v>20192.759999999998</v>
      </c>
      <c r="O666" t="s">
        <v>49</v>
      </c>
      <c r="P666">
        <v>131.71</v>
      </c>
      <c r="Q666" t="s">
        <v>83</v>
      </c>
      <c r="R666" t="s">
        <v>31</v>
      </c>
      <c r="S666">
        <v>5</v>
      </c>
      <c r="T666">
        <v>3</v>
      </c>
      <c r="U666" t="s">
        <v>32</v>
      </c>
      <c r="V666" t="s">
        <v>33</v>
      </c>
    </row>
    <row r="667" spans="1:23" x14ac:dyDescent="0.25">
      <c r="A667" t="s">
        <v>1149</v>
      </c>
      <c r="B667" s="1">
        <v>45866</v>
      </c>
      <c r="C667" t="s">
        <v>1037</v>
      </c>
      <c r="D667" t="s">
        <v>154</v>
      </c>
      <c r="E667" t="s">
        <v>46</v>
      </c>
      <c r="F667" t="s">
        <v>37</v>
      </c>
      <c r="G667" t="s">
        <v>38</v>
      </c>
      <c r="H667">
        <v>1</v>
      </c>
      <c r="I667">
        <v>23852</v>
      </c>
      <c r="J667">
        <v>0</v>
      </c>
      <c r="K667">
        <v>0</v>
      </c>
      <c r="L667">
        <v>23852</v>
      </c>
      <c r="M667">
        <v>15851</v>
      </c>
      <c r="N667">
        <v>8001</v>
      </c>
      <c r="O667" t="s">
        <v>29</v>
      </c>
      <c r="P667">
        <v>1976.39</v>
      </c>
      <c r="Q667" t="s">
        <v>83</v>
      </c>
      <c r="R667" t="s">
        <v>31</v>
      </c>
      <c r="S667">
        <v>5</v>
      </c>
      <c r="T667">
        <v>5</v>
      </c>
      <c r="U667" t="s">
        <v>32</v>
      </c>
      <c r="V667" t="s">
        <v>33</v>
      </c>
      <c r="W667">
        <v>2</v>
      </c>
    </row>
    <row r="668" spans="1:23" x14ac:dyDescent="0.25">
      <c r="A668" t="s">
        <v>1150</v>
      </c>
      <c r="B668" s="1">
        <v>45827</v>
      </c>
      <c r="C668" t="s">
        <v>1112</v>
      </c>
      <c r="D668" t="s">
        <v>71</v>
      </c>
      <c r="E668" t="s">
        <v>46</v>
      </c>
      <c r="F668" t="s">
        <v>47</v>
      </c>
      <c r="G668" t="s">
        <v>105</v>
      </c>
      <c r="H668">
        <v>2</v>
      </c>
      <c r="I668">
        <v>20669</v>
      </c>
      <c r="J668">
        <v>20</v>
      </c>
      <c r="K668">
        <v>8267.6</v>
      </c>
      <c r="L668">
        <v>33070.400000000001</v>
      </c>
      <c r="M668">
        <v>21752.99</v>
      </c>
      <c r="N668">
        <v>11317.41</v>
      </c>
      <c r="O668" t="s">
        <v>55</v>
      </c>
      <c r="P668">
        <v>2073.35</v>
      </c>
      <c r="Q668" t="s">
        <v>83</v>
      </c>
      <c r="R668" t="s">
        <v>41</v>
      </c>
      <c r="S668">
        <v>2</v>
      </c>
      <c r="T668">
        <v>1</v>
      </c>
      <c r="U668" t="s">
        <v>32</v>
      </c>
      <c r="V668" t="s">
        <v>33</v>
      </c>
      <c r="W668">
        <v>5</v>
      </c>
    </row>
    <row r="669" spans="1:23" x14ac:dyDescent="0.25">
      <c r="A669" t="s">
        <v>1151</v>
      </c>
      <c r="B669" s="1">
        <v>45935</v>
      </c>
      <c r="C669" t="s">
        <v>766</v>
      </c>
      <c r="D669" t="s">
        <v>97</v>
      </c>
      <c r="E669" t="s">
        <v>46</v>
      </c>
      <c r="F669" t="s">
        <v>47</v>
      </c>
      <c r="G669" t="s">
        <v>64</v>
      </c>
      <c r="H669">
        <v>1</v>
      </c>
      <c r="I669">
        <v>46639</v>
      </c>
      <c r="J669">
        <v>15</v>
      </c>
      <c r="K669">
        <v>6995.85</v>
      </c>
      <c r="L669">
        <v>39643.15</v>
      </c>
      <c r="M669">
        <v>23847.93</v>
      </c>
      <c r="N669">
        <v>15795.22</v>
      </c>
      <c r="O669" t="s">
        <v>55</v>
      </c>
      <c r="P669">
        <v>787.15</v>
      </c>
      <c r="Q669" t="s">
        <v>83</v>
      </c>
      <c r="R669" t="s">
        <v>41</v>
      </c>
      <c r="S669">
        <v>2</v>
      </c>
      <c r="T669">
        <v>5</v>
      </c>
      <c r="U669" t="s">
        <v>56</v>
      </c>
      <c r="V669" t="s">
        <v>33</v>
      </c>
      <c r="W669">
        <v>4</v>
      </c>
    </row>
    <row r="670" spans="1:23" x14ac:dyDescent="0.25">
      <c r="A670" t="s">
        <v>1152</v>
      </c>
      <c r="B670" s="1">
        <v>45896</v>
      </c>
      <c r="C670" t="s">
        <v>587</v>
      </c>
      <c r="D670" t="s">
        <v>71</v>
      </c>
      <c r="E670" t="s">
        <v>46</v>
      </c>
      <c r="F670" t="s">
        <v>27</v>
      </c>
      <c r="G670" t="s">
        <v>164</v>
      </c>
      <c r="H670">
        <v>3</v>
      </c>
      <c r="I670">
        <v>5639</v>
      </c>
      <c r="J670">
        <v>10</v>
      </c>
      <c r="K670">
        <v>1691.7</v>
      </c>
      <c r="L670">
        <v>15225.3</v>
      </c>
      <c r="M670">
        <v>9316.77</v>
      </c>
      <c r="N670">
        <v>5908.53</v>
      </c>
      <c r="O670" t="s">
        <v>60</v>
      </c>
      <c r="P670">
        <v>2063.39</v>
      </c>
      <c r="Q670" t="s">
        <v>30</v>
      </c>
      <c r="R670" t="s">
        <v>31</v>
      </c>
      <c r="S670">
        <v>5</v>
      </c>
      <c r="T670">
        <v>5</v>
      </c>
      <c r="U670" t="s">
        <v>32</v>
      </c>
      <c r="V670" t="s">
        <v>50</v>
      </c>
      <c r="W670">
        <v>5</v>
      </c>
    </row>
    <row r="671" spans="1:23" x14ac:dyDescent="0.25">
      <c r="A671" t="s">
        <v>1153</v>
      </c>
      <c r="B671" s="1">
        <v>45870</v>
      </c>
      <c r="C671" t="s">
        <v>1154</v>
      </c>
      <c r="D671" t="s">
        <v>90</v>
      </c>
      <c r="E671" t="s">
        <v>36</v>
      </c>
      <c r="F671" t="s">
        <v>53</v>
      </c>
      <c r="G671" t="s">
        <v>59</v>
      </c>
      <c r="H671">
        <v>1</v>
      </c>
      <c r="I671">
        <v>10215</v>
      </c>
      <c r="J671">
        <v>20</v>
      </c>
      <c r="K671">
        <v>2043</v>
      </c>
      <c r="L671">
        <v>8172</v>
      </c>
      <c r="M671">
        <v>6176.54</v>
      </c>
      <c r="N671">
        <v>1995.46</v>
      </c>
      <c r="O671" t="s">
        <v>91</v>
      </c>
      <c r="P671">
        <v>1901.65</v>
      </c>
      <c r="Q671" t="s">
        <v>73</v>
      </c>
      <c r="R671" t="s">
        <v>31</v>
      </c>
      <c r="S671">
        <v>5</v>
      </c>
      <c r="T671">
        <v>7</v>
      </c>
      <c r="U671" t="s">
        <v>56</v>
      </c>
      <c r="V671" t="s">
        <v>33</v>
      </c>
      <c r="W671">
        <v>5</v>
      </c>
    </row>
    <row r="672" spans="1:23" x14ac:dyDescent="0.25">
      <c r="A672" t="s">
        <v>1155</v>
      </c>
      <c r="B672" s="1">
        <v>45689</v>
      </c>
      <c r="C672" t="s">
        <v>1156</v>
      </c>
      <c r="D672" t="s">
        <v>154</v>
      </c>
      <c r="E672" t="s">
        <v>46</v>
      </c>
      <c r="F672" t="s">
        <v>86</v>
      </c>
      <c r="G672" t="s">
        <v>110</v>
      </c>
      <c r="H672">
        <v>3</v>
      </c>
      <c r="I672">
        <v>29804</v>
      </c>
      <c r="J672">
        <v>0</v>
      </c>
      <c r="K672">
        <v>0</v>
      </c>
      <c r="L672">
        <v>89412</v>
      </c>
      <c r="M672">
        <v>49900.36</v>
      </c>
      <c r="N672">
        <v>39511.64</v>
      </c>
      <c r="O672" t="s">
        <v>60</v>
      </c>
      <c r="P672">
        <v>1638.22</v>
      </c>
      <c r="Q672" t="s">
        <v>73</v>
      </c>
      <c r="R672" t="s">
        <v>41</v>
      </c>
      <c r="S672">
        <v>2</v>
      </c>
      <c r="T672">
        <v>4</v>
      </c>
      <c r="U672" t="s">
        <v>56</v>
      </c>
      <c r="V672" t="s">
        <v>33</v>
      </c>
      <c r="W672">
        <v>4</v>
      </c>
    </row>
    <row r="673" spans="1:23" x14ac:dyDescent="0.25">
      <c r="A673" t="s">
        <v>1157</v>
      </c>
      <c r="B673" s="1">
        <v>45763</v>
      </c>
      <c r="C673" t="s">
        <v>1158</v>
      </c>
      <c r="D673" t="s">
        <v>90</v>
      </c>
      <c r="E673" t="s">
        <v>46</v>
      </c>
      <c r="F673" t="s">
        <v>37</v>
      </c>
      <c r="G673" t="s">
        <v>313</v>
      </c>
      <c r="H673">
        <v>1</v>
      </c>
      <c r="I673">
        <v>39355</v>
      </c>
      <c r="J673">
        <v>15</v>
      </c>
      <c r="K673">
        <v>5903.25</v>
      </c>
      <c r="L673">
        <v>33451.75</v>
      </c>
      <c r="M673">
        <v>25285.360000000001</v>
      </c>
      <c r="N673">
        <v>8166.39</v>
      </c>
      <c r="O673" t="s">
        <v>39</v>
      </c>
      <c r="P673">
        <v>234.36</v>
      </c>
      <c r="Q673" t="s">
        <v>68</v>
      </c>
      <c r="R673" t="s">
        <v>31</v>
      </c>
      <c r="S673">
        <v>5</v>
      </c>
      <c r="T673">
        <v>1</v>
      </c>
      <c r="U673" t="s">
        <v>32</v>
      </c>
      <c r="V673" t="s">
        <v>50</v>
      </c>
      <c r="W673">
        <v>1</v>
      </c>
    </row>
    <row r="674" spans="1:23" x14ac:dyDescent="0.25">
      <c r="A674" t="s">
        <v>1159</v>
      </c>
      <c r="B674" s="1">
        <v>45873</v>
      </c>
      <c r="C674" t="s">
        <v>1160</v>
      </c>
      <c r="D674" t="s">
        <v>79</v>
      </c>
      <c r="E674" t="s">
        <v>26</v>
      </c>
      <c r="F674" t="s">
        <v>53</v>
      </c>
      <c r="G674" t="s">
        <v>54</v>
      </c>
      <c r="H674">
        <v>1</v>
      </c>
      <c r="I674">
        <v>79349</v>
      </c>
      <c r="J674">
        <v>10</v>
      </c>
      <c r="K674">
        <v>7934.9</v>
      </c>
      <c r="L674">
        <v>71414.100000000006</v>
      </c>
      <c r="M674">
        <v>48460.59</v>
      </c>
      <c r="N674">
        <v>22953.51</v>
      </c>
      <c r="O674" t="s">
        <v>60</v>
      </c>
      <c r="P674">
        <v>1709.66</v>
      </c>
      <c r="Q674" t="s">
        <v>73</v>
      </c>
      <c r="R674" t="s">
        <v>31</v>
      </c>
      <c r="S674">
        <v>5</v>
      </c>
      <c r="T674">
        <v>4</v>
      </c>
      <c r="U674" t="s">
        <v>32</v>
      </c>
      <c r="V674" t="s">
        <v>33</v>
      </c>
      <c r="W674">
        <v>3</v>
      </c>
    </row>
    <row r="675" spans="1:23" x14ac:dyDescent="0.25">
      <c r="A675" t="s">
        <v>1161</v>
      </c>
      <c r="B675" s="1">
        <v>45857</v>
      </c>
      <c r="C675" t="s">
        <v>1162</v>
      </c>
      <c r="D675" t="s">
        <v>67</v>
      </c>
      <c r="E675" t="s">
        <v>36</v>
      </c>
      <c r="F675" t="s">
        <v>37</v>
      </c>
      <c r="G675" t="s">
        <v>224</v>
      </c>
      <c r="H675">
        <v>2</v>
      </c>
      <c r="I675">
        <v>13345</v>
      </c>
      <c r="J675">
        <v>5</v>
      </c>
      <c r="K675">
        <v>1334.5</v>
      </c>
      <c r="L675">
        <v>25355.5</v>
      </c>
      <c r="M675">
        <v>18458.47</v>
      </c>
      <c r="N675">
        <v>6897.03</v>
      </c>
      <c r="O675" t="s">
        <v>49</v>
      </c>
      <c r="P675">
        <v>177.03</v>
      </c>
      <c r="Q675" t="s">
        <v>40</v>
      </c>
      <c r="R675" t="s">
        <v>31</v>
      </c>
      <c r="S675">
        <v>5</v>
      </c>
      <c r="T675">
        <v>5</v>
      </c>
      <c r="U675" t="s">
        <v>32</v>
      </c>
      <c r="V675" t="s">
        <v>50</v>
      </c>
      <c r="W675">
        <v>4</v>
      </c>
    </row>
    <row r="676" spans="1:23" x14ac:dyDescent="0.25">
      <c r="A676" t="s">
        <v>1163</v>
      </c>
      <c r="B676" s="1">
        <v>45957</v>
      </c>
      <c r="C676" t="s">
        <v>661</v>
      </c>
      <c r="D676" t="s">
        <v>63</v>
      </c>
      <c r="E676" t="s">
        <v>26</v>
      </c>
      <c r="F676" t="s">
        <v>53</v>
      </c>
      <c r="G676" t="s">
        <v>268</v>
      </c>
      <c r="H676">
        <v>1</v>
      </c>
      <c r="I676">
        <v>102121</v>
      </c>
      <c r="J676">
        <v>10</v>
      </c>
      <c r="K676">
        <v>10212.1</v>
      </c>
      <c r="L676">
        <v>91908.9</v>
      </c>
      <c r="M676">
        <v>69406.960000000006</v>
      </c>
      <c r="N676">
        <v>22501.94</v>
      </c>
      <c r="O676" t="s">
        <v>91</v>
      </c>
      <c r="P676">
        <v>1061.97</v>
      </c>
      <c r="Q676" t="s">
        <v>68</v>
      </c>
      <c r="R676" t="s">
        <v>41</v>
      </c>
      <c r="S676">
        <v>2</v>
      </c>
      <c r="T676">
        <v>1</v>
      </c>
      <c r="U676" t="s">
        <v>32</v>
      </c>
      <c r="V676" t="s">
        <v>33</v>
      </c>
      <c r="W676">
        <v>4</v>
      </c>
    </row>
    <row r="677" spans="1:23" x14ac:dyDescent="0.25">
      <c r="A677" t="s">
        <v>1164</v>
      </c>
      <c r="B677" s="1">
        <v>46014</v>
      </c>
      <c r="C677" t="s">
        <v>604</v>
      </c>
      <c r="D677" t="s">
        <v>90</v>
      </c>
      <c r="E677" t="s">
        <v>36</v>
      </c>
      <c r="F677" t="s">
        <v>37</v>
      </c>
      <c r="G677" t="s">
        <v>224</v>
      </c>
      <c r="H677">
        <v>1</v>
      </c>
      <c r="I677">
        <v>30002</v>
      </c>
      <c r="J677">
        <v>10</v>
      </c>
      <c r="K677">
        <v>3000.2</v>
      </c>
      <c r="L677">
        <v>27001.8</v>
      </c>
      <c r="M677">
        <v>14936.38</v>
      </c>
      <c r="N677">
        <v>12065.42</v>
      </c>
      <c r="O677" t="s">
        <v>91</v>
      </c>
      <c r="P677">
        <v>990.97</v>
      </c>
      <c r="Q677" t="s">
        <v>40</v>
      </c>
      <c r="R677" t="s">
        <v>41</v>
      </c>
      <c r="S677">
        <v>2</v>
      </c>
      <c r="T677">
        <v>1</v>
      </c>
      <c r="U677" t="s">
        <v>32</v>
      </c>
      <c r="V677" t="s">
        <v>33</v>
      </c>
      <c r="W677">
        <v>5</v>
      </c>
    </row>
    <row r="678" spans="1:23" x14ac:dyDescent="0.25">
      <c r="A678" t="s">
        <v>1165</v>
      </c>
      <c r="B678" s="1">
        <v>45668</v>
      </c>
      <c r="C678" t="s">
        <v>324</v>
      </c>
      <c r="D678" t="s">
        <v>67</v>
      </c>
      <c r="E678" t="s">
        <v>46</v>
      </c>
      <c r="F678" t="s">
        <v>27</v>
      </c>
      <c r="G678" t="s">
        <v>113</v>
      </c>
      <c r="H678">
        <v>1</v>
      </c>
      <c r="I678">
        <v>14554</v>
      </c>
      <c r="J678">
        <v>0</v>
      </c>
      <c r="K678">
        <v>0</v>
      </c>
      <c r="L678">
        <v>14554</v>
      </c>
      <c r="M678">
        <v>9007.86</v>
      </c>
      <c r="N678">
        <v>5546.14</v>
      </c>
      <c r="O678" t="s">
        <v>29</v>
      </c>
      <c r="P678">
        <v>421.96</v>
      </c>
      <c r="Q678" t="s">
        <v>73</v>
      </c>
      <c r="R678" t="s">
        <v>41</v>
      </c>
      <c r="S678">
        <v>2</v>
      </c>
      <c r="T678">
        <v>1</v>
      </c>
      <c r="U678" t="s">
        <v>32</v>
      </c>
      <c r="V678" t="s">
        <v>33</v>
      </c>
      <c r="W678">
        <v>5</v>
      </c>
    </row>
    <row r="679" spans="1:23" x14ac:dyDescent="0.25">
      <c r="A679" t="s">
        <v>1166</v>
      </c>
      <c r="B679" s="1">
        <v>45952</v>
      </c>
      <c r="C679" t="s">
        <v>241</v>
      </c>
      <c r="D679" t="s">
        <v>25</v>
      </c>
      <c r="E679" t="s">
        <v>26</v>
      </c>
      <c r="F679" t="s">
        <v>37</v>
      </c>
      <c r="G679" t="s">
        <v>313</v>
      </c>
      <c r="H679">
        <v>3</v>
      </c>
      <c r="I679">
        <v>11283</v>
      </c>
      <c r="J679">
        <v>0</v>
      </c>
      <c r="K679">
        <v>0</v>
      </c>
      <c r="L679">
        <v>33849</v>
      </c>
      <c r="M679">
        <v>23647.77</v>
      </c>
      <c r="N679">
        <v>10201.23</v>
      </c>
      <c r="O679" t="s">
        <v>60</v>
      </c>
      <c r="P679">
        <v>999.54</v>
      </c>
      <c r="Q679" t="s">
        <v>30</v>
      </c>
      <c r="R679" t="s">
        <v>31</v>
      </c>
      <c r="S679">
        <v>5</v>
      </c>
      <c r="T679">
        <v>8</v>
      </c>
      <c r="U679" t="s">
        <v>56</v>
      </c>
      <c r="V679" t="s">
        <v>33</v>
      </c>
      <c r="W679">
        <v>5</v>
      </c>
    </row>
    <row r="680" spans="1:23" x14ac:dyDescent="0.25">
      <c r="A680" t="s">
        <v>1167</v>
      </c>
      <c r="B680" s="1">
        <v>45852</v>
      </c>
      <c r="C680" t="s">
        <v>1076</v>
      </c>
      <c r="D680" t="s">
        <v>97</v>
      </c>
      <c r="E680" t="s">
        <v>46</v>
      </c>
      <c r="F680" t="s">
        <v>27</v>
      </c>
      <c r="G680" t="s">
        <v>28</v>
      </c>
      <c r="H680">
        <v>3</v>
      </c>
      <c r="I680">
        <v>25801</v>
      </c>
      <c r="J680">
        <v>0</v>
      </c>
      <c r="K680">
        <v>0</v>
      </c>
      <c r="L680">
        <v>77403</v>
      </c>
      <c r="M680">
        <v>46723.77</v>
      </c>
      <c r="N680">
        <v>30679.23</v>
      </c>
      <c r="O680" t="s">
        <v>91</v>
      </c>
      <c r="P680">
        <v>1993.86</v>
      </c>
      <c r="Q680" t="s">
        <v>40</v>
      </c>
      <c r="R680" t="s">
        <v>41</v>
      </c>
      <c r="S680">
        <v>2</v>
      </c>
      <c r="T680">
        <v>4</v>
      </c>
      <c r="U680" t="s">
        <v>32</v>
      </c>
      <c r="V680" t="s">
        <v>50</v>
      </c>
      <c r="W680">
        <v>5</v>
      </c>
    </row>
    <row r="681" spans="1:23" x14ac:dyDescent="0.25">
      <c r="A681" t="s">
        <v>1168</v>
      </c>
      <c r="B681" s="1">
        <v>45902</v>
      </c>
      <c r="C681" t="s">
        <v>615</v>
      </c>
      <c r="D681" t="s">
        <v>97</v>
      </c>
      <c r="E681" t="s">
        <v>26</v>
      </c>
      <c r="F681" t="s">
        <v>37</v>
      </c>
      <c r="G681" t="s">
        <v>38</v>
      </c>
      <c r="H681">
        <v>2</v>
      </c>
      <c r="I681">
        <v>10562</v>
      </c>
      <c r="J681">
        <v>0</v>
      </c>
      <c r="K681">
        <v>0</v>
      </c>
      <c r="L681">
        <v>21124</v>
      </c>
      <c r="M681">
        <v>15239.38</v>
      </c>
      <c r="N681">
        <v>5884.62</v>
      </c>
      <c r="O681" t="s">
        <v>39</v>
      </c>
      <c r="P681">
        <v>2340.4899999999998</v>
      </c>
      <c r="Q681" t="s">
        <v>68</v>
      </c>
      <c r="R681" t="s">
        <v>31</v>
      </c>
      <c r="S681">
        <v>5</v>
      </c>
      <c r="T681">
        <v>6</v>
      </c>
      <c r="U681" t="s">
        <v>32</v>
      </c>
      <c r="V681" t="s">
        <v>42</v>
      </c>
    </row>
    <row r="682" spans="1:23" x14ac:dyDescent="0.25">
      <c r="A682" t="s">
        <v>1169</v>
      </c>
      <c r="B682" s="1">
        <v>45661</v>
      </c>
      <c r="C682" t="s">
        <v>817</v>
      </c>
      <c r="D682" t="s">
        <v>124</v>
      </c>
      <c r="E682" t="s">
        <v>46</v>
      </c>
      <c r="F682" t="s">
        <v>37</v>
      </c>
      <c r="G682" t="s">
        <v>38</v>
      </c>
      <c r="H682">
        <v>3</v>
      </c>
      <c r="I682">
        <v>31607</v>
      </c>
      <c r="J682">
        <v>20</v>
      </c>
      <c r="K682">
        <v>18964.2</v>
      </c>
      <c r="L682">
        <v>75856.800000000003</v>
      </c>
      <c r="M682">
        <v>51306.59</v>
      </c>
      <c r="N682">
        <v>24550.21</v>
      </c>
      <c r="O682" t="s">
        <v>39</v>
      </c>
      <c r="P682">
        <v>372.2</v>
      </c>
      <c r="Q682" t="s">
        <v>40</v>
      </c>
      <c r="R682" t="s">
        <v>41</v>
      </c>
      <c r="S682">
        <v>2</v>
      </c>
      <c r="T682">
        <v>3</v>
      </c>
      <c r="U682" t="s">
        <v>56</v>
      </c>
      <c r="V682" t="s">
        <v>33</v>
      </c>
      <c r="W682">
        <v>1</v>
      </c>
    </row>
    <row r="683" spans="1:23" x14ac:dyDescent="0.25">
      <c r="A683" t="s">
        <v>1170</v>
      </c>
      <c r="B683" s="1">
        <v>45838</v>
      </c>
      <c r="C683" t="s">
        <v>172</v>
      </c>
      <c r="D683" t="s">
        <v>90</v>
      </c>
      <c r="E683" t="s">
        <v>46</v>
      </c>
      <c r="F683" t="s">
        <v>86</v>
      </c>
      <c r="G683" t="s">
        <v>87</v>
      </c>
      <c r="H683">
        <v>1</v>
      </c>
      <c r="I683">
        <v>57280</v>
      </c>
      <c r="J683">
        <v>15</v>
      </c>
      <c r="K683">
        <v>8592</v>
      </c>
      <c r="L683">
        <v>48688</v>
      </c>
      <c r="M683">
        <v>31918.39</v>
      </c>
      <c r="N683">
        <v>16769.61</v>
      </c>
      <c r="O683" t="s">
        <v>60</v>
      </c>
      <c r="P683">
        <v>1005.94</v>
      </c>
      <c r="Q683" t="s">
        <v>68</v>
      </c>
      <c r="R683" t="s">
        <v>31</v>
      </c>
      <c r="S683">
        <v>5</v>
      </c>
      <c r="T683">
        <v>2</v>
      </c>
      <c r="U683" t="s">
        <v>32</v>
      </c>
      <c r="V683" t="s">
        <v>33</v>
      </c>
      <c r="W683">
        <v>5</v>
      </c>
    </row>
    <row r="684" spans="1:23" x14ac:dyDescent="0.25">
      <c r="A684" t="s">
        <v>1171</v>
      </c>
      <c r="B684" s="1">
        <v>45810</v>
      </c>
      <c r="C684" t="s">
        <v>1172</v>
      </c>
      <c r="D684" t="s">
        <v>79</v>
      </c>
      <c r="E684" t="s">
        <v>26</v>
      </c>
      <c r="F684" t="s">
        <v>86</v>
      </c>
      <c r="G684" t="s">
        <v>87</v>
      </c>
      <c r="H684">
        <v>3</v>
      </c>
      <c r="I684">
        <v>64114</v>
      </c>
      <c r="J684">
        <v>10</v>
      </c>
      <c r="K684">
        <v>19234.2</v>
      </c>
      <c r="L684">
        <v>173107.8</v>
      </c>
      <c r="M684">
        <v>95712.63</v>
      </c>
      <c r="N684">
        <v>77395.17</v>
      </c>
      <c r="O684" t="s">
        <v>49</v>
      </c>
      <c r="P684">
        <v>96.18</v>
      </c>
      <c r="Q684" t="s">
        <v>40</v>
      </c>
      <c r="R684" t="s">
        <v>41</v>
      </c>
      <c r="S684">
        <v>2</v>
      </c>
      <c r="T684">
        <v>1</v>
      </c>
      <c r="U684" t="s">
        <v>32</v>
      </c>
      <c r="V684" t="s">
        <v>33</v>
      </c>
      <c r="W684">
        <v>5</v>
      </c>
    </row>
    <row r="685" spans="1:23" x14ac:dyDescent="0.25">
      <c r="A685" t="s">
        <v>1173</v>
      </c>
      <c r="B685" s="1">
        <v>45857</v>
      </c>
      <c r="C685" t="s">
        <v>351</v>
      </c>
      <c r="D685" t="s">
        <v>63</v>
      </c>
      <c r="E685" t="s">
        <v>26</v>
      </c>
      <c r="F685" t="s">
        <v>27</v>
      </c>
      <c r="G685" t="s">
        <v>76</v>
      </c>
      <c r="H685">
        <v>2</v>
      </c>
      <c r="I685">
        <v>12416</v>
      </c>
      <c r="J685">
        <v>15</v>
      </c>
      <c r="K685">
        <v>3724.8</v>
      </c>
      <c r="L685">
        <v>21107.200000000001</v>
      </c>
      <c r="M685">
        <v>16384.55</v>
      </c>
      <c r="N685">
        <v>4722.6499999999996</v>
      </c>
      <c r="O685" t="s">
        <v>55</v>
      </c>
      <c r="P685">
        <v>1273.01</v>
      </c>
      <c r="Q685" t="s">
        <v>40</v>
      </c>
      <c r="R685" t="s">
        <v>31</v>
      </c>
      <c r="S685">
        <v>5</v>
      </c>
      <c r="T685">
        <v>5</v>
      </c>
      <c r="U685" t="s">
        <v>32</v>
      </c>
      <c r="V685" t="s">
        <v>33</v>
      </c>
      <c r="W685">
        <v>5</v>
      </c>
    </row>
    <row r="686" spans="1:23" x14ac:dyDescent="0.25">
      <c r="A686" t="s">
        <v>1174</v>
      </c>
      <c r="B686" s="1">
        <v>45872</v>
      </c>
      <c r="C686" t="s">
        <v>272</v>
      </c>
      <c r="D686" t="s">
        <v>124</v>
      </c>
      <c r="E686" t="s">
        <v>46</v>
      </c>
      <c r="F686" t="s">
        <v>47</v>
      </c>
      <c r="G686" t="s">
        <v>105</v>
      </c>
      <c r="H686">
        <v>4</v>
      </c>
      <c r="I686">
        <v>46259</v>
      </c>
      <c r="J686">
        <v>15</v>
      </c>
      <c r="K686">
        <v>27755.4</v>
      </c>
      <c r="L686">
        <v>157280.6</v>
      </c>
      <c r="M686">
        <v>104411.04</v>
      </c>
      <c r="N686">
        <v>52869.56</v>
      </c>
      <c r="O686" t="s">
        <v>29</v>
      </c>
      <c r="P686">
        <v>844.47</v>
      </c>
      <c r="Q686" t="s">
        <v>73</v>
      </c>
      <c r="R686" t="s">
        <v>31</v>
      </c>
      <c r="S686">
        <v>5</v>
      </c>
      <c r="T686">
        <v>6</v>
      </c>
      <c r="U686" t="s">
        <v>32</v>
      </c>
      <c r="V686" t="s">
        <v>50</v>
      </c>
      <c r="W686">
        <v>5</v>
      </c>
    </row>
    <row r="687" spans="1:23" x14ac:dyDescent="0.25">
      <c r="A687" t="s">
        <v>1175</v>
      </c>
      <c r="B687" s="1">
        <v>45933</v>
      </c>
      <c r="C687" t="s">
        <v>762</v>
      </c>
      <c r="D687" t="s">
        <v>71</v>
      </c>
      <c r="E687" t="s">
        <v>36</v>
      </c>
      <c r="F687" t="s">
        <v>86</v>
      </c>
      <c r="G687" t="s">
        <v>110</v>
      </c>
      <c r="H687">
        <v>4</v>
      </c>
      <c r="I687">
        <v>19255</v>
      </c>
      <c r="J687">
        <v>5</v>
      </c>
      <c r="K687">
        <v>3851</v>
      </c>
      <c r="L687">
        <v>73169</v>
      </c>
      <c r="M687">
        <v>51815.48</v>
      </c>
      <c r="N687">
        <v>21353.52</v>
      </c>
      <c r="O687" t="s">
        <v>49</v>
      </c>
      <c r="P687">
        <v>169.59</v>
      </c>
      <c r="Q687" t="s">
        <v>30</v>
      </c>
      <c r="R687" t="s">
        <v>41</v>
      </c>
      <c r="S687">
        <v>2</v>
      </c>
      <c r="T687">
        <v>3</v>
      </c>
      <c r="U687" t="s">
        <v>56</v>
      </c>
      <c r="V687" t="s">
        <v>33</v>
      </c>
      <c r="W687">
        <v>5</v>
      </c>
    </row>
    <row r="688" spans="1:23" x14ac:dyDescent="0.25">
      <c r="A688" t="s">
        <v>1176</v>
      </c>
      <c r="B688" s="1">
        <v>45937</v>
      </c>
      <c r="C688" t="s">
        <v>1177</v>
      </c>
      <c r="D688" t="s">
        <v>71</v>
      </c>
      <c r="E688" t="s">
        <v>26</v>
      </c>
      <c r="F688" t="s">
        <v>37</v>
      </c>
      <c r="G688" t="s">
        <v>38</v>
      </c>
      <c r="H688">
        <v>3</v>
      </c>
      <c r="I688">
        <v>10460</v>
      </c>
      <c r="J688">
        <v>0</v>
      </c>
      <c r="K688">
        <v>0</v>
      </c>
      <c r="L688">
        <v>31380</v>
      </c>
      <c r="M688">
        <v>18254.3</v>
      </c>
      <c r="N688">
        <v>13125.7</v>
      </c>
      <c r="O688" t="s">
        <v>29</v>
      </c>
      <c r="P688">
        <v>1747</v>
      </c>
      <c r="Q688" t="s">
        <v>40</v>
      </c>
      <c r="R688" t="s">
        <v>41</v>
      </c>
      <c r="S688">
        <v>2</v>
      </c>
      <c r="T688">
        <v>1</v>
      </c>
      <c r="U688" t="s">
        <v>32</v>
      </c>
      <c r="V688" t="s">
        <v>33</v>
      </c>
      <c r="W688">
        <v>5</v>
      </c>
    </row>
    <row r="689" spans="1:23" x14ac:dyDescent="0.25">
      <c r="A689" t="s">
        <v>1178</v>
      </c>
      <c r="B689" s="1">
        <v>45966</v>
      </c>
      <c r="C689" t="s">
        <v>1037</v>
      </c>
      <c r="D689" t="s">
        <v>25</v>
      </c>
      <c r="E689" t="s">
        <v>26</v>
      </c>
      <c r="F689" t="s">
        <v>27</v>
      </c>
      <c r="G689" t="s">
        <v>113</v>
      </c>
      <c r="H689">
        <v>3</v>
      </c>
      <c r="I689">
        <v>16564</v>
      </c>
      <c r="J689">
        <v>0</v>
      </c>
      <c r="K689">
        <v>0</v>
      </c>
      <c r="L689">
        <v>49692</v>
      </c>
      <c r="M689">
        <v>30229.17</v>
      </c>
      <c r="N689">
        <v>19462.830000000002</v>
      </c>
      <c r="O689" t="s">
        <v>49</v>
      </c>
      <c r="P689">
        <v>475.68</v>
      </c>
      <c r="Q689" t="s">
        <v>83</v>
      </c>
      <c r="R689" t="s">
        <v>31</v>
      </c>
      <c r="S689">
        <v>5</v>
      </c>
      <c r="T689">
        <v>4</v>
      </c>
      <c r="U689" t="s">
        <v>32</v>
      </c>
      <c r="V689" t="s">
        <v>33</v>
      </c>
      <c r="W689">
        <v>5</v>
      </c>
    </row>
    <row r="690" spans="1:23" x14ac:dyDescent="0.25">
      <c r="A690" t="s">
        <v>1179</v>
      </c>
      <c r="B690" s="1">
        <v>45770</v>
      </c>
      <c r="C690" t="s">
        <v>1158</v>
      </c>
      <c r="D690" t="s">
        <v>67</v>
      </c>
      <c r="E690" t="s">
        <v>46</v>
      </c>
      <c r="F690" t="s">
        <v>86</v>
      </c>
      <c r="G690" t="s">
        <v>127</v>
      </c>
      <c r="H690">
        <v>2</v>
      </c>
      <c r="I690">
        <v>42258</v>
      </c>
      <c r="J690">
        <v>10</v>
      </c>
      <c r="K690">
        <v>8451.6</v>
      </c>
      <c r="L690">
        <v>76064.399999999994</v>
      </c>
      <c r="M690">
        <v>51245.75</v>
      </c>
      <c r="N690">
        <v>24818.65</v>
      </c>
      <c r="O690" t="s">
        <v>39</v>
      </c>
      <c r="P690">
        <v>569.36</v>
      </c>
      <c r="Q690" t="s">
        <v>40</v>
      </c>
      <c r="R690" t="s">
        <v>41</v>
      </c>
      <c r="S690">
        <v>2</v>
      </c>
      <c r="T690">
        <v>6</v>
      </c>
      <c r="U690" t="s">
        <v>32</v>
      </c>
      <c r="V690" t="s">
        <v>50</v>
      </c>
      <c r="W690">
        <v>5</v>
      </c>
    </row>
    <row r="691" spans="1:23" x14ac:dyDescent="0.25">
      <c r="A691" t="s">
        <v>1180</v>
      </c>
      <c r="B691" s="1">
        <v>45907</v>
      </c>
      <c r="C691" t="s">
        <v>576</v>
      </c>
      <c r="D691" t="s">
        <v>25</v>
      </c>
      <c r="E691" t="s">
        <v>36</v>
      </c>
      <c r="F691" t="s">
        <v>37</v>
      </c>
      <c r="G691" t="s">
        <v>313</v>
      </c>
      <c r="H691">
        <v>3</v>
      </c>
      <c r="I691">
        <v>18914</v>
      </c>
      <c r="J691">
        <v>10</v>
      </c>
      <c r="K691">
        <v>5674.2</v>
      </c>
      <c r="L691">
        <v>51067.8</v>
      </c>
      <c r="M691">
        <v>39513.43</v>
      </c>
      <c r="N691">
        <v>11554.37</v>
      </c>
      <c r="O691" t="s">
        <v>91</v>
      </c>
      <c r="P691">
        <v>1133.95</v>
      </c>
      <c r="Q691" t="s">
        <v>40</v>
      </c>
      <c r="R691" t="s">
        <v>31</v>
      </c>
      <c r="S691">
        <v>5</v>
      </c>
      <c r="T691">
        <v>5</v>
      </c>
      <c r="U691" t="s">
        <v>32</v>
      </c>
      <c r="V691" t="s">
        <v>33</v>
      </c>
      <c r="W691">
        <v>5</v>
      </c>
    </row>
    <row r="692" spans="1:23" x14ac:dyDescent="0.25">
      <c r="A692" t="s">
        <v>1181</v>
      </c>
      <c r="B692" s="1">
        <v>45770</v>
      </c>
      <c r="C692" t="s">
        <v>779</v>
      </c>
      <c r="D692" t="s">
        <v>124</v>
      </c>
      <c r="E692" t="s">
        <v>36</v>
      </c>
      <c r="F692" t="s">
        <v>27</v>
      </c>
      <c r="G692" t="s">
        <v>76</v>
      </c>
      <c r="H692">
        <v>1</v>
      </c>
      <c r="I692">
        <v>28232</v>
      </c>
      <c r="J692">
        <v>0</v>
      </c>
      <c r="K692">
        <v>0</v>
      </c>
      <c r="L692">
        <v>28232</v>
      </c>
      <c r="M692">
        <v>17987.88</v>
      </c>
      <c r="N692">
        <v>10244.120000000001</v>
      </c>
      <c r="O692" t="s">
        <v>39</v>
      </c>
      <c r="P692">
        <v>914.21</v>
      </c>
      <c r="Q692" t="s">
        <v>40</v>
      </c>
      <c r="R692" t="s">
        <v>31</v>
      </c>
      <c r="S692">
        <v>5</v>
      </c>
      <c r="T692">
        <v>4</v>
      </c>
      <c r="U692" t="s">
        <v>32</v>
      </c>
      <c r="V692" t="s">
        <v>33</v>
      </c>
      <c r="W692">
        <v>5</v>
      </c>
    </row>
    <row r="693" spans="1:23" x14ac:dyDescent="0.25">
      <c r="A693" t="s">
        <v>1182</v>
      </c>
      <c r="B693" s="1">
        <v>45797</v>
      </c>
      <c r="C693" t="s">
        <v>1183</v>
      </c>
      <c r="D693" t="s">
        <v>97</v>
      </c>
      <c r="E693" t="s">
        <v>46</v>
      </c>
      <c r="F693" t="s">
        <v>37</v>
      </c>
      <c r="G693" t="s">
        <v>313</v>
      </c>
      <c r="H693">
        <v>2</v>
      </c>
      <c r="I693">
        <v>30518</v>
      </c>
      <c r="J693">
        <v>10</v>
      </c>
      <c r="K693">
        <v>6103.6</v>
      </c>
      <c r="L693">
        <v>54932.4</v>
      </c>
      <c r="M693">
        <v>32374.78</v>
      </c>
      <c r="N693">
        <v>22557.62</v>
      </c>
      <c r="O693" t="s">
        <v>91</v>
      </c>
      <c r="P693">
        <v>505.97</v>
      </c>
      <c r="Q693" t="s">
        <v>30</v>
      </c>
      <c r="R693" t="s">
        <v>41</v>
      </c>
      <c r="S693">
        <v>2</v>
      </c>
      <c r="T693">
        <v>4</v>
      </c>
      <c r="U693" t="s">
        <v>56</v>
      </c>
      <c r="V693" t="s">
        <v>33</v>
      </c>
      <c r="W693">
        <v>4</v>
      </c>
    </row>
    <row r="694" spans="1:23" x14ac:dyDescent="0.25">
      <c r="A694" t="s">
        <v>1184</v>
      </c>
      <c r="B694" s="1">
        <v>45881</v>
      </c>
      <c r="C694" t="s">
        <v>185</v>
      </c>
      <c r="D694" t="s">
        <v>79</v>
      </c>
      <c r="E694" t="s">
        <v>36</v>
      </c>
      <c r="F694" t="s">
        <v>53</v>
      </c>
      <c r="G694" t="s">
        <v>59</v>
      </c>
      <c r="H694">
        <v>1</v>
      </c>
      <c r="I694">
        <v>14344</v>
      </c>
      <c r="J694">
        <v>0</v>
      </c>
      <c r="K694">
        <v>0</v>
      </c>
      <c r="L694">
        <v>14344</v>
      </c>
      <c r="M694">
        <v>9804.31</v>
      </c>
      <c r="N694">
        <v>4539.6899999999996</v>
      </c>
      <c r="O694" t="s">
        <v>39</v>
      </c>
      <c r="P694">
        <v>1212.82</v>
      </c>
      <c r="Q694" t="s">
        <v>68</v>
      </c>
      <c r="R694" t="s">
        <v>31</v>
      </c>
      <c r="S694">
        <v>5</v>
      </c>
      <c r="T694">
        <v>1</v>
      </c>
      <c r="U694" t="s">
        <v>32</v>
      </c>
      <c r="V694" t="s">
        <v>50</v>
      </c>
      <c r="W694">
        <v>2</v>
      </c>
    </row>
    <row r="695" spans="1:23" x14ac:dyDescent="0.25">
      <c r="A695" t="s">
        <v>1185</v>
      </c>
      <c r="B695" s="1">
        <v>45906</v>
      </c>
      <c r="C695" t="s">
        <v>1186</v>
      </c>
      <c r="D695" t="s">
        <v>124</v>
      </c>
      <c r="E695" t="s">
        <v>36</v>
      </c>
      <c r="F695" t="s">
        <v>47</v>
      </c>
      <c r="G695" t="s">
        <v>138</v>
      </c>
      <c r="H695">
        <v>1</v>
      </c>
      <c r="I695">
        <v>34166</v>
      </c>
      <c r="J695">
        <v>15</v>
      </c>
      <c r="K695">
        <v>5124.8999999999996</v>
      </c>
      <c r="L695">
        <v>29041.1</v>
      </c>
      <c r="M695">
        <v>17431.5</v>
      </c>
      <c r="N695">
        <v>11609.6</v>
      </c>
      <c r="O695" t="s">
        <v>55</v>
      </c>
      <c r="P695">
        <v>1523.55</v>
      </c>
      <c r="Q695" t="s">
        <v>30</v>
      </c>
      <c r="R695" t="s">
        <v>41</v>
      </c>
      <c r="S695">
        <v>2</v>
      </c>
      <c r="T695">
        <v>5</v>
      </c>
      <c r="U695" t="s">
        <v>32</v>
      </c>
      <c r="V695" t="s">
        <v>42</v>
      </c>
    </row>
    <row r="696" spans="1:23" x14ac:dyDescent="0.25">
      <c r="A696" t="s">
        <v>1187</v>
      </c>
      <c r="B696" s="1">
        <v>45672</v>
      </c>
      <c r="C696" t="s">
        <v>1188</v>
      </c>
      <c r="D696" t="s">
        <v>71</v>
      </c>
      <c r="E696" t="s">
        <v>46</v>
      </c>
      <c r="F696" t="s">
        <v>86</v>
      </c>
      <c r="G696" t="s">
        <v>94</v>
      </c>
      <c r="H696">
        <v>3</v>
      </c>
      <c r="I696">
        <v>76827</v>
      </c>
      <c r="J696">
        <v>0</v>
      </c>
      <c r="K696">
        <v>0</v>
      </c>
      <c r="L696">
        <v>230481</v>
      </c>
      <c r="M696">
        <v>146781.57</v>
      </c>
      <c r="N696">
        <v>83699.429999999993</v>
      </c>
      <c r="O696" t="s">
        <v>39</v>
      </c>
      <c r="P696">
        <v>1531.6</v>
      </c>
      <c r="Q696" t="s">
        <v>83</v>
      </c>
      <c r="R696" t="s">
        <v>31</v>
      </c>
      <c r="S696">
        <v>5</v>
      </c>
      <c r="T696">
        <v>6</v>
      </c>
      <c r="U696" t="s">
        <v>32</v>
      </c>
      <c r="V696" t="s">
        <v>50</v>
      </c>
      <c r="W696">
        <v>5</v>
      </c>
    </row>
    <row r="697" spans="1:23" x14ac:dyDescent="0.25">
      <c r="A697" t="s">
        <v>1189</v>
      </c>
      <c r="B697" s="1">
        <v>45857</v>
      </c>
      <c r="C697" t="s">
        <v>179</v>
      </c>
      <c r="D697" t="s">
        <v>25</v>
      </c>
      <c r="E697" t="s">
        <v>36</v>
      </c>
      <c r="F697" t="s">
        <v>37</v>
      </c>
      <c r="G697" t="s">
        <v>100</v>
      </c>
      <c r="H697">
        <v>2</v>
      </c>
      <c r="I697">
        <v>34493</v>
      </c>
      <c r="J697">
        <v>10</v>
      </c>
      <c r="K697">
        <v>6898.6</v>
      </c>
      <c r="L697">
        <v>62087.4</v>
      </c>
      <c r="M697">
        <v>43774.720000000001</v>
      </c>
      <c r="N697">
        <v>18312.68</v>
      </c>
      <c r="O697" t="s">
        <v>55</v>
      </c>
      <c r="P697">
        <v>1207.0999999999999</v>
      </c>
      <c r="Q697" t="s">
        <v>40</v>
      </c>
      <c r="R697" t="s">
        <v>41</v>
      </c>
      <c r="S697">
        <v>2</v>
      </c>
      <c r="T697">
        <v>1</v>
      </c>
      <c r="U697" t="s">
        <v>32</v>
      </c>
      <c r="V697" t="s">
        <v>33</v>
      </c>
      <c r="W697">
        <v>5</v>
      </c>
    </row>
    <row r="698" spans="1:23" x14ac:dyDescent="0.25">
      <c r="A698" t="s">
        <v>1190</v>
      </c>
      <c r="B698" s="1">
        <v>45830</v>
      </c>
      <c r="C698" t="s">
        <v>597</v>
      </c>
      <c r="D698" t="s">
        <v>90</v>
      </c>
      <c r="E698" t="s">
        <v>46</v>
      </c>
      <c r="F698" t="s">
        <v>27</v>
      </c>
      <c r="G698" t="s">
        <v>164</v>
      </c>
      <c r="H698">
        <v>2</v>
      </c>
      <c r="I698">
        <v>5589</v>
      </c>
      <c r="J698">
        <v>0</v>
      </c>
      <c r="K698">
        <v>0</v>
      </c>
      <c r="L698">
        <v>11178</v>
      </c>
      <c r="M698">
        <v>9029.35</v>
      </c>
      <c r="N698">
        <v>2148.65</v>
      </c>
      <c r="O698" t="s">
        <v>29</v>
      </c>
      <c r="P698">
        <v>263.43</v>
      </c>
      <c r="Q698" t="s">
        <v>40</v>
      </c>
      <c r="R698" t="s">
        <v>41</v>
      </c>
      <c r="S698">
        <v>2</v>
      </c>
      <c r="T698">
        <v>2</v>
      </c>
      <c r="U698" t="s">
        <v>32</v>
      </c>
      <c r="V698" t="s">
        <v>33</v>
      </c>
      <c r="W698">
        <v>5</v>
      </c>
    </row>
    <row r="699" spans="1:23" x14ac:dyDescent="0.25">
      <c r="A699" t="s">
        <v>1191</v>
      </c>
      <c r="B699" s="1">
        <v>46000</v>
      </c>
      <c r="C699" t="s">
        <v>1192</v>
      </c>
      <c r="D699" t="s">
        <v>71</v>
      </c>
      <c r="E699" t="s">
        <v>26</v>
      </c>
      <c r="F699" t="s">
        <v>27</v>
      </c>
      <c r="G699" t="s">
        <v>113</v>
      </c>
      <c r="H699">
        <v>1</v>
      </c>
      <c r="I699">
        <v>14330</v>
      </c>
      <c r="J699">
        <v>25</v>
      </c>
      <c r="K699">
        <v>3582.5</v>
      </c>
      <c r="L699">
        <v>10747.5</v>
      </c>
      <c r="M699">
        <v>8657.0300000000007</v>
      </c>
      <c r="N699">
        <v>2090.4699999999998</v>
      </c>
      <c r="O699" t="s">
        <v>91</v>
      </c>
      <c r="P699">
        <v>215.58</v>
      </c>
      <c r="Q699" t="s">
        <v>40</v>
      </c>
      <c r="R699" t="s">
        <v>41</v>
      </c>
      <c r="S699">
        <v>2</v>
      </c>
      <c r="T699">
        <v>1</v>
      </c>
      <c r="U699" t="s">
        <v>32</v>
      </c>
      <c r="V699" t="s">
        <v>33</v>
      </c>
      <c r="W699">
        <v>5</v>
      </c>
    </row>
    <row r="700" spans="1:23" x14ac:dyDescent="0.25">
      <c r="A700" t="s">
        <v>1193</v>
      </c>
      <c r="B700" s="1">
        <v>46005</v>
      </c>
      <c r="C700" t="s">
        <v>629</v>
      </c>
      <c r="D700" t="s">
        <v>79</v>
      </c>
      <c r="E700" t="s">
        <v>46</v>
      </c>
      <c r="F700" t="s">
        <v>53</v>
      </c>
      <c r="G700" t="s">
        <v>59</v>
      </c>
      <c r="H700">
        <v>1</v>
      </c>
      <c r="I700">
        <v>30129</v>
      </c>
      <c r="J700">
        <v>0</v>
      </c>
      <c r="K700">
        <v>0</v>
      </c>
      <c r="L700">
        <v>30129</v>
      </c>
      <c r="M700">
        <v>16810.830000000002</v>
      </c>
      <c r="N700">
        <v>13318.17</v>
      </c>
      <c r="O700" t="s">
        <v>29</v>
      </c>
      <c r="P700">
        <v>404.94</v>
      </c>
      <c r="Q700" t="s">
        <v>30</v>
      </c>
      <c r="R700" t="s">
        <v>31</v>
      </c>
      <c r="S700">
        <v>5</v>
      </c>
      <c r="T700">
        <v>6</v>
      </c>
      <c r="U700" t="s">
        <v>56</v>
      </c>
      <c r="V700" t="s">
        <v>33</v>
      </c>
      <c r="W700">
        <v>3</v>
      </c>
    </row>
    <row r="701" spans="1:23" x14ac:dyDescent="0.25">
      <c r="A701" t="s">
        <v>1194</v>
      </c>
      <c r="B701" s="1">
        <v>45865</v>
      </c>
      <c r="C701" t="s">
        <v>1195</v>
      </c>
      <c r="D701" t="s">
        <v>71</v>
      </c>
      <c r="E701" t="s">
        <v>26</v>
      </c>
      <c r="F701" t="s">
        <v>37</v>
      </c>
      <c r="G701" t="s">
        <v>100</v>
      </c>
      <c r="H701">
        <v>2</v>
      </c>
      <c r="I701">
        <v>15626</v>
      </c>
      <c r="J701">
        <v>15</v>
      </c>
      <c r="K701">
        <v>4687.8</v>
      </c>
      <c r="L701">
        <v>26564.2</v>
      </c>
      <c r="M701">
        <v>20915.25</v>
      </c>
      <c r="N701">
        <v>5648.95</v>
      </c>
      <c r="O701" t="s">
        <v>49</v>
      </c>
      <c r="P701">
        <v>167.23</v>
      </c>
      <c r="Q701" t="s">
        <v>68</v>
      </c>
      <c r="R701" t="s">
        <v>31</v>
      </c>
      <c r="S701">
        <v>5</v>
      </c>
      <c r="T701">
        <v>4</v>
      </c>
      <c r="U701" t="s">
        <v>32</v>
      </c>
      <c r="V701" t="s">
        <v>33</v>
      </c>
      <c r="W701">
        <v>2</v>
      </c>
    </row>
    <row r="702" spans="1:23" x14ac:dyDescent="0.25">
      <c r="A702" t="s">
        <v>1196</v>
      </c>
      <c r="B702" s="1">
        <v>45742</v>
      </c>
      <c r="C702" t="s">
        <v>44</v>
      </c>
      <c r="D702" t="s">
        <v>25</v>
      </c>
      <c r="E702" t="s">
        <v>26</v>
      </c>
      <c r="F702" t="s">
        <v>47</v>
      </c>
      <c r="G702" t="s">
        <v>48</v>
      </c>
      <c r="H702">
        <v>1</v>
      </c>
      <c r="I702">
        <v>46725</v>
      </c>
      <c r="J702">
        <v>10</v>
      </c>
      <c r="K702">
        <v>4672.5</v>
      </c>
      <c r="L702">
        <v>42052.5</v>
      </c>
      <c r="M702">
        <v>24213.09</v>
      </c>
      <c r="N702">
        <v>17839.41</v>
      </c>
      <c r="O702" t="s">
        <v>60</v>
      </c>
      <c r="P702">
        <v>951.78</v>
      </c>
      <c r="Q702" t="s">
        <v>73</v>
      </c>
      <c r="R702" t="s">
        <v>31</v>
      </c>
      <c r="S702">
        <v>5</v>
      </c>
      <c r="T702">
        <v>3</v>
      </c>
      <c r="U702" t="s">
        <v>32</v>
      </c>
      <c r="V702" t="s">
        <v>33</v>
      </c>
      <c r="W702">
        <v>1</v>
      </c>
    </row>
    <row r="703" spans="1:23" x14ac:dyDescent="0.25">
      <c r="A703" t="s">
        <v>1197</v>
      </c>
      <c r="B703" s="1">
        <v>45897</v>
      </c>
      <c r="C703" t="s">
        <v>1198</v>
      </c>
      <c r="D703" t="s">
        <v>25</v>
      </c>
      <c r="E703" t="s">
        <v>36</v>
      </c>
      <c r="F703" t="s">
        <v>53</v>
      </c>
      <c r="G703" t="s">
        <v>82</v>
      </c>
      <c r="H703">
        <v>1</v>
      </c>
      <c r="I703">
        <v>90378</v>
      </c>
      <c r="J703">
        <v>10</v>
      </c>
      <c r="K703">
        <v>9037.7999999999993</v>
      </c>
      <c r="L703">
        <v>81340.2</v>
      </c>
      <c r="M703">
        <v>46866.66</v>
      </c>
      <c r="N703">
        <v>34473.54</v>
      </c>
      <c r="O703" t="s">
        <v>55</v>
      </c>
      <c r="P703">
        <v>1520.17</v>
      </c>
      <c r="Q703" t="s">
        <v>30</v>
      </c>
      <c r="R703" t="s">
        <v>31</v>
      </c>
      <c r="S703">
        <v>5</v>
      </c>
      <c r="T703">
        <v>4</v>
      </c>
      <c r="U703" t="s">
        <v>32</v>
      </c>
      <c r="V703" t="s">
        <v>50</v>
      </c>
      <c r="W703">
        <v>3</v>
      </c>
    </row>
    <row r="704" spans="1:23" x14ac:dyDescent="0.25">
      <c r="A704" t="s">
        <v>1199</v>
      </c>
      <c r="B704" s="1">
        <v>45723</v>
      </c>
      <c r="C704" t="s">
        <v>356</v>
      </c>
      <c r="D704" t="s">
        <v>67</v>
      </c>
      <c r="E704" t="s">
        <v>26</v>
      </c>
      <c r="F704" t="s">
        <v>47</v>
      </c>
      <c r="G704" t="s">
        <v>64</v>
      </c>
      <c r="H704">
        <v>3</v>
      </c>
      <c r="I704">
        <v>14882</v>
      </c>
      <c r="J704">
        <v>10</v>
      </c>
      <c r="K704">
        <v>4464.6000000000004</v>
      </c>
      <c r="L704">
        <v>40181.4</v>
      </c>
      <c r="M704">
        <v>29509.97</v>
      </c>
      <c r="N704">
        <v>10671.43</v>
      </c>
      <c r="O704" t="s">
        <v>55</v>
      </c>
      <c r="P704">
        <v>1344.6</v>
      </c>
      <c r="Q704" t="s">
        <v>40</v>
      </c>
      <c r="R704" t="s">
        <v>31</v>
      </c>
      <c r="S704">
        <v>5</v>
      </c>
      <c r="T704">
        <v>0</v>
      </c>
      <c r="U704" t="s">
        <v>32</v>
      </c>
      <c r="V704" t="s">
        <v>42</v>
      </c>
    </row>
    <row r="705" spans="1:23" x14ac:dyDescent="0.25">
      <c r="A705" t="s">
        <v>1200</v>
      </c>
      <c r="B705" s="1">
        <v>45976</v>
      </c>
      <c r="C705" t="s">
        <v>117</v>
      </c>
      <c r="D705" t="s">
        <v>67</v>
      </c>
      <c r="E705" t="s">
        <v>26</v>
      </c>
      <c r="F705" t="s">
        <v>47</v>
      </c>
      <c r="G705" t="s">
        <v>64</v>
      </c>
      <c r="H705">
        <v>1</v>
      </c>
      <c r="I705">
        <v>14627</v>
      </c>
      <c r="J705">
        <v>5</v>
      </c>
      <c r="K705">
        <v>731.35</v>
      </c>
      <c r="L705">
        <v>13895.65</v>
      </c>
      <c r="M705">
        <v>9014.6299999999992</v>
      </c>
      <c r="N705">
        <v>4881.0200000000004</v>
      </c>
      <c r="O705" t="s">
        <v>49</v>
      </c>
      <c r="P705">
        <v>407.32</v>
      </c>
      <c r="Q705" t="s">
        <v>83</v>
      </c>
      <c r="R705" t="s">
        <v>41</v>
      </c>
      <c r="S705">
        <v>2</v>
      </c>
      <c r="T705">
        <v>1</v>
      </c>
      <c r="U705" t="s">
        <v>32</v>
      </c>
      <c r="V705" t="s">
        <v>33</v>
      </c>
      <c r="W705">
        <v>2</v>
      </c>
    </row>
    <row r="706" spans="1:23" x14ac:dyDescent="0.25">
      <c r="A706" t="s">
        <v>1201</v>
      </c>
      <c r="B706" s="1">
        <v>45931</v>
      </c>
      <c r="C706" t="s">
        <v>1202</v>
      </c>
      <c r="D706" t="s">
        <v>45</v>
      </c>
      <c r="E706" t="s">
        <v>36</v>
      </c>
      <c r="F706" t="s">
        <v>86</v>
      </c>
      <c r="G706" t="s">
        <v>180</v>
      </c>
      <c r="H706">
        <v>1</v>
      </c>
      <c r="I706">
        <v>75119</v>
      </c>
      <c r="J706">
        <v>25</v>
      </c>
      <c r="K706">
        <v>18779.75</v>
      </c>
      <c r="L706">
        <v>56339.25</v>
      </c>
      <c r="M706">
        <v>36982.769999999997</v>
      </c>
      <c r="N706">
        <v>19356.48</v>
      </c>
      <c r="O706" t="s">
        <v>55</v>
      </c>
      <c r="P706">
        <v>936.73</v>
      </c>
      <c r="Q706" t="s">
        <v>30</v>
      </c>
      <c r="R706" t="s">
        <v>31</v>
      </c>
      <c r="S706">
        <v>5</v>
      </c>
      <c r="T706">
        <v>2</v>
      </c>
      <c r="U706" t="s">
        <v>32</v>
      </c>
      <c r="V706" t="s">
        <v>42</v>
      </c>
    </row>
    <row r="707" spans="1:23" x14ac:dyDescent="0.25">
      <c r="A707" t="s">
        <v>1203</v>
      </c>
      <c r="B707" s="1">
        <v>45671</v>
      </c>
      <c r="C707" t="s">
        <v>282</v>
      </c>
      <c r="D707" t="s">
        <v>71</v>
      </c>
      <c r="E707" t="s">
        <v>46</v>
      </c>
      <c r="F707" t="s">
        <v>47</v>
      </c>
      <c r="G707" t="s">
        <v>48</v>
      </c>
      <c r="H707">
        <v>1</v>
      </c>
      <c r="I707">
        <v>13836</v>
      </c>
      <c r="J707">
        <v>15</v>
      </c>
      <c r="K707">
        <v>2075.4</v>
      </c>
      <c r="L707">
        <v>11760.6</v>
      </c>
      <c r="M707">
        <v>7439.67</v>
      </c>
      <c r="N707">
        <v>4320.93</v>
      </c>
      <c r="O707" t="s">
        <v>60</v>
      </c>
      <c r="P707">
        <v>2111.89</v>
      </c>
      <c r="Q707" t="s">
        <v>68</v>
      </c>
      <c r="R707" t="s">
        <v>31</v>
      </c>
      <c r="S707">
        <v>5</v>
      </c>
      <c r="T707">
        <v>6</v>
      </c>
      <c r="U707" t="s">
        <v>56</v>
      </c>
      <c r="V707" t="s">
        <v>33</v>
      </c>
      <c r="W707">
        <v>5</v>
      </c>
    </row>
    <row r="708" spans="1:23" x14ac:dyDescent="0.25">
      <c r="A708" t="s">
        <v>1204</v>
      </c>
      <c r="B708" s="1">
        <v>45859</v>
      </c>
      <c r="C708" t="s">
        <v>370</v>
      </c>
      <c r="D708" t="s">
        <v>97</v>
      </c>
      <c r="E708" t="s">
        <v>26</v>
      </c>
      <c r="F708" t="s">
        <v>53</v>
      </c>
      <c r="G708" t="s">
        <v>59</v>
      </c>
      <c r="H708">
        <v>2</v>
      </c>
      <c r="I708">
        <v>79030</v>
      </c>
      <c r="J708">
        <v>5</v>
      </c>
      <c r="K708">
        <v>7903</v>
      </c>
      <c r="L708">
        <v>150157</v>
      </c>
      <c r="M708">
        <v>96847.77</v>
      </c>
      <c r="N708">
        <v>53309.23</v>
      </c>
      <c r="O708" t="s">
        <v>91</v>
      </c>
      <c r="P708">
        <v>2098.41</v>
      </c>
      <c r="Q708" t="s">
        <v>30</v>
      </c>
      <c r="R708" t="s">
        <v>31</v>
      </c>
      <c r="S708">
        <v>5</v>
      </c>
      <c r="T708">
        <v>6</v>
      </c>
      <c r="U708" t="s">
        <v>32</v>
      </c>
      <c r="V708" t="s">
        <v>42</v>
      </c>
    </row>
    <row r="709" spans="1:23" x14ac:dyDescent="0.25">
      <c r="A709" t="s">
        <v>1205</v>
      </c>
      <c r="B709" s="1">
        <v>45961</v>
      </c>
      <c r="C709" t="s">
        <v>1097</v>
      </c>
      <c r="D709" t="s">
        <v>97</v>
      </c>
      <c r="E709" t="s">
        <v>26</v>
      </c>
      <c r="F709" t="s">
        <v>37</v>
      </c>
      <c r="G709" t="s">
        <v>38</v>
      </c>
      <c r="H709">
        <v>1</v>
      </c>
      <c r="I709">
        <v>18520</v>
      </c>
      <c r="J709">
        <v>10</v>
      </c>
      <c r="K709">
        <v>1852</v>
      </c>
      <c r="L709">
        <v>16668</v>
      </c>
      <c r="M709">
        <v>9495.76</v>
      </c>
      <c r="N709">
        <v>7172.24</v>
      </c>
      <c r="O709" t="s">
        <v>39</v>
      </c>
      <c r="P709">
        <v>1513.63</v>
      </c>
      <c r="Q709" t="s">
        <v>40</v>
      </c>
      <c r="R709" t="s">
        <v>41</v>
      </c>
      <c r="S709">
        <v>2</v>
      </c>
      <c r="T709">
        <v>5</v>
      </c>
      <c r="U709" t="s">
        <v>56</v>
      </c>
      <c r="V709" t="s">
        <v>33</v>
      </c>
      <c r="W709">
        <v>2</v>
      </c>
    </row>
    <row r="710" spans="1:23" x14ac:dyDescent="0.25">
      <c r="A710" t="s">
        <v>1206</v>
      </c>
      <c r="B710" s="1">
        <v>45946</v>
      </c>
      <c r="C710" t="s">
        <v>760</v>
      </c>
      <c r="D710" t="s">
        <v>124</v>
      </c>
      <c r="E710" t="s">
        <v>46</v>
      </c>
      <c r="F710" t="s">
        <v>53</v>
      </c>
      <c r="G710" t="s">
        <v>151</v>
      </c>
      <c r="H710">
        <v>1</v>
      </c>
      <c r="I710">
        <v>40508</v>
      </c>
      <c r="J710">
        <v>5</v>
      </c>
      <c r="K710">
        <v>2025.4</v>
      </c>
      <c r="L710">
        <v>38482.6</v>
      </c>
      <c r="M710">
        <v>25028.38</v>
      </c>
      <c r="N710">
        <v>13454.22</v>
      </c>
      <c r="O710" t="s">
        <v>49</v>
      </c>
      <c r="P710">
        <v>113.75</v>
      </c>
      <c r="Q710" t="s">
        <v>68</v>
      </c>
      <c r="R710" t="s">
        <v>31</v>
      </c>
      <c r="S710">
        <v>5</v>
      </c>
      <c r="T710">
        <v>1</v>
      </c>
      <c r="U710" t="s">
        <v>32</v>
      </c>
      <c r="V710" t="s">
        <v>33</v>
      </c>
      <c r="W710">
        <v>2</v>
      </c>
    </row>
    <row r="711" spans="1:23" x14ac:dyDescent="0.25">
      <c r="A711" t="s">
        <v>1207</v>
      </c>
      <c r="B711" s="1">
        <v>45997</v>
      </c>
      <c r="C711" t="s">
        <v>706</v>
      </c>
      <c r="D711" t="s">
        <v>45</v>
      </c>
      <c r="E711" t="s">
        <v>36</v>
      </c>
      <c r="F711" t="s">
        <v>37</v>
      </c>
      <c r="G711" t="s">
        <v>313</v>
      </c>
      <c r="H711">
        <v>2</v>
      </c>
      <c r="I711">
        <v>4670</v>
      </c>
      <c r="J711">
        <v>15</v>
      </c>
      <c r="K711">
        <v>1401</v>
      </c>
      <c r="L711">
        <v>7939</v>
      </c>
      <c r="M711">
        <v>6131.76</v>
      </c>
      <c r="N711">
        <v>1807.24</v>
      </c>
      <c r="O711" t="s">
        <v>49</v>
      </c>
      <c r="P711">
        <v>455.48</v>
      </c>
      <c r="Q711" t="s">
        <v>30</v>
      </c>
      <c r="R711" t="s">
        <v>41</v>
      </c>
      <c r="S711">
        <v>2</v>
      </c>
      <c r="T711">
        <v>5</v>
      </c>
      <c r="U711" t="s">
        <v>56</v>
      </c>
      <c r="V711" t="s">
        <v>33</v>
      </c>
      <c r="W711">
        <v>5</v>
      </c>
    </row>
    <row r="712" spans="1:23" x14ac:dyDescent="0.25">
      <c r="A712" t="s">
        <v>1208</v>
      </c>
      <c r="B712" s="1">
        <v>45671</v>
      </c>
      <c r="C712" t="s">
        <v>1209</v>
      </c>
      <c r="D712" t="s">
        <v>71</v>
      </c>
      <c r="E712" t="s">
        <v>26</v>
      </c>
      <c r="F712" t="s">
        <v>86</v>
      </c>
      <c r="G712" t="s">
        <v>110</v>
      </c>
      <c r="H712">
        <v>1</v>
      </c>
      <c r="I712">
        <v>35225</v>
      </c>
      <c r="J712">
        <v>0</v>
      </c>
      <c r="K712">
        <v>0</v>
      </c>
      <c r="L712">
        <v>35225</v>
      </c>
      <c r="M712">
        <v>20885.23</v>
      </c>
      <c r="N712">
        <v>14339.77</v>
      </c>
      <c r="O712" t="s">
        <v>55</v>
      </c>
      <c r="P712">
        <v>1434.96</v>
      </c>
      <c r="Q712" t="s">
        <v>68</v>
      </c>
      <c r="R712" t="s">
        <v>31</v>
      </c>
      <c r="S712">
        <v>5</v>
      </c>
      <c r="T712">
        <v>5</v>
      </c>
      <c r="U712" t="s">
        <v>32</v>
      </c>
      <c r="V712" t="s">
        <v>33</v>
      </c>
      <c r="W712">
        <v>2</v>
      </c>
    </row>
    <row r="713" spans="1:23" x14ac:dyDescent="0.25">
      <c r="A713" t="s">
        <v>1210</v>
      </c>
      <c r="B713" s="1">
        <v>45700</v>
      </c>
      <c r="C713" t="s">
        <v>695</v>
      </c>
      <c r="D713" t="s">
        <v>97</v>
      </c>
      <c r="E713" t="s">
        <v>46</v>
      </c>
      <c r="F713" t="s">
        <v>86</v>
      </c>
      <c r="G713" t="s">
        <v>127</v>
      </c>
      <c r="H713">
        <v>2</v>
      </c>
      <c r="I713">
        <v>57761</v>
      </c>
      <c r="J713">
        <v>25</v>
      </c>
      <c r="K713">
        <v>28880.5</v>
      </c>
      <c r="L713">
        <v>86641.5</v>
      </c>
      <c r="M713">
        <v>67454.100000000006</v>
      </c>
      <c r="N713">
        <v>19187.400000000001</v>
      </c>
      <c r="O713" t="s">
        <v>39</v>
      </c>
      <c r="P713">
        <v>2489.7800000000002</v>
      </c>
      <c r="Q713" t="s">
        <v>30</v>
      </c>
      <c r="R713" t="s">
        <v>31</v>
      </c>
      <c r="S713">
        <v>5</v>
      </c>
      <c r="T713">
        <v>4</v>
      </c>
      <c r="U713" t="s">
        <v>32</v>
      </c>
      <c r="V713" t="s">
        <v>33</v>
      </c>
      <c r="W713">
        <v>5</v>
      </c>
    </row>
    <row r="714" spans="1:23" x14ac:dyDescent="0.25">
      <c r="A714" t="s">
        <v>1211</v>
      </c>
      <c r="B714" s="1">
        <v>45987</v>
      </c>
      <c r="C714" t="s">
        <v>1212</v>
      </c>
      <c r="D714" t="s">
        <v>124</v>
      </c>
      <c r="E714" t="s">
        <v>36</v>
      </c>
      <c r="F714" t="s">
        <v>27</v>
      </c>
      <c r="G714" t="s">
        <v>164</v>
      </c>
      <c r="H714">
        <v>1</v>
      </c>
      <c r="I714">
        <v>11421</v>
      </c>
      <c r="J714">
        <v>10</v>
      </c>
      <c r="K714">
        <v>1142.0999999999999</v>
      </c>
      <c r="L714">
        <v>10278.9</v>
      </c>
      <c r="M714">
        <v>6869.28</v>
      </c>
      <c r="N714">
        <v>3409.62</v>
      </c>
      <c r="O714" t="s">
        <v>55</v>
      </c>
      <c r="P714">
        <v>1968.99</v>
      </c>
      <c r="Q714" t="s">
        <v>40</v>
      </c>
      <c r="R714" t="s">
        <v>41</v>
      </c>
      <c r="S714">
        <v>2</v>
      </c>
      <c r="T714">
        <v>1</v>
      </c>
      <c r="U714" t="s">
        <v>32</v>
      </c>
      <c r="V714" t="s">
        <v>33</v>
      </c>
      <c r="W714">
        <v>5</v>
      </c>
    </row>
    <row r="715" spans="1:23" x14ac:dyDescent="0.25">
      <c r="A715" t="s">
        <v>1213</v>
      </c>
      <c r="B715" s="1">
        <v>45877</v>
      </c>
      <c r="C715" t="s">
        <v>854</v>
      </c>
      <c r="D715" t="s">
        <v>90</v>
      </c>
      <c r="E715" t="s">
        <v>46</v>
      </c>
      <c r="F715" t="s">
        <v>47</v>
      </c>
      <c r="G715" t="s">
        <v>146</v>
      </c>
      <c r="H715">
        <v>1</v>
      </c>
      <c r="I715">
        <v>18503</v>
      </c>
      <c r="J715">
        <v>0</v>
      </c>
      <c r="K715">
        <v>0</v>
      </c>
      <c r="L715">
        <v>18503</v>
      </c>
      <c r="M715">
        <v>12131.57</v>
      </c>
      <c r="N715">
        <v>6371.43</v>
      </c>
      <c r="O715" t="s">
        <v>29</v>
      </c>
      <c r="P715">
        <v>346.39</v>
      </c>
      <c r="Q715" t="s">
        <v>68</v>
      </c>
      <c r="R715" t="s">
        <v>41</v>
      </c>
      <c r="S715">
        <v>2</v>
      </c>
      <c r="T715">
        <v>2</v>
      </c>
      <c r="U715" t="s">
        <v>32</v>
      </c>
      <c r="V715" t="s">
        <v>33</v>
      </c>
      <c r="W715">
        <v>5</v>
      </c>
    </row>
    <row r="716" spans="1:23" x14ac:dyDescent="0.25">
      <c r="A716" t="s">
        <v>1214</v>
      </c>
      <c r="B716" s="1">
        <v>45727</v>
      </c>
      <c r="C716" t="s">
        <v>421</v>
      </c>
      <c r="D716" t="s">
        <v>90</v>
      </c>
      <c r="E716" t="s">
        <v>46</v>
      </c>
      <c r="F716" t="s">
        <v>47</v>
      </c>
      <c r="G716" t="s">
        <v>48</v>
      </c>
      <c r="H716">
        <v>1</v>
      </c>
      <c r="I716">
        <v>25861</v>
      </c>
      <c r="J716">
        <v>25</v>
      </c>
      <c r="K716">
        <v>6465.25</v>
      </c>
      <c r="L716">
        <v>19395.75</v>
      </c>
      <c r="M716">
        <v>15716.91</v>
      </c>
      <c r="N716">
        <v>3678.84</v>
      </c>
      <c r="O716" t="s">
        <v>60</v>
      </c>
      <c r="P716">
        <v>349.8</v>
      </c>
      <c r="Q716" t="s">
        <v>40</v>
      </c>
      <c r="R716" t="s">
        <v>31</v>
      </c>
      <c r="S716">
        <v>5</v>
      </c>
      <c r="T716">
        <v>4</v>
      </c>
      <c r="U716" t="s">
        <v>32</v>
      </c>
      <c r="V716" t="s">
        <v>33</v>
      </c>
      <c r="W716">
        <v>5</v>
      </c>
    </row>
    <row r="717" spans="1:23" x14ac:dyDescent="0.25">
      <c r="A717" t="s">
        <v>1215</v>
      </c>
      <c r="B717" s="1">
        <v>45894</v>
      </c>
      <c r="C717" t="s">
        <v>892</v>
      </c>
      <c r="D717" t="s">
        <v>25</v>
      </c>
      <c r="E717" t="s">
        <v>46</v>
      </c>
      <c r="F717" t="s">
        <v>37</v>
      </c>
      <c r="G717" t="s">
        <v>224</v>
      </c>
      <c r="H717">
        <v>3</v>
      </c>
      <c r="I717">
        <v>4224</v>
      </c>
      <c r="J717">
        <v>0</v>
      </c>
      <c r="K717">
        <v>0</v>
      </c>
      <c r="L717">
        <v>12672</v>
      </c>
      <c r="M717">
        <v>9753.65</v>
      </c>
      <c r="N717">
        <v>2918.35</v>
      </c>
      <c r="O717" t="s">
        <v>39</v>
      </c>
      <c r="P717">
        <v>716.39</v>
      </c>
      <c r="Q717" t="s">
        <v>83</v>
      </c>
      <c r="R717" t="s">
        <v>31</v>
      </c>
      <c r="S717">
        <v>5</v>
      </c>
      <c r="T717">
        <v>6</v>
      </c>
      <c r="U717" t="s">
        <v>32</v>
      </c>
      <c r="V717" t="s">
        <v>42</v>
      </c>
    </row>
    <row r="718" spans="1:23" x14ac:dyDescent="0.25">
      <c r="A718" t="s">
        <v>1216</v>
      </c>
      <c r="B718" s="1">
        <v>45751</v>
      </c>
      <c r="C718" t="s">
        <v>1217</v>
      </c>
      <c r="D718" t="s">
        <v>90</v>
      </c>
      <c r="E718" t="s">
        <v>36</v>
      </c>
      <c r="F718" t="s">
        <v>37</v>
      </c>
      <c r="G718" t="s">
        <v>38</v>
      </c>
      <c r="H718">
        <v>1</v>
      </c>
      <c r="I718">
        <v>29347</v>
      </c>
      <c r="J718">
        <v>20</v>
      </c>
      <c r="K718">
        <v>5869.4</v>
      </c>
      <c r="L718">
        <v>23477.599999999999</v>
      </c>
      <c r="M718">
        <v>18682.650000000001</v>
      </c>
      <c r="N718">
        <v>4794.95</v>
      </c>
      <c r="O718" t="s">
        <v>49</v>
      </c>
      <c r="P718">
        <v>162.52000000000001</v>
      </c>
      <c r="Q718" t="s">
        <v>30</v>
      </c>
      <c r="R718" t="s">
        <v>41</v>
      </c>
      <c r="S718">
        <v>2</v>
      </c>
      <c r="T718">
        <v>2</v>
      </c>
      <c r="U718" t="s">
        <v>32</v>
      </c>
      <c r="V718" t="s">
        <v>33</v>
      </c>
      <c r="W718">
        <v>5</v>
      </c>
    </row>
    <row r="719" spans="1:23" x14ac:dyDescent="0.25">
      <c r="A719" t="s">
        <v>1218</v>
      </c>
      <c r="B719" s="1">
        <v>45683</v>
      </c>
      <c r="C719" t="s">
        <v>595</v>
      </c>
      <c r="D719" t="s">
        <v>97</v>
      </c>
      <c r="E719" t="s">
        <v>46</v>
      </c>
      <c r="F719" t="s">
        <v>27</v>
      </c>
      <c r="G719" t="s">
        <v>76</v>
      </c>
      <c r="H719">
        <v>1</v>
      </c>
      <c r="I719">
        <v>11928</v>
      </c>
      <c r="J719">
        <v>10</v>
      </c>
      <c r="K719">
        <v>1192.8</v>
      </c>
      <c r="L719">
        <v>10735.2</v>
      </c>
      <c r="M719">
        <v>8049.27</v>
      </c>
      <c r="N719">
        <v>2685.93</v>
      </c>
      <c r="O719" t="s">
        <v>39</v>
      </c>
      <c r="P719">
        <v>297.88</v>
      </c>
      <c r="Q719" t="s">
        <v>30</v>
      </c>
      <c r="R719" t="s">
        <v>41</v>
      </c>
      <c r="S719">
        <v>2</v>
      </c>
      <c r="T719">
        <v>2</v>
      </c>
      <c r="U719" t="s">
        <v>32</v>
      </c>
      <c r="V719" t="s">
        <v>33</v>
      </c>
      <c r="W719">
        <v>2</v>
      </c>
    </row>
    <row r="720" spans="1:23" x14ac:dyDescent="0.25">
      <c r="A720" t="s">
        <v>1219</v>
      </c>
      <c r="B720" s="1">
        <v>45791</v>
      </c>
      <c r="C720" t="s">
        <v>1172</v>
      </c>
      <c r="D720" t="s">
        <v>154</v>
      </c>
      <c r="E720" t="s">
        <v>46</v>
      </c>
      <c r="F720" t="s">
        <v>37</v>
      </c>
      <c r="G720" t="s">
        <v>161</v>
      </c>
      <c r="H720">
        <v>3</v>
      </c>
      <c r="I720">
        <v>33642</v>
      </c>
      <c r="J720">
        <v>20</v>
      </c>
      <c r="K720">
        <v>20185.2</v>
      </c>
      <c r="L720">
        <v>80740.800000000003</v>
      </c>
      <c r="M720">
        <v>65169.21</v>
      </c>
      <c r="N720">
        <v>15571.59</v>
      </c>
      <c r="O720" t="s">
        <v>49</v>
      </c>
      <c r="P720">
        <v>196.7</v>
      </c>
      <c r="Q720" t="s">
        <v>30</v>
      </c>
      <c r="R720" t="s">
        <v>41</v>
      </c>
      <c r="S720">
        <v>2</v>
      </c>
      <c r="T720">
        <v>1</v>
      </c>
      <c r="U720" t="s">
        <v>32</v>
      </c>
      <c r="V720" t="s">
        <v>33</v>
      </c>
      <c r="W720">
        <v>3</v>
      </c>
    </row>
    <row r="721" spans="1:23" x14ac:dyDescent="0.25">
      <c r="A721" t="s">
        <v>1220</v>
      </c>
      <c r="B721" s="1">
        <v>45852</v>
      </c>
      <c r="C721" t="s">
        <v>163</v>
      </c>
      <c r="D721" t="s">
        <v>124</v>
      </c>
      <c r="E721" t="s">
        <v>26</v>
      </c>
      <c r="F721" t="s">
        <v>47</v>
      </c>
      <c r="G721" t="s">
        <v>64</v>
      </c>
      <c r="H721">
        <v>2</v>
      </c>
      <c r="I721">
        <v>50209</v>
      </c>
      <c r="J721">
        <v>15</v>
      </c>
      <c r="K721">
        <v>15062.7</v>
      </c>
      <c r="L721">
        <v>85355.3</v>
      </c>
      <c r="M721">
        <v>55583.41</v>
      </c>
      <c r="N721">
        <v>29771.89</v>
      </c>
      <c r="O721" t="s">
        <v>91</v>
      </c>
      <c r="P721">
        <v>525.05999999999995</v>
      </c>
      <c r="Q721" t="s">
        <v>83</v>
      </c>
      <c r="R721" t="s">
        <v>31</v>
      </c>
      <c r="S721">
        <v>5</v>
      </c>
      <c r="T721">
        <v>4</v>
      </c>
      <c r="U721" t="s">
        <v>32</v>
      </c>
      <c r="V721" t="s">
        <v>33</v>
      </c>
      <c r="W721">
        <v>4</v>
      </c>
    </row>
    <row r="722" spans="1:23" x14ac:dyDescent="0.25">
      <c r="A722" t="s">
        <v>1221</v>
      </c>
      <c r="B722" s="1">
        <v>45825</v>
      </c>
      <c r="C722" t="s">
        <v>219</v>
      </c>
      <c r="D722" t="s">
        <v>45</v>
      </c>
      <c r="E722" t="s">
        <v>46</v>
      </c>
      <c r="F722" t="s">
        <v>37</v>
      </c>
      <c r="G722" t="s">
        <v>100</v>
      </c>
      <c r="H722">
        <v>1</v>
      </c>
      <c r="I722">
        <v>32297</v>
      </c>
      <c r="J722">
        <v>0</v>
      </c>
      <c r="K722">
        <v>0</v>
      </c>
      <c r="L722">
        <v>32297</v>
      </c>
      <c r="M722">
        <v>25988.23</v>
      </c>
      <c r="N722">
        <v>6308.77</v>
      </c>
      <c r="O722" t="s">
        <v>60</v>
      </c>
      <c r="P722">
        <v>1505</v>
      </c>
      <c r="Q722" t="s">
        <v>68</v>
      </c>
      <c r="R722" t="s">
        <v>31</v>
      </c>
      <c r="S722">
        <v>5</v>
      </c>
      <c r="T722">
        <v>5</v>
      </c>
      <c r="U722" t="s">
        <v>32</v>
      </c>
      <c r="V722" t="s">
        <v>33</v>
      </c>
      <c r="W722">
        <v>4</v>
      </c>
    </row>
    <row r="723" spans="1:23" x14ac:dyDescent="0.25">
      <c r="A723" t="s">
        <v>1222</v>
      </c>
      <c r="B723" s="1">
        <v>45766</v>
      </c>
      <c r="C723" t="s">
        <v>1223</v>
      </c>
      <c r="D723" t="s">
        <v>71</v>
      </c>
      <c r="E723" t="s">
        <v>26</v>
      </c>
      <c r="F723" t="s">
        <v>86</v>
      </c>
      <c r="G723" t="s">
        <v>110</v>
      </c>
      <c r="H723">
        <v>1</v>
      </c>
      <c r="I723">
        <v>67417</v>
      </c>
      <c r="J723">
        <v>20</v>
      </c>
      <c r="K723">
        <v>13483.4</v>
      </c>
      <c r="L723">
        <v>53933.599999999999</v>
      </c>
      <c r="M723">
        <v>34268.22</v>
      </c>
      <c r="N723">
        <v>19665.38</v>
      </c>
      <c r="O723" t="s">
        <v>29</v>
      </c>
      <c r="P723">
        <v>423.25</v>
      </c>
      <c r="Q723" t="s">
        <v>83</v>
      </c>
      <c r="R723" t="s">
        <v>31</v>
      </c>
      <c r="S723">
        <v>5</v>
      </c>
      <c r="T723">
        <v>5</v>
      </c>
      <c r="U723" t="s">
        <v>32</v>
      </c>
      <c r="V723" t="s">
        <v>42</v>
      </c>
    </row>
    <row r="724" spans="1:23" x14ac:dyDescent="0.25">
      <c r="A724" t="s">
        <v>1224</v>
      </c>
      <c r="B724" s="1">
        <v>45890</v>
      </c>
      <c r="C724" t="s">
        <v>546</v>
      </c>
      <c r="D724" t="s">
        <v>90</v>
      </c>
      <c r="E724" t="s">
        <v>36</v>
      </c>
      <c r="F724" t="s">
        <v>53</v>
      </c>
      <c r="G724" t="s">
        <v>151</v>
      </c>
      <c r="H724">
        <v>1</v>
      </c>
      <c r="I724">
        <v>55752</v>
      </c>
      <c r="J724">
        <v>0</v>
      </c>
      <c r="K724">
        <v>0</v>
      </c>
      <c r="L724">
        <v>55752</v>
      </c>
      <c r="M724">
        <v>36126.949999999997</v>
      </c>
      <c r="N724">
        <v>19625.05</v>
      </c>
      <c r="O724" t="s">
        <v>39</v>
      </c>
      <c r="P724">
        <v>978.83</v>
      </c>
      <c r="Q724" t="s">
        <v>68</v>
      </c>
      <c r="R724" t="s">
        <v>41</v>
      </c>
      <c r="S724">
        <v>2</v>
      </c>
      <c r="T724">
        <v>1</v>
      </c>
      <c r="U724" t="s">
        <v>32</v>
      </c>
      <c r="V724" t="s">
        <v>33</v>
      </c>
      <c r="W724">
        <v>4</v>
      </c>
    </row>
    <row r="725" spans="1:23" x14ac:dyDescent="0.25">
      <c r="A725" t="s">
        <v>1225</v>
      </c>
      <c r="B725" s="1">
        <v>45825</v>
      </c>
      <c r="C725" t="s">
        <v>742</v>
      </c>
      <c r="D725" t="s">
        <v>97</v>
      </c>
      <c r="E725" t="s">
        <v>36</v>
      </c>
      <c r="F725" t="s">
        <v>86</v>
      </c>
      <c r="G725" t="s">
        <v>94</v>
      </c>
      <c r="H725">
        <v>1</v>
      </c>
      <c r="I725">
        <v>75770</v>
      </c>
      <c r="J725">
        <v>0</v>
      </c>
      <c r="K725">
        <v>0</v>
      </c>
      <c r="L725">
        <v>75770</v>
      </c>
      <c r="M725">
        <v>53163.97</v>
      </c>
      <c r="N725">
        <v>22606.03</v>
      </c>
      <c r="O725" t="s">
        <v>91</v>
      </c>
      <c r="P725">
        <v>1786.92</v>
      </c>
      <c r="Q725" t="s">
        <v>68</v>
      </c>
      <c r="R725" t="s">
        <v>41</v>
      </c>
      <c r="S725">
        <v>2</v>
      </c>
      <c r="T725">
        <v>5</v>
      </c>
      <c r="U725" t="s">
        <v>32</v>
      </c>
      <c r="V725" t="s">
        <v>50</v>
      </c>
      <c r="W725">
        <v>3</v>
      </c>
    </row>
    <row r="726" spans="1:23" x14ac:dyDescent="0.25">
      <c r="A726" t="s">
        <v>1226</v>
      </c>
      <c r="B726" s="1">
        <v>45830</v>
      </c>
      <c r="C726" t="s">
        <v>1227</v>
      </c>
      <c r="D726" t="s">
        <v>79</v>
      </c>
      <c r="E726" t="s">
        <v>46</v>
      </c>
      <c r="F726" t="s">
        <v>53</v>
      </c>
      <c r="G726" t="s">
        <v>268</v>
      </c>
      <c r="H726">
        <v>1</v>
      </c>
      <c r="I726">
        <v>58724</v>
      </c>
      <c r="J726">
        <v>10</v>
      </c>
      <c r="K726">
        <v>5872.4</v>
      </c>
      <c r="L726">
        <v>52851.6</v>
      </c>
      <c r="M726">
        <v>42352.86</v>
      </c>
      <c r="N726">
        <v>10498.74</v>
      </c>
      <c r="O726" t="s">
        <v>55</v>
      </c>
      <c r="P726">
        <v>2256.17</v>
      </c>
      <c r="Q726" t="s">
        <v>30</v>
      </c>
      <c r="R726" t="s">
        <v>31</v>
      </c>
      <c r="S726">
        <v>5</v>
      </c>
      <c r="T726">
        <v>3</v>
      </c>
      <c r="U726" t="s">
        <v>32</v>
      </c>
      <c r="V726" t="s">
        <v>42</v>
      </c>
    </row>
    <row r="727" spans="1:23" x14ac:dyDescent="0.25">
      <c r="A727" t="s">
        <v>1228</v>
      </c>
      <c r="B727" s="1">
        <v>45852</v>
      </c>
      <c r="C727" t="s">
        <v>580</v>
      </c>
      <c r="D727" t="s">
        <v>79</v>
      </c>
      <c r="E727" t="s">
        <v>46</v>
      </c>
      <c r="F727" t="s">
        <v>37</v>
      </c>
      <c r="G727" t="s">
        <v>313</v>
      </c>
      <c r="H727">
        <v>1</v>
      </c>
      <c r="I727">
        <v>11272</v>
      </c>
      <c r="J727">
        <v>5</v>
      </c>
      <c r="K727">
        <v>563.6</v>
      </c>
      <c r="L727">
        <v>10708.4</v>
      </c>
      <c r="M727">
        <v>8669.7900000000009</v>
      </c>
      <c r="N727">
        <v>2038.61</v>
      </c>
      <c r="O727" t="s">
        <v>39</v>
      </c>
      <c r="P727">
        <v>2023.4</v>
      </c>
      <c r="Q727" t="s">
        <v>83</v>
      </c>
      <c r="R727" t="s">
        <v>41</v>
      </c>
      <c r="S727">
        <v>2</v>
      </c>
      <c r="T727">
        <v>1</v>
      </c>
      <c r="U727" t="s">
        <v>32</v>
      </c>
      <c r="V727" t="s">
        <v>33</v>
      </c>
      <c r="W727">
        <v>5</v>
      </c>
    </row>
    <row r="728" spans="1:23" x14ac:dyDescent="0.25">
      <c r="A728" t="s">
        <v>1229</v>
      </c>
      <c r="B728" s="1">
        <v>45800</v>
      </c>
      <c r="C728" t="s">
        <v>1230</v>
      </c>
      <c r="D728" t="s">
        <v>90</v>
      </c>
      <c r="E728" t="s">
        <v>36</v>
      </c>
      <c r="F728" t="s">
        <v>86</v>
      </c>
      <c r="G728" t="s">
        <v>110</v>
      </c>
      <c r="H728">
        <v>1</v>
      </c>
      <c r="I728">
        <v>39123</v>
      </c>
      <c r="J728">
        <v>10</v>
      </c>
      <c r="K728">
        <v>3912.3</v>
      </c>
      <c r="L728">
        <v>35210.699999999997</v>
      </c>
      <c r="M728">
        <v>28702</v>
      </c>
      <c r="N728">
        <v>6508.7</v>
      </c>
      <c r="O728" t="s">
        <v>29</v>
      </c>
      <c r="P728">
        <v>2283.38</v>
      </c>
      <c r="Q728" t="s">
        <v>83</v>
      </c>
      <c r="R728" t="s">
        <v>41</v>
      </c>
      <c r="S728">
        <v>2</v>
      </c>
      <c r="T728">
        <v>2</v>
      </c>
      <c r="U728" t="s">
        <v>32</v>
      </c>
      <c r="V728" t="s">
        <v>33</v>
      </c>
      <c r="W728">
        <v>3</v>
      </c>
    </row>
    <row r="729" spans="1:23" x14ac:dyDescent="0.25">
      <c r="A729" t="s">
        <v>1231</v>
      </c>
      <c r="B729" s="1">
        <v>45873</v>
      </c>
      <c r="C729" t="s">
        <v>1188</v>
      </c>
      <c r="D729" t="s">
        <v>67</v>
      </c>
      <c r="E729" t="s">
        <v>46</v>
      </c>
      <c r="F729" t="s">
        <v>47</v>
      </c>
      <c r="G729" t="s">
        <v>48</v>
      </c>
      <c r="H729">
        <v>1</v>
      </c>
      <c r="I729">
        <v>50037</v>
      </c>
      <c r="J729">
        <v>10</v>
      </c>
      <c r="K729">
        <v>5003.7</v>
      </c>
      <c r="L729">
        <v>45033.3</v>
      </c>
      <c r="M729">
        <v>31471.25</v>
      </c>
      <c r="N729">
        <v>13562.05</v>
      </c>
      <c r="O729" t="s">
        <v>60</v>
      </c>
      <c r="P729">
        <v>1519.4</v>
      </c>
      <c r="Q729" t="s">
        <v>73</v>
      </c>
      <c r="R729" t="s">
        <v>31</v>
      </c>
      <c r="S729">
        <v>5</v>
      </c>
      <c r="T729">
        <v>5</v>
      </c>
      <c r="U729" t="s">
        <v>32</v>
      </c>
      <c r="V729" t="s">
        <v>33</v>
      </c>
      <c r="W729">
        <v>5</v>
      </c>
    </row>
    <row r="730" spans="1:23" x14ac:dyDescent="0.25">
      <c r="A730" t="s">
        <v>1232</v>
      </c>
      <c r="B730" s="1">
        <v>45787</v>
      </c>
      <c r="C730" t="s">
        <v>126</v>
      </c>
      <c r="D730" t="s">
        <v>71</v>
      </c>
      <c r="E730" t="s">
        <v>46</v>
      </c>
      <c r="F730" t="s">
        <v>27</v>
      </c>
      <c r="G730" t="s">
        <v>76</v>
      </c>
      <c r="H730">
        <v>2</v>
      </c>
      <c r="I730">
        <v>15519</v>
      </c>
      <c r="J730">
        <v>15</v>
      </c>
      <c r="K730">
        <v>4655.7</v>
      </c>
      <c r="L730">
        <v>26382.3</v>
      </c>
      <c r="M730">
        <v>17410.810000000001</v>
      </c>
      <c r="N730">
        <v>8971.49</v>
      </c>
      <c r="O730" t="s">
        <v>60</v>
      </c>
      <c r="P730">
        <v>1853.97</v>
      </c>
      <c r="Q730" t="s">
        <v>40</v>
      </c>
      <c r="R730" t="s">
        <v>31</v>
      </c>
      <c r="S730">
        <v>5</v>
      </c>
      <c r="T730">
        <v>3</v>
      </c>
      <c r="U730" t="s">
        <v>32</v>
      </c>
      <c r="V730" t="s">
        <v>33</v>
      </c>
      <c r="W730">
        <v>3</v>
      </c>
    </row>
    <row r="731" spans="1:23" x14ac:dyDescent="0.25">
      <c r="A731" t="s">
        <v>1233</v>
      </c>
      <c r="B731" s="1">
        <v>45699</v>
      </c>
      <c r="C731" t="s">
        <v>1234</v>
      </c>
      <c r="D731" t="s">
        <v>63</v>
      </c>
      <c r="E731" t="s">
        <v>36</v>
      </c>
      <c r="F731" t="s">
        <v>47</v>
      </c>
      <c r="G731" t="s">
        <v>105</v>
      </c>
      <c r="H731">
        <v>3</v>
      </c>
      <c r="I731">
        <v>50661</v>
      </c>
      <c r="J731">
        <v>0</v>
      </c>
      <c r="K731">
        <v>0</v>
      </c>
      <c r="L731">
        <v>151983</v>
      </c>
      <c r="M731">
        <v>116860.32</v>
      </c>
      <c r="N731">
        <v>35122.68</v>
      </c>
      <c r="O731" t="s">
        <v>55</v>
      </c>
      <c r="P731">
        <v>607.35</v>
      </c>
      <c r="Q731" t="s">
        <v>83</v>
      </c>
      <c r="R731" t="s">
        <v>31</v>
      </c>
      <c r="S731">
        <v>5</v>
      </c>
      <c r="T731">
        <v>3</v>
      </c>
      <c r="U731" t="s">
        <v>32</v>
      </c>
      <c r="V731" t="s">
        <v>33</v>
      </c>
      <c r="W731">
        <v>1</v>
      </c>
    </row>
    <row r="732" spans="1:23" x14ac:dyDescent="0.25">
      <c r="A732" t="s">
        <v>1235</v>
      </c>
      <c r="B732" s="1">
        <v>45898</v>
      </c>
      <c r="C732" t="s">
        <v>671</v>
      </c>
      <c r="D732" t="s">
        <v>79</v>
      </c>
      <c r="E732" t="s">
        <v>46</v>
      </c>
      <c r="F732" t="s">
        <v>47</v>
      </c>
      <c r="G732" t="s">
        <v>64</v>
      </c>
      <c r="H732">
        <v>1</v>
      </c>
      <c r="I732">
        <v>29356</v>
      </c>
      <c r="J732">
        <v>10</v>
      </c>
      <c r="K732">
        <v>2935.6</v>
      </c>
      <c r="L732">
        <v>26420.400000000001</v>
      </c>
      <c r="M732">
        <v>20139.099999999999</v>
      </c>
      <c r="N732">
        <v>6281.3</v>
      </c>
      <c r="O732" t="s">
        <v>55</v>
      </c>
      <c r="P732">
        <v>1819.54</v>
      </c>
      <c r="Q732" t="s">
        <v>68</v>
      </c>
      <c r="R732" t="s">
        <v>31</v>
      </c>
      <c r="S732">
        <v>5</v>
      </c>
      <c r="T732">
        <v>5</v>
      </c>
      <c r="U732" t="s">
        <v>32</v>
      </c>
      <c r="V732" t="s">
        <v>33</v>
      </c>
      <c r="W732">
        <v>1</v>
      </c>
    </row>
    <row r="733" spans="1:23" x14ac:dyDescent="0.25">
      <c r="A733" t="s">
        <v>1236</v>
      </c>
      <c r="B733" s="1">
        <v>45667</v>
      </c>
      <c r="C733" t="s">
        <v>1116</v>
      </c>
      <c r="D733" t="s">
        <v>79</v>
      </c>
      <c r="E733" t="s">
        <v>46</v>
      </c>
      <c r="F733" t="s">
        <v>53</v>
      </c>
      <c r="G733" t="s">
        <v>268</v>
      </c>
      <c r="H733">
        <v>2</v>
      </c>
      <c r="I733">
        <v>36553</v>
      </c>
      <c r="J733">
        <v>25</v>
      </c>
      <c r="K733">
        <v>18276.5</v>
      </c>
      <c r="L733">
        <v>54829.5</v>
      </c>
      <c r="M733">
        <v>33008.04</v>
      </c>
      <c r="N733">
        <v>21821.46</v>
      </c>
      <c r="O733" t="s">
        <v>55</v>
      </c>
      <c r="P733">
        <v>1824.43</v>
      </c>
      <c r="Q733" t="s">
        <v>30</v>
      </c>
      <c r="R733" t="s">
        <v>41</v>
      </c>
      <c r="S733">
        <v>2</v>
      </c>
      <c r="T733">
        <v>1</v>
      </c>
      <c r="U733" t="s">
        <v>32</v>
      </c>
      <c r="V733" t="s">
        <v>33</v>
      </c>
      <c r="W733">
        <v>5</v>
      </c>
    </row>
    <row r="734" spans="1:23" x14ac:dyDescent="0.25">
      <c r="A734" t="s">
        <v>1237</v>
      </c>
      <c r="B734" s="1">
        <v>45934</v>
      </c>
      <c r="C734" t="s">
        <v>1238</v>
      </c>
      <c r="D734" t="s">
        <v>67</v>
      </c>
      <c r="E734" t="s">
        <v>26</v>
      </c>
      <c r="F734" t="s">
        <v>86</v>
      </c>
      <c r="G734" t="s">
        <v>110</v>
      </c>
      <c r="H734">
        <v>1</v>
      </c>
      <c r="I734">
        <v>24860</v>
      </c>
      <c r="J734">
        <v>0</v>
      </c>
      <c r="K734">
        <v>0</v>
      </c>
      <c r="L734">
        <v>24860</v>
      </c>
      <c r="M734">
        <v>18390.79</v>
      </c>
      <c r="N734">
        <v>6469.21</v>
      </c>
      <c r="O734" t="s">
        <v>91</v>
      </c>
      <c r="P734">
        <v>2151.8200000000002</v>
      </c>
      <c r="Q734" t="s">
        <v>68</v>
      </c>
      <c r="R734" t="s">
        <v>31</v>
      </c>
      <c r="S734">
        <v>5</v>
      </c>
      <c r="T734">
        <v>5</v>
      </c>
      <c r="U734" t="s">
        <v>32</v>
      </c>
      <c r="V734" t="s">
        <v>33</v>
      </c>
      <c r="W734">
        <v>2</v>
      </c>
    </row>
    <row r="735" spans="1:23" x14ac:dyDescent="0.25">
      <c r="A735" t="s">
        <v>1239</v>
      </c>
      <c r="B735" s="1">
        <v>45684</v>
      </c>
      <c r="C735" t="s">
        <v>1186</v>
      </c>
      <c r="D735" t="s">
        <v>45</v>
      </c>
      <c r="E735" t="s">
        <v>26</v>
      </c>
      <c r="F735" t="s">
        <v>47</v>
      </c>
      <c r="G735" t="s">
        <v>105</v>
      </c>
      <c r="H735">
        <v>1</v>
      </c>
      <c r="I735">
        <v>23446</v>
      </c>
      <c r="J735">
        <v>25</v>
      </c>
      <c r="K735">
        <v>5861.5</v>
      </c>
      <c r="L735">
        <v>17584.5</v>
      </c>
      <c r="M735">
        <v>9704.6299999999992</v>
      </c>
      <c r="N735">
        <v>7879.87</v>
      </c>
      <c r="O735" t="s">
        <v>60</v>
      </c>
      <c r="P735">
        <v>570.91</v>
      </c>
      <c r="Q735" t="s">
        <v>83</v>
      </c>
      <c r="R735" t="s">
        <v>41</v>
      </c>
      <c r="S735">
        <v>2</v>
      </c>
      <c r="T735">
        <v>2</v>
      </c>
      <c r="U735" t="s">
        <v>32</v>
      </c>
      <c r="V735" t="s">
        <v>50</v>
      </c>
      <c r="W735">
        <v>5</v>
      </c>
    </row>
    <row r="736" spans="1:23" x14ac:dyDescent="0.25">
      <c r="A736" t="s">
        <v>1240</v>
      </c>
      <c r="B736" s="1">
        <v>45837</v>
      </c>
      <c r="C736" t="s">
        <v>390</v>
      </c>
      <c r="D736" t="s">
        <v>90</v>
      </c>
      <c r="E736" t="s">
        <v>26</v>
      </c>
      <c r="F736" t="s">
        <v>53</v>
      </c>
      <c r="G736" t="s">
        <v>54</v>
      </c>
      <c r="H736">
        <v>1</v>
      </c>
      <c r="I736">
        <v>97347</v>
      </c>
      <c r="J736">
        <v>10</v>
      </c>
      <c r="K736">
        <v>9734.7000000000007</v>
      </c>
      <c r="L736">
        <v>87612.3</v>
      </c>
      <c r="M736">
        <v>62099.37</v>
      </c>
      <c r="N736">
        <v>25512.93</v>
      </c>
      <c r="O736" t="s">
        <v>29</v>
      </c>
      <c r="P736">
        <v>803.61</v>
      </c>
      <c r="Q736" t="s">
        <v>73</v>
      </c>
      <c r="R736" t="s">
        <v>31</v>
      </c>
      <c r="S736">
        <v>5</v>
      </c>
      <c r="T736">
        <v>7</v>
      </c>
      <c r="U736" t="s">
        <v>56</v>
      </c>
      <c r="V736" t="s">
        <v>33</v>
      </c>
      <c r="W736">
        <v>5</v>
      </c>
    </row>
    <row r="737" spans="1:23" x14ac:dyDescent="0.25">
      <c r="A737" t="s">
        <v>1241</v>
      </c>
      <c r="B737" s="1">
        <v>45772</v>
      </c>
      <c r="C737" t="s">
        <v>1202</v>
      </c>
      <c r="D737" t="s">
        <v>25</v>
      </c>
      <c r="E737" t="s">
        <v>46</v>
      </c>
      <c r="F737" t="s">
        <v>27</v>
      </c>
      <c r="G737" t="s">
        <v>72</v>
      </c>
      <c r="H737">
        <v>1</v>
      </c>
      <c r="I737">
        <v>22742</v>
      </c>
      <c r="J737">
        <v>0</v>
      </c>
      <c r="K737">
        <v>0</v>
      </c>
      <c r="L737">
        <v>22742</v>
      </c>
      <c r="M737">
        <v>16750.240000000002</v>
      </c>
      <c r="N737">
        <v>5991.76</v>
      </c>
      <c r="O737" t="s">
        <v>60</v>
      </c>
      <c r="P737">
        <v>946.05</v>
      </c>
      <c r="Q737" t="s">
        <v>30</v>
      </c>
      <c r="R737" t="s">
        <v>41</v>
      </c>
      <c r="S737">
        <v>2</v>
      </c>
      <c r="T737">
        <v>2</v>
      </c>
      <c r="U737" t="s">
        <v>32</v>
      </c>
      <c r="V737" t="s">
        <v>33</v>
      </c>
      <c r="W737">
        <v>4</v>
      </c>
    </row>
    <row r="738" spans="1:23" x14ac:dyDescent="0.25">
      <c r="A738" t="s">
        <v>1242</v>
      </c>
      <c r="B738" s="1">
        <v>45990</v>
      </c>
      <c r="C738" t="s">
        <v>747</v>
      </c>
      <c r="D738" t="s">
        <v>154</v>
      </c>
      <c r="E738" t="s">
        <v>26</v>
      </c>
      <c r="F738" t="s">
        <v>27</v>
      </c>
      <c r="G738" t="s">
        <v>113</v>
      </c>
      <c r="H738">
        <v>1</v>
      </c>
      <c r="I738">
        <v>15999</v>
      </c>
      <c r="J738">
        <v>15</v>
      </c>
      <c r="K738">
        <v>2399.85</v>
      </c>
      <c r="L738">
        <v>13599.15</v>
      </c>
      <c r="M738">
        <v>8822.34</v>
      </c>
      <c r="N738">
        <v>4776.8100000000004</v>
      </c>
      <c r="O738" t="s">
        <v>91</v>
      </c>
      <c r="P738">
        <v>1563.76</v>
      </c>
      <c r="Q738" t="s">
        <v>68</v>
      </c>
      <c r="R738" t="s">
        <v>31</v>
      </c>
      <c r="S738">
        <v>5</v>
      </c>
      <c r="T738">
        <v>5</v>
      </c>
      <c r="U738" t="s">
        <v>32</v>
      </c>
      <c r="V738" t="s">
        <v>33</v>
      </c>
      <c r="W738">
        <v>2</v>
      </c>
    </row>
    <row r="739" spans="1:23" x14ac:dyDescent="0.25">
      <c r="A739" t="s">
        <v>1243</v>
      </c>
      <c r="B739" s="1">
        <v>45693</v>
      </c>
      <c r="C739" t="s">
        <v>195</v>
      </c>
      <c r="D739" t="s">
        <v>71</v>
      </c>
      <c r="E739" t="s">
        <v>46</v>
      </c>
      <c r="F739" t="s">
        <v>47</v>
      </c>
      <c r="G739" t="s">
        <v>138</v>
      </c>
      <c r="H739">
        <v>1</v>
      </c>
      <c r="I739">
        <v>39592</v>
      </c>
      <c r="J739">
        <v>25</v>
      </c>
      <c r="K739">
        <v>9898</v>
      </c>
      <c r="L739">
        <v>29694</v>
      </c>
      <c r="M739">
        <v>18557.88</v>
      </c>
      <c r="N739">
        <v>11136.12</v>
      </c>
      <c r="O739" t="s">
        <v>60</v>
      </c>
      <c r="P739">
        <v>1864.58</v>
      </c>
      <c r="Q739" t="s">
        <v>30</v>
      </c>
      <c r="R739" t="s">
        <v>41</v>
      </c>
      <c r="S739">
        <v>2</v>
      </c>
      <c r="T739">
        <v>3</v>
      </c>
      <c r="U739" t="s">
        <v>56</v>
      </c>
      <c r="V739" t="s">
        <v>33</v>
      </c>
      <c r="W739">
        <v>5</v>
      </c>
    </row>
    <row r="740" spans="1:23" x14ac:dyDescent="0.25">
      <c r="A740" t="s">
        <v>1244</v>
      </c>
      <c r="B740" s="1">
        <v>45991</v>
      </c>
      <c r="C740" t="s">
        <v>462</v>
      </c>
      <c r="D740" t="s">
        <v>90</v>
      </c>
      <c r="E740" t="s">
        <v>36</v>
      </c>
      <c r="F740" t="s">
        <v>27</v>
      </c>
      <c r="G740" t="s">
        <v>76</v>
      </c>
      <c r="H740">
        <v>1</v>
      </c>
      <c r="I740">
        <v>23416</v>
      </c>
      <c r="J740">
        <v>0</v>
      </c>
      <c r="K740">
        <v>0</v>
      </c>
      <c r="L740">
        <v>23416</v>
      </c>
      <c r="M740">
        <v>14365.51</v>
      </c>
      <c r="N740">
        <v>9050.49</v>
      </c>
      <c r="O740" t="s">
        <v>39</v>
      </c>
      <c r="P740">
        <v>1328.17</v>
      </c>
      <c r="Q740" t="s">
        <v>73</v>
      </c>
      <c r="R740" t="s">
        <v>31</v>
      </c>
      <c r="S740">
        <v>5</v>
      </c>
      <c r="T740">
        <v>8</v>
      </c>
      <c r="U740" t="s">
        <v>56</v>
      </c>
      <c r="V740" t="s">
        <v>33</v>
      </c>
      <c r="W740">
        <v>4</v>
      </c>
    </row>
    <row r="741" spans="1:23" x14ac:dyDescent="0.25">
      <c r="A741" t="s">
        <v>1245</v>
      </c>
      <c r="B741" s="1">
        <v>45678</v>
      </c>
      <c r="C741" t="s">
        <v>977</v>
      </c>
      <c r="D741" t="s">
        <v>45</v>
      </c>
      <c r="E741" t="s">
        <v>26</v>
      </c>
      <c r="F741" t="s">
        <v>47</v>
      </c>
      <c r="G741" t="s">
        <v>48</v>
      </c>
      <c r="H741">
        <v>2</v>
      </c>
      <c r="I741">
        <v>25474</v>
      </c>
      <c r="J741">
        <v>0</v>
      </c>
      <c r="K741">
        <v>0</v>
      </c>
      <c r="L741">
        <v>50948</v>
      </c>
      <c r="M741">
        <v>33105.160000000003</v>
      </c>
      <c r="N741">
        <v>17842.84</v>
      </c>
      <c r="O741" t="s">
        <v>60</v>
      </c>
      <c r="P741">
        <v>1228.28</v>
      </c>
      <c r="Q741" t="s">
        <v>30</v>
      </c>
      <c r="R741" t="s">
        <v>31</v>
      </c>
      <c r="S741">
        <v>5</v>
      </c>
      <c r="T741">
        <v>7</v>
      </c>
      <c r="U741" t="s">
        <v>56</v>
      </c>
      <c r="V741" t="s">
        <v>33</v>
      </c>
      <c r="W741">
        <v>1</v>
      </c>
    </row>
    <row r="742" spans="1:23" x14ac:dyDescent="0.25">
      <c r="A742" t="s">
        <v>1246</v>
      </c>
      <c r="B742" s="1">
        <v>45673</v>
      </c>
      <c r="C742" t="s">
        <v>797</v>
      </c>
      <c r="D742" t="s">
        <v>124</v>
      </c>
      <c r="E742" t="s">
        <v>26</v>
      </c>
      <c r="F742" t="s">
        <v>47</v>
      </c>
      <c r="G742" t="s">
        <v>146</v>
      </c>
      <c r="H742">
        <v>3</v>
      </c>
      <c r="I742">
        <v>25384</v>
      </c>
      <c r="J742">
        <v>5</v>
      </c>
      <c r="K742">
        <v>3807.6</v>
      </c>
      <c r="L742">
        <v>72344.399999999994</v>
      </c>
      <c r="M742">
        <v>57405.36</v>
      </c>
      <c r="N742">
        <v>14939.04</v>
      </c>
      <c r="O742" t="s">
        <v>39</v>
      </c>
      <c r="P742">
        <v>1563.52</v>
      </c>
      <c r="Q742" t="s">
        <v>68</v>
      </c>
      <c r="R742" t="s">
        <v>31</v>
      </c>
      <c r="S742">
        <v>5</v>
      </c>
      <c r="T742">
        <v>1</v>
      </c>
      <c r="U742" t="s">
        <v>32</v>
      </c>
      <c r="V742" t="s">
        <v>33</v>
      </c>
      <c r="W742">
        <v>5</v>
      </c>
    </row>
    <row r="743" spans="1:23" x14ac:dyDescent="0.25">
      <c r="A743" t="s">
        <v>1247</v>
      </c>
      <c r="B743" s="1">
        <v>45784</v>
      </c>
      <c r="C743" t="s">
        <v>1198</v>
      </c>
      <c r="D743" t="s">
        <v>67</v>
      </c>
      <c r="E743" t="s">
        <v>46</v>
      </c>
      <c r="F743" t="s">
        <v>47</v>
      </c>
      <c r="G743" t="s">
        <v>105</v>
      </c>
      <c r="H743">
        <v>3</v>
      </c>
      <c r="I743">
        <v>16722</v>
      </c>
      <c r="J743">
        <v>20</v>
      </c>
      <c r="K743">
        <v>10033.200000000001</v>
      </c>
      <c r="L743">
        <v>40132.800000000003</v>
      </c>
      <c r="M743">
        <v>27086.67</v>
      </c>
      <c r="N743">
        <v>13046.13</v>
      </c>
      <c r="O743" t="s">
        <v>55</v>
      </c>
      <c r="P743">
        <v>1096.03</v>
      </c>
      <c r="Q743" t="s">
        <v>68</v>
      </c>
      <c r="R743" t="s">
        <v>41</v>
      </c>
      <c r="S743">
        <v>2</v>
      </c>
      <c r="T743">
        <v>0</v>
      </c>
      <c r="U743" t="s">
        <v>32</v>
      </c>
      <c r="V743" t="s">
        <v>50</v>
      </c>
      <c r="W743">
        <v>4</v>
      </c>
    </row>
    <row r="744" spans="1:23" x14ac:dyDescent="0.25">
      <c r="A744" t="s">
        <v>1248</v>
      </c>
      <c r="B744" s="1">
        <v>45760</v>
      </c>
      <c r="C744" t="s">
        <v>1249</v>
      </c>
      <c r="D744" t="s">
        <v>90</v>
      </c>
      <c r="E744" t="s">
        <v>46</v>
      </c>
      <c r="F744" t="s">
        <v>86</v>
      </c>
      <c r="G744" t="s">
        <v>87</v>
      </c>
      <c r="H744">
        <v>2</v>
      </c>
      <c r="I744">
        <v>69249</v>
      </c>
      <c r="J744">
        <v>10</v>
      </c>
      <c r="K744">
        <v>13849.8</v>
      </c>
      <c r="L744">
        <v>124648.2</v>
      </c>
      <c r="M744">
        <v>100753.17</v>
      </c>
      <c r="N744">
        <v>23895.03</v>
      </c>
      <c r="O744" t="s">
        <v>60</v>
      </c>
      <c r="P744">
        <v>2231.39</v>
      </c>
      <c r="Q744" t="s">
        <v>68</v>
      </c>
      <c r="R744" t="s">
        <v>41</v>
      </c>
      <c r="S744">
        <v>2</v>
      </c>
      <c r="T744">
        <v>1</v>
      </c>
      <c r="U744" t="s">
        <v>32</v>
      </c>
      <c r="V744" t="s">
        <v>33</v>
      </c>
      <c r="W744">
        <v>5</v>
      </c>
    </row>
    <row r="745" spans="1:23" x14ac:dyDescent="0.25">
      <c r="A745" t="s">
        <v>1250</v>
      </c>
      <c r="B745" s="1">
        <v>45668</v>
      </c>
      <c r="C745" t="s">
        <v>737</v>
      </c>
      <c r="D745" t="s">
        <v>63</v>
      </c>
      <c r="E745" t="s">
        <v>46</v>
      </c>
      <c r="F745" t="s">
        <v>47</v>
      </c>
      <c r="G745" t="s">
        <v>64</v>
      </c>
      <c r="H745">
        <v>3</v>
      </c>
      <c r="I745">
        <v>40038</v>
      </c>
      <c r="J745">
        <v>15</v>
      </c>
      <c r="K745">
        <v>18017.099999999999</v>
      </c>
      <c r="L745">
        <v>102096.9</v>
      </c>
      <c r="M745">
        <v>75467.42</v>
      </c>
      <c r="N745">
        <v>26629.48</v>
      </c>
      <c r="O745" t="s">
        <v>49</v>
      </c>
      <c r="P745">
        <v>141.91</v>
      </c>
      <c r="Q745" t="s">
        <v>73</v>
      </c>
      <c r="R745" t="s">
        <v>41</v>
      </c>
      <c r="S745">
        <v>2</v>
      </c>
      <c r="T745">
        <v>2</v>
      </c>
      <c r="U745" t="s">
        <v>32</v>
      </c>
      <c r="V745" t="s">
        <v>33</v>
      </c>
      <c r="W745">
        <v>3</v>
      </c>
    </row>
    <row r="746" spans="1:23" x14ac:dyDescent="0.25">
      <c r="A746" t="s">
        <v>1251</v>
      </c>
      <c r="B746" s="1">
        <v>45976</v>
      </c>
      <c r="C746" t="s">
        <v>1252</v>
      </c>
      <c r="D746" t="s">
        <v>79</v>
      </c>
      <c r="E746" t="s">
        <v>26</v>
      </c>
      <c r="F746" t="s">
        <v>53</v>
      </c>
      <c r="G746" t="s">
        <v>151</v>
      </c>
      <c r="H746">
        <v>3</v>
      </c>
      <c r="I746">
        <v>28348</v>
      </c>
      <c r="J746">
        <v>20</v>
      </c>
      <c r="K746">
        <v>17008.8</v>
      </c>
      <c r="L746">
        <v>68035.199999999997</v>
      </c>
      <c r="M746">
        <v>51351.92</v>
      </c>
      <c r="N746">
        <v>16683.28</v>
      </c>
      <c r="O746" t="s">
        <v>39</v>
      </c>
      <c r="P746">
        <v>834.68</v>
      </c>
      <c r="Q746" t="s">
        <v>40</v>
      </c>
      <c r="R746" t="s">
        <v>41</v>
      </c>
      <c r="S746">
        <v>2</v>
      </c>
      <c r="T746">
        <v>3</v>
      </c>
      <c r="U746" t="s">
        <v>56</v>
      </c>
      <c r="V746" t="s">
        <v>33</v>
      </c>
      <c r="W746">
        <v>4</v>
      </c>
    </row>
    <row r="747" spans="1:23" x14ac:dyDescent="0.25">
      <c r="A747" t="s">
        <v>1253</v>
      </c>
      <c r="B747" s="1">
        <v>45736</v>
      </c>
      <c r="C747" t="s">
        <v>1254</v>
      </c>
      <c r="D747" t="s">
        <v>45</v>
      </c>
      <c r="E747" t="s">
        <v>46</v>
      </c>
      <c r="F747" t="s">
        <v>27</v>
      </c>
      <c r="G747" t="s">
        <v>72</v>
      </c>
      <c r="H747">
        <v>1</v>
      </c>
      <c r="I747">
        <v>19133</v>
      </c>
      <c r="J747">
        <v>0</v>
      </c>
      <c r="K747">
        <v>0</v>
      </c>
      <c r="L747">
        <v>19133</v>
      </c>
      <c r="M747">
        <v>12151.8</v>
      </c>
      <c r="N747">
        <v>6981.2</v>
      </c>
      <c r="O747" t="s">
        <v>91</v>
      </c>
      <c r="P747">
        <v>1646.45</v>
      </c>
      <c r="Q747" t="s">
        <v>73</v>
      </c>
      <c r="R747" t="s">
        <v>41</v>
      </c>
      <c r="S747">
        <v>2</v>
      </c>
      <c r="T747">
        <v>4</v>
      </c>
      <c r="U747" t="s">
        <v>32</v>
      </c>
      <c r="V747" t="s">
        <v>50</v>
      </c>
      <c r="W747">
        <v>1</v>
      </c>
    </row>
    <row r="748" spans="1:23" x14ac:dyDescent="0.25">
      <c r="A748" t="s">
        <v>1255</v>
      </c>
      <c r="B748" s="1">
        <v>45780</v>
      </c>
      <c r="C748" t="s">
        <v>797</v>
      </c>
      <c r="D748" t="s">
        <v>45</v>
      </c>
      <c r="E748" t="s">
        <v>26</v>
      </c>
      <c r="F748" t="s">
        <v>27</v>
      </c>
      <c r="G748" t="s">
        <v>76</v>
      </c>
      <c r="H748">
        <v>1</v>
      </c>
      <c r="I748">
        <v>20267</v>
      </c>
      <c r="J748">
        <v>0</v>
      </c>
      <c r="K748">
        <v>0</v>
      </c>
      <c r="L748">
        <v>20267</v>
      </c>
      <c r="M748">
        <v>13864.71</v>
      </c>
      <c r="N748">
        <v>6402.29</v>
      </c>
      <c r="O748" t="s">
        <v>55</v>
      </c>
      <c r="P748">
        <v>435.18</v>
      </c>
      <c r="Q748" t="s">
        <v>68</v>
      </c>
      <c r="R748" t="s">
        <v>31</v>
      </c>
      <c r="S748">
        <v>5</v>
      </c>
      <c r="T748">
        <v>5</v>
      </c>
      <c r="U748" t="s">
        <v>32</v>
      </c>
      <c r="V748" t="s">
        <v>33</v>
      </c>
      <c r="W748">
        <v>2</v>
      </c>
    </row>
    <row r="749" spans="1:23" x14ac:dyDescent="0.25">
      <c r="A749" t="s">
        <v>1256</v>
      </c>
      <c r="B749" s="1">
        <v>45722</v>
      </c>
      <c r="C749" t="s">
        <v>1257</v>
      </c>
      <c r="D749" t="s">
        <v>25</v>
      </c>
      <c r="E749" t="s">
        <v>46</v>
      </c>
      <c r="F749" t="s">
        <v>47</v>
      </c>
      <c r="G749" t="s">
        <v>138</v>
      </c>
      <c r="H749">
        <v>1</v>
      </c>
      <c r="I749">
        <v>39273</v>
      </c>
      <c r="J749">
        <v>25</v>
      </c>
      <c r="K749">
        <v>9818.25</v>
      </c>
      <c r="L749">
        <v>29454.75</v>
      </c>
      <c r="M749">
        <v>19511.28</v>
      </c>
      <c r="N749">
        <v>9943.4699999999993</v>
      </c>
      <c r="O749" t="s">
        <v>39</v>
      </c>
      <c r="P749">
        <v>2092.5500000000002</v>
      </c>
      <c r="Q749" t="s">
        <v>68</v>
      </c>
      <c r="R749" t="s">
        <v>31</v>
      </c>
      <c r="S749">
        <v>5</v>
      </c>
      <c r="T749">
        <v>3</v>
      </c>
      <c r="U749" t="s">
        <v>32</v>
      </c>
      <c r="V749" t="s">
        <v>33</v>
      </c>
      <c r="W749">
        <v>5</v>
      </c>
    </row>
    <row r="750" spans="1:23" x14ac:dyDescent="0.25">
      <c r="A750" t="s">
        <v>1258</v>
      </c>
      <c r="B750" s="1">
        <v>45900</v>
      </c>
      <c r="C750" t="s">
        <v>643</v>
      </c>
      <c r="D750" t="s">
        <v>63</v>
      </c>
      <c r="E750" t="s">
        <v>46</v>
      </c>
      <c r="F750" t="s">
        <v>27</v>
      </c>
      <c r="G750" t="s">
        <v>76</v>
      </c>
      <c r="H750">
        <v>2</v>
      </c>
      <c r="I750">
        <v>24566</v>
      </c>
      <c r="J750">
        <v>20</v>
      </c>
      <c r="K750">
        <v>9826.4</v>
      </c>
      <c r="L750">
        <v>39305.599999999999</v>
      </c>
      <c r="M750">
        <v>22068</v>
      </c>
      <c r="N750">
        <v>17237.599999999999</v>
      </c>
      <c r="O750" t="s">
        <v>91</v>
      </c>
      <c r="P750">
        <v>2395.17</v>
      </c>
      <c r="Q750" t="s">
        <v>68</v>
      </c>
      <c r="R750" t="s">
        <v>31</v>
      </c>
      <c r="S750">
        <v>5</v>
      </c>
      <c r="T750">
        <v>3</v>
      </c>
      <c r="U750" t="s">
        <v>32</v>
      </c>
      <c r="V750" t="s">
        <v>33</v>
      </c>
      <c r="W750">
        <v>2</v>
      </c>
    </row>
    <row r="751" spans="1:23" x14ac:dyDescent="0.25">
      <c r="A751" t="s">
        <v>1259</v>
      </c>
      <c r="B751" s="1">
        <v>46000</v>
      </c>
      <c r="C751" t="s">
        <v>1260</v>
      </c>
      <c r="D751" t="s">
        <v>71</v>
      </c>
      <c r="E751" t="s">
        <v>26</v>
      </c>
      <c r="F751" t="s">
        <v>37</v>
      </c>
      <c r="G751" t="s">
        <v>313</v>
      </c>
      <c r="H751">
        <v>1</v>
      </c>
      <c r="I751">
        <v>31193</v>
      </c>
      <c r="J751">
        <v>25</v>
      </c>
      <c r="K751">
        <v>7798.25</v>
      </c>
      <c r="L751">
        <v>23394.75</v>
      </c>
      <c r="M751">
        <v>13296.4</v>
      </c>
      <c r="N751">
        <v>10098.35</v>
      </c>
      <c r="O751" t="s">
        <v>49</v>
      </c>
      <c r="P751">
        <v>153.28</v>
      </c>
      <c r="Q751" t="s">
        <v>30</v>
      </c>
      <c r="R751" t="s">
        <v>31</v>
      </c>
      <c r="S751">
        <v>5</v>
      </c>
      <c r="T751">
        <v>2</v>
      </c>
      <c r="U751" t="s">
        <v>32</v>
      </c>
      <c r="V751" t="s">
        <v>33</v>
      </c>
      <c r="W751">
        <v>2</v>
      </c>
    </row>
    <row r="752" spans="1:23" x14ac:dyDescent="0.25">
      <c r="A752" t="s">
        <v>1261</v>
      </c>
      <c r="B752" s="1">
        <v>45716</v>
      </c>
      <c r="C752" t="s">
        <v>673</v>
      </c>
      <c r="D752" t="s">
        <v>45</v>
      </c>
      <c r="E752" t="s">
        <v>26</v>
      </c>
      <c r="F752" t="s">
        <v>53</v>
      </c>
      <c r="G752" t="s">
        <v>59</v>
      </c>
      <c r="H752">
        <v>2</v>
      </c>
      <c r="I752">
        <v>61059</v>
      </c>
      <c r="J752">
        <v>10</v>
      </c>
      <c r="K752">
        <v>12211.8</v>
      </c>
      <c r="L752">
        <v>109906.2</v>
      </c>
      <c r="M752">
        <v>68331.39</v>
      </c>
      <c r="N752">
        <v>41574.81</v>
      </c>
      <c r="O752" t="s">
        <v>39</v>
      </c>
      <c r="P752">
        <v>2120.09</v>
      </c>
      <c r="Q752" t="s">
        <v>40</v>
      </c>
      <c r="R752" t="s">
        <v>41</v>
      </c>
      <c r="S752">
        <v>2</v>
      </c>
      <c r="T752">
        <v>1</v>
      </c>
      <c r="U752" t="s">
        <v>32</v>
      </c>
      <c r="V752" t="s">
        <v>33</v>
      </c>
      <c r="W752">
        <v>2</v>
      </c>
    </row>
    <row r="753" spans="1:23" x14ac:dyDescent="0.25">
      <c r="A753" t="s">
        <v>1262</v>
      </c>
      <c r="B753" s="1">
        <v>45946</v>
      </c>
      <c r="C753" t="s">
        <v>1263</v>
      </c>
      <c r="D753" t="s">
        <v>25</v>
      </c>
      <c r="E753" t="s">
        <v>46</v>
      </c>
      <c r="F753" t="s">
        <v>86</v>
      </c>
      <c r="G753" t="s">
        <v>94</v>
      </c>
      <c r="H753">
        <v>2</v>
      </c>
      <c r="I753">
        <v>64398</v>
      </c>
      <c r="J753">
        <v>15</v>
      </c>
      <c r="K753">
        <v>19319.400000000001</v>
      </c>
      <c r="L753">
        <v>109476.6</v>
      </c>
      <c r="M753">
        <v>66259.539999999994</v>
      </c>
      <c r="N753">
        <v>43217.06</v>
      </c>
      <c r="O753" t="s">
        <v>39</v>
      </c>
      <c r="P753">
        <v>2050.66</v>
      </c>
      <c r="Q753" t="s">
        <v>68</v>
      </c>
      <c r="R753" t="s">
        <v>31</v>
      </c>
      <c r="S753">
        <v>5</v>
      </c>
      <c r="T753">
        <v>2</v>
      </c>
      <c r="U753" t="s">
        <v>32</v>
      </c>
      <c r="V753" t="s">
        <v>33</v>
      </c>
      <c r="W753">
        <v>4</v>
      </c>
    </row>
    <row r="754" spans="1:23" x14ac:dyDescent="0.25">
      <c r="A754" t="s">
        <v>1264</v>
      </c>
      <c r="B754" s="1">
        <v>45769</v>
      </c>
      <c r="C754" t="s">
        <v>150</v>
      </c>
      <c r="D754" t="s">
        <v>124</v>
      </c>
      <c r="E754" t="s">
        <v>36</v>
      </c>
      <c r="F754" t="s">
        <v>47</v>
      </c>
      <c r="G754" t="s">
        <v>64</v>
      </c>
      <c r="H754">
        <v>1</v>
      </c>
      <c r="I754">
        <v>49456</v>
      </c>
      <c r="J754">
        <v>5</v>
      </c>
      <c r="K754">
        <v>2472.8000000000002</v>
      </c>
      <c r="L754">
        <v>46983.199999999997</v>
      </c>
      <c r="M754">
        <v>32324.29</v>
      </c>
      <c r="N754">
        <v>14658.91</v>
      </c>
      <c r="O754" t="s">
        <v>29</v>
      </c>
      <c r="P754">
        <v>2108.0500000000002</v>
      </c>
      <c r="Q754" t="s">
        <v>73</v>
      </c>
      <c r="R754" t="s">
        <v>31</v>
      </c>
      <c r="S754">
        <v>5</v>
      </c>
      <c r="T754">
        <v>3</v>
      </c>
      <c r="U754" t="s">
        <v>32</v>
      </c>
      <c r="V754" t="s">
        <v>33</v>
      </c>
      <c r="W754">
        <v>2</v>
      </c>
    </row>
    <row r="755" spans="1:23" x14ac:dyDescent="0.25">
      <c r="A755" t="s">
        <v>1265</v>
      </c>
      <c r="B755" s="1">
        <v>45896</v>
      </c>
      <c r="C755" t="s">
        <v>1266</v>
      </c>
      <c r="D755" t="s">
        <v>25</v>
      </c>
      <c r="E755" t="s">
        <v>36</v>
      </c>
      <c r="F755" t="s">
        <v>47</v>
      </c>
      <c r="G755" t="s">
        <v>105</v>
      </c>
      <c r="H755">
        <v>2</v>
      </c>
      <c r="I755">
        <v>39222</v>
      </c>
      <c r="J755">
        <v>5</v>
      </c>
      <c r="K755">
        <v>3922.2</v>
      </c>
      <c r="L755">
        <v>74521.8</v>
      </c>
      <c r="M755">
        <v>42549.86</v>
      </c>
      <c r="N755">
        <v>31971.94</v>
      </c>
      <c r="O755" t="s">
        <v>60</v>
      </c>
      <c r="P755">
        <v>271.76</v>
      </c>
      <c r="Q755" t="s">
        <v>83</v>
      </c>
      <c r="R755" t="s">
        <v>31</v>
      </c>
      <c r="S755">
        <v>5</v>
      </c>
      <c r="T755">
        <v>7</v>
      </c>
      <c r="U755" t="s">
        <v>56</v>
      </c>
      <c r="V755" t="s">
        <v>33</v>
      </c>
      <c r="W755">
        <v>5</v>
      </c>
    </row>
    <row r="756" spans="1:23" x14ac:dyDescent="0.25">
      <c r="A756" t="s">
        <v>1267</v>
      </c>
      <c r="B756" s="1">
        <v>46016</v>
      </c>
      <c r="C756" t="s">
        <v>360</v>
      </c>
      <c r="D756" t="s">
        <v>63</v>
      </c>
      <c r="E756" t="s">
        <v>46</v>
      </c>
      <c r="F756" t="s">
        <v>53</v>
      </c>
      <c r="G756" t="s">
        <v>59</v>
      </c>
      <c r="H756">
        <v>2</v>
      </c>
      <c r="I756">
        <v>29904</v>
      </c>
      <c r="J756">
        <v>5</v>
      </c>
      <c r="K756">
        <v>2990.4</v>
      </c>
      <c r="L756">
        <v>56817.599999999999</v>
      </c>
      <c r="M756">
        <v>46144.63</v>
      </c>
      <c r="N756">
        <v>10672.97</v>
      </c>
      <c r="O756" t="s">
        <v>60</v>
      </c>
      <c r="P756">
        <v>1160.22</v>
      </c>
      <c r="Q756" t="s">
        <v>83</v>
      </c>
      <c r="R756" t="s">
        <v>41</v>
      </c>
      <c r="S756">
        <v>2</v>
      </c>
      <c r="T756">
        <v>0</v>
      </c>
      <c r="U756" t="s">
        <v>32</v>
      </c>
      <c r="V756" t="s">
        <v>50</v>
      </c>
      <c r="W756">
        <v>3</v>
      </c>
    </row>
    <row r="757" spans="1:23" x14ac:dyDescent="0.25">
      <c r="A757" t="s">
        <v>1268</v>
      </c>
      <c r="B757" s="1">
        <v>45789</v>
      </c>
      <c r="C757" t="s">
        <v>629</v>
      </c>
      <c r="D757" t="s">
        <v>63</v>
      </c>
      <c r="E757" t="s">
        <v>46</v>
      </c>
      <c r="F757" t="s">
        <v>86</v>
      </c>
      <c r="G757" t="s">
        <v>180</v>
      </c>
      <c r="H757">
        <v>3</v>
      </c>
      <c r="I757">
        <v>21771</v>
      </c>
      <c r="J757">
        <v>20</v>
      </c>
      <c r="K757">
        <v>13062.6</v>
      </c>
      <c r="L757">
        <v>52250.400000000001</v>
      </c>
      <c r="M757">
        <v>31200.639999999999</v>
      </c>
      <c r="N757">
        <v>21049.759999999998</v>
      </c>
      <c r="O757" t="s">
        <v>91</v>
      </c>
      <c r="P757">
        <v>740.05</v>
      </c>
      <c r="Q757" t="s">
        <v>40</v>
      </c>
      <c r="R757" t="s">
        <v>31</v>
      </c>
      <c r="S757">
        <v>5</v>
      </c>
      <c r="T757">
        <v>10</v>
      </c>
      <c r="U757" t="s">
        <v>56</v>
      </c>
      <c r="V757" t="s">
        <v>33</v>
      </c>
      <c r="W757">
        <v>5</v>
      </c>
    </row>
    <row r="758" spans="1:23" x14ac:dyDescent="0.25">
      <c r="A758" t="s">
        <v>1269</v>
      </c>
      <c r="B758" s="1">
        <v>45846</v>
      </c>
      <c r="C758" t="s">
        <v>908</v>
      </c>
      <c r="D758" t="s">
        <v>90</v>
      </c>
      <c r="E758" t="s">
        <v>26</v>
      </c>
      <c r="F758" t="s">
        <v>37</v>
      </c>
      <c r="G758" t="s">
        <v>313</v>
      </c>
      <c r="H758">
        <v>1</v>
      </c>
      <c r="I758">
        <v>30053</v>
      </c>
      <c r="J758">
        <v>15</v>
      </c>
      <c r="K758">
        <v>4507.95</v>
      </c>
      <c r="L758">
        <v>25545.05</v>
      </c>
      <c r="M758">
        <v>14255.99</v>
      </c>
      <c r="N758">
        <v>11289.06</v>
      </c>
      <c r="O758" t="s">
        <v>49</v>
      </c>
      <c r="P758">
        <v>259.57</v>
      </c>
      <c r="Q758" t="s">
        <v>68</v>
      </c>
      <c r="R758" t="s">
        <v>41</v>
      </c>
      <c r="S758">
        <v>2</v>
      </c>
      <c r="T758">
        <v>2</v>
      </c>
      <c r="U758" t="s">
        <v>32</v>
      </c>
      <c r="V758" t="s">
        <v>33</v>
      </c>
      <c r="W758">
        <v>5</v>
      </c>
    </row>
    <row r="759" spans="1:23" x14ac:dyDescent="0.25">
      <c r="A759" t="s">
        <v>1270</v>
      </c>
      <c r="B759" s="1">
        <v>45743</v>
      </c>
      <c r="C759" t="s">
        <v>1271</v>
      </c>
      <c r="D759" t="s">
        <v>79</v>
      </c>
      <c r="E759" t="s">
        <v>26</v>
      </c>
      <c r="F759" t="s">
        <v>53</v>
      </c>
      <c r="G759" t="s">
        <v>82</v>
      </c>
      <c r="H759">
        <v>2</v>
      </c>
      <c r="I759">
        <v>35568</v>
      </c>
      <c r="J759">
        <v>5</v>
      </c>
      <c r="K759">
        <v>3556.8</v>
      </c>
      <c r="L759">
        <v>67579.199999999997</v>
      </c>
      <c r="M759">
        <v>41453.15</v>
      </c>
      <c r="N759">
        <v>26126.05</v>
      </c>
      <c r="O759" t="s">
        <v>39</v>
      </c>
      <c r="P759">
        <v>301.48</v>
      </c>
      <c r="Q759" t="s">
        <v>40</v>
      </c>
      <c r="R759" t="s">
        <v>31</v>
      </c>
      <c r="S759">
        <v>5</v>
      </c>
      <c r="T759">
        <v>5</v>
      </c>
      <c r="U759" t="s">
        <v>32</v>
      </c>
      <c r="V759" t="s">
        <v>33</v>
      </c>
      <c r="W759">
        <v>5</v>
      </c>
    </row>
    <row r="760" spans="1:23" x14ac:dyDescent="0.25">
      <c r="A760" t="s">
        <v>1272</v>
      </c>
      <c r="B760" s="1">
        <v>45968</v>
      </c>
      <c r="C760" t="s">
        <v>142</v>
      </c>
      <c r="D760" t="s">
        <v>124</v>
      </c>
      <c r="E760" t="s">
        <v>36</v>
      </c>
      <c r="F760" t="s">
        <v>27</v>
      </c>
      <c r="G760" t="s">
        <v>28</v>
      </c>
      <c r="H760">
        <v>1</v>
      </c>
      <c r="I760">
        <v>15535</v>
      </c>
      <c r="J760">
        <v>20</v>
      </c>
      <c r="K760">
        <v>3107</v>
      </c>
      <c r="L760">
        <v>12428</v>
      </c>
      <c r="M760">
        <v>8662.81</v>
      </c>
      <c r="N760">
        <v>3765.19</v>
      </c>
      <c r="O760" t="s">
        <v>49</v>
      </c>
      <c r="P760">
        <v>297.95999999999998</v>
      </c>
      <c r="Q760" t="s">
        <v>68</v>
      </c>
      <c r="R760" t="s">
        <v>41</v>
      </c>
      <c r="S760">
        <v>2</v>
      </c>
      <c r="T760">
        <v>1</v>
      </c>
      <c r="U760" t="s">
        <v>32</v>
      </c>
      <c r="V760" t="s">
        <v>33</v>
      </c>
      <c r="W760">
        <v>5</v>
      </c>
    </row>
    <row r="761" spans="1:23" x14ac:dyDescent="0.25">
      <c r="A761" t="s">
        <v>1273</v>
      </c>
      <c r="B761" s="1">
        <v>45968</v>
      </c>
      <c r="C761" t="s">
        <v>753</v>
      </c>
      <c r="D761" t="s">
        <v>154</v>
      </c>
      <c r="E761" t="s">
        <v>46</v>
      </c>
      <c r="F761" t="s">
        <v>86</v>
      </c>
      <c r="G761" t="s">
        <v>94</v>
      </c>
      <c r="H761">
        <v>1</v>
      </c>
      <c r="I761">
        <v>25350</v>
      </c>
      <c r="J761">
        <v>25</v>
      </c>
      <c r="K761">
        <v>6337.5</v>
      </c>
      <c r="L761">
        <v>19012.5</v>
      </c>
      <c r="M761">
        <v>12550.4</v>
      </c>
      <c r="N761">
        <v>6462.1</v>
      </c>
      <c r="O761" t="s">
        <v>29</v>
      </c>
      <c r="P761">
        <v>782.36</v>
      </c>
      <c r="Q761" t="s">
        <v>68</v>
      </c>
      <c r="R761" t="s">
        <v>31</v>
      </c>
      <c r="S761">
        <v>5</v>
      </c>
      <c r="T761">
        <v>6</v>
      </c>
      <c r="U761" t="s">
        <v>56</v>
      </c>
      <c r="V761" t="s">
        <v>33</v>
      </c>
      <c r="W761">
        <v>5</v>
      </c>
    </row>
    <row r="762" spans="1:23" x14ac:dyDescent="0.25">
      <c r="A762" t="s">
        <v>1274</v>
      </c>
      <c r="B762" s="1">
        <v>45716</v>
      </c>
      <c r="C762" t="s">
        <v>376</v>
      </c>
      <c r="D762" t="s">
        <v>67</v>
      </c>
      <c r="E762" t="s">
        <v>36</v>
      </c>
      <c r="F762" t="s">
        <v>86</v>
      </c>
      <c r="G762" t="s">
        <v>94</v>
      </c>
      <c r="H762">
        <v>1</v>
      </c>
      <c r="I762">
        <v>72368</v>
      </c>
      <c r="J762">
        <v>10</v>
      </c>
      <c r="K762">
        <v>7236.8</v>
      </c>
      <c r="L762">
        <v>65131.199999999997</v>
      </c>
      <c r="M762">
        <v>45322</v>
      </c>
      <c r="N762">
        <v>19809.2</v>
      </c>
      <c r="O762" t="s">
        <v>29</v>
      </c>
      <c r="P762">
        <v>1519.49</v>
      </c>
      <c r="Q762" t="s">
        <v>68</v>
      </c>
      <c r="R762" t="s">
        <v>31</v>
      </c>
      <c r="S762">
        <v>5</v>
      </c>
      <c r="T762">
        <v>6</v>
      </c>
      <c r="U762" t="s">
        <v>32</v>
      </c>
      <c r="V762" t="s">
        <v>50</v>
      </c>
      <c r="W762">
        <v>5</v>
      </c>
    </row>
    <row r="763" spans="1:23" x14ac:dyDescent="0.25">
      <c r="A763" t="s">
        <v>1275</v>
      </c>
      <c r="B763" s="1">
        <v>45741</v>
      </c>
      <c r="C763" t="s">
        <v>785</v>
      </c>
      <c r="D763" t="s">
        <v>79</v>
      </c>
      <c r="E763" t="s">
        <v>26</v>
      </c>
      <c r="F763" t="s">
        <v>27</v>
      </c>
      <c r="G763" t="s">
        <v>164</v>
      </c>
      <c r="H763">
        <v>1</v>
      </c>
      <c r="I763">
        <v>21537</v>
      </c>
      <c r="J763">
        <v>5</v>
      </c>
      <c r="K763">
        <v>1076.8499999999999</v>
      </c>
      <c r="L763">
        <v>20460.150000000001</v>
      </c>
      <c r="M763">
        <v>15031.72</v>
      </c>
      <c r="N763">
        <v>5428.43</v>
      </c>
      <c r="O763" t="s">
        <v>29</v>
      </c>
      <c r="P763">
        <v>948.62</v>
      </c>
      <c r="Q763" t="s">
        <v>73</v>
      </c>
      <c r="R763" t="s">
        <v>41</v>
      </c>
      <c r="S763">
        <v>2</v>
      </c>
      <c r="T763">
        <v>2</v>
      </c>
      <c r="U763" t="s">
        <v>32</v>
      </c>
      <c r="V763" t="s">
        <v>33</v>
      </c>
      <c r="W763">
        <v>1</v>
      </c>
    </row>
    <row r="764" spans="1:23" x14ac:dyDescent="0.25">
      <c r="A764" t="s">
        <v>1276</v>
      </c>
      <c r="B764" s="1">
        <v>45817</v>
      </c>
      <c r="C764" t="s">
        <v>1277</v>
      </c>
      <c r="D764" t="s">
        <v>71</v>
      </c>
      <c r="E764" t="s">
        <v>26</v>
      </c>
      <c r="F764" t="s">
        <v>37</v>
      </c>
      <c r="G764" t="s">
        <v>100</v>
      </c>
      <c r="H764">
        <v>2</v>
      </c>
      <c r="I764">
        <v>33730</v>
      </c>
      <c r="J764">
        <v>0</v>
      </c>
      <c r="K764">
        <v>0</v>
      </c>
      <c r="L764">
        <v>67460</v>
      </c>
      <c r="M764">
        <v>52300</v>
      </c>
      <c r="N764">
        <v>15160</v>
      </c>
      <c r="O764" t="s">
        <v>91</v>
      </c>
      <c r="P764">
        <v>2429.35</v>
      </c>
      <c r="Q764" t="s">
        <v>83</v>
      </c>
      <c r="R764" t="s">
        <v>31</v>
      </c>
      <c r="S764">
        <v>5</v>
      </c>
      <c r="T764">
        <v>10</v>
      </c>
      <c r="U764" t="s">
        <v>56</v>
      </c>
      <c r="V764" t="s">
        <v>33</v>
      </c>
      <c r="W764">
        <v>5</v>
      </c>
    </row>
    <row r="765" spans="1:23" x14ac:dyDescent="0.25">
      <c r="A765" t="s">
        <v>1278</v>
      </c>
      <c r="B765" s="1">
        <v>45713</v>
      </c>
      <c r="C765" t="s">
        <v>550</v>
      </c>
      <c r="D765" t="s">
        <v>63</v>
      </c>
      <c r="E765" t="s">
        <v>26</v>
      </c>
      <c r="F765" t="s">
        <v>27</v>
      </c>
      <c r="G765" t="s">
        <v>76</v>
      </c>
      <c r="H765">
        <v>1</v>
      </c>
      <c r="I765">
        <v>9758</v>
      </c>
      <c r="J765">
        <v>0</v>
      </c>
      <c r="K765">
        <v>0</v>
      </c>
      <c r="L765">
        <v>9758</v>
      </c>
      <c r="M765">
        <v>5448.83</v>
      </c>
      <c r="N765">
        <v>4309.17</v>
      </c>
      <c r="O765" t="s">
        <v>91</v>
      </c>
      <c r="P765">
        <v>2103.61</v>
      </c>
      <c r="Q765" t="s">
        <v>83</v>
      </c>
      <c r="R765" t="s">
        <v>31</v>
      </c>
      <c r="S765">
        <v>5</v>
      </c>
      <c r="T765">
        <v>4</v>
      </c>
      <c r="U765" t="s">
        <v>32</v>
      </c>
      <c r="V765" t="s">
        <v>33</v>
      </c>
      <c r="W765">
        <v>2</v>
      </c>
    </row>
    <row r="766" spans="1:23" x14ac:dyDescent="0.25">
      <c r="A766" t="s">
        <v>1279</v>
      </c>
      <c r="B766" s="1">
        <v>45954</v>
      </c>
      <c r="C766" t="s">
        <v>747</v>
      </c>
      <c r="D766" t="s">
        <v>79</v>
      </c>
      <c r="E766" t="s">
        <v>36</v>
      </c>
      <c r="F766" t="s">
        <v>53</v>
      </c>
      <c r="G766" t="s">
        <v>59</v>
      </c>
      <c r="H766">
        <v>2</v>
      </c>
      <c r="I766">
        <v>10385</v>
      </c>
      <c r="J766">
        <v>15</v>
      </c>
      <c r="K766">
        <v>3115.5</v>
      </c>
      <c r="L766">
        <v>17654.5</v>
      </c>
      <c r="M766">
        <v>11497.09</v>
      </c>
      <c r="N766">
        <v>6157.41</v>
      </c>
      <c r="O766" t="s">
        <v>60</v>
      </c>
      <c r="P766">
        <v>1556.29</v>
      </c>
      <c r="Q766" t="s">
        <v>30</v>
      </c>
      <c r="R766" t="s">
        <v>41</v>
      </c>
      <c r="S766">
        <v>2</v>
      </c>
      <c r="T766">
        <v>4</v>
      </c>
      <c r="U766" t="s">
        <v>56</v>
      </c>
      <c r="V766" t="s">
        <v>33</v>
      </c>
      <c r="W766">
        <v>5</v>
      </c>
    </row>
    <row r="767" spans="1:23" x14ac:dyDescent="0.25">
      <c r="A767" t="s">
        <v>1280</v>
      </c>
      <c r="B767" s="1">
        <v>45671</v>
      </c>
      <c r="C767" t="s">
        <v>1281</v>
      </c>
      <c r="D767" t="s">
        <v>67</v>
      </c>
      <c r="E767" t="s">
        <v>26</v>
      </c>
      <c r="F767" t="s">
        <v>37</v>
      </c>
      <c r="G767" t="s">
        <v>38</v>
      </c>
      <c r="H767">
        <v>1</v>
      </c>
      <c r="I767">
        <v>29149</v>
      </c>
      <c r="J767">
        <v>25</v>
      </c>
      <c r="K767">
        <v>7287.25</v>
      </c>
      <c r="L767">
        <v>21861.75</v>
      </c>
      <c r="M767">
        <v>16567.77</v>
      </c>
      <c r="N767">
        <v>5293.98</v>
      </c>
      <c r="O767" t="s">
        <v>55</v>
      </c>
      <c r="P767">
        <v>1327.71</v>
      </c>
      <c r="Q767" t="s">
        <v>83</v>
      </c>
      <c r="R767" t="s">
        <v>41</v>
      </c>
      <c r="S767">
        <v>2</v>
      </c>
      <c r="T767">
        <v>1</v>
      </c>
      <c r="U767" t="s">
        <v>32</v>
      </c>
      <c r="V767" t="s">
        <v>33</v>
      </c>
      <c r="W767">
        <v>5</v>
      </c>
    </row>
    <row r="768" spans="1:23" x14ac:dyDescent="0.25">
      <c r="A768" t="s">
        <v>1282</v>
      </c>
      <c r="B768" s="1">
        <v>45817</v>
      </c>
      <c r="C768" t="s">
        <v>462</v>
      </c>
      <c r="D768" t="s">
        <v>79</v>
      </c>
      <c r="E768" t="s">
        <v>46</v>
      </c>
      <c r="F768" t="s">
        <v>27</v>
      </c>
      <c r="G768" t="s">
        <v>164</v>
      </c>
      <c r="H768">
        <v>1</v>
      </c>
      <c r="I768">
        <v>18399</v>
      </c>
      <c r="J768">
        <v>10</v>
      </c>
      <c r="K768">
        <v>1839.9</v>
      </c>
      <c r="L768">
        <v>16559.099999999999</v>
      </c>
      <c r="M768">
        <v>10186.700000000001</v>
      </c>
      <c r="N768">
        <v>6372.4</v>
      </c>
      <c r="O768" t="s">
        <v>60</v>
      </c>
      <c r="P768">
        <v>912.57</v>
      </c>
      <c r="Q768" t="s">
        <v>30</v>
      </c>
      <c r="R768" t="s">
        <v>31</v>
      </c>
      <c r="S768">
        <v>5</v>
      </c>
      <c r="T768">
        <v>4</v>
      </c>
      <c r="U768" t="s">
        <v>32</v>
      </c>
      <c r="V768" t="s">
        <v>33</v>
      </c>
      <c r="W768">
        <v>3</v>
      </c>
    </row>
    <row r="769" spans="1:23" x14ac:dyDescent="0.25">
      <c r="A769" t="s">
        <v>1283</v>
      </c>
      <c r="B769" s="1">
        <v>45952</v>
      </c>
      <c r="C769" t="s">
        <v>677</v>
      </c>
      <c r="D769" t="s">
        <v>79</v>
      </c>
      <c r="E769" t="s">
        <v>26</v>
      </c>
      <c r="F769" t="s">
        <v>47</v>
      </c>
      <c r="G769" t="s">
        <v>64</v>
      </c>
      <c r="H769">
        <v>2</v>
      </c>
      <c r="I769">
        <v>8850</v>
      </c>
      <c r="J769">
        <v>25</v>
      </c>
      <c r="K769">
        <v>4425</v>
      </c>
      <c r="L769">
        <v>13275</v>
      </c>
      <c r="M769">
        <v>7950.84</v>
      </c>
      <c r="N769">
        <v>5324.16</v>
      </c>
      <c r="O769" t="s">
        <v>55</v>
      </c>
      <c r="P769">
        <v>2327.46</v>
      </c>
      <c r="Q769" t="s">
        <v>83</v>
      </c>
      <c r="R769" t="s">
        <v>41</v>
      </c>
      <c r="S769">
        <v>2</v>
      </c>
      <c r="T769">
        <v>5</v>
      </c>
      <c r="U769" t="s">
        <v>56</v>
      </c>
      <c r="V769" t="s">
        <v>33</v>
      </c>
      <c r="W769">
        <v>5</v>
      </c>
    </row>
    <row r="770" spans="1:23" x14ac:dyDescent="0.25">
      <c r="A770" t="s">
        <v>1284</v>
      </c>
      <c r="B770" s="1">
        <v>46004</v>
      </c>
      <c r="C770" t="s">
        <v>345</v>
      </c>
      <c r="D770" t="s">
        <v>97</v>
      </c>
      <c r="E770" t="s">
        <v>46</v>
      </c>
      <c r="F770" t="s">
        <v>86</v>
      </c>
      <c r="G770" t="s">
        <v>110</v>
      </c>
      <c r="H770">
        <v>1</v>
      </c>
      <c r="I770">
        <v>44048</v>
      </c>
      <c r="J770">
        <v>15</v>
      </c>
      <c r="K770">
        <v>6607.2</v>
      </c>
      <c r="L770">
        <v>37440.800000000003</v>
      </c>
      <c r="M770">
        <v>21701.14</v>
      </c>
      <c r="N770">
        <v>15739.66</v>
      </c>
      <c r="O770" t="s">
        <v>60</v>
      </c>
      <c r="P770">
        <v>1308.94</v>
      </c>
      <c r="Q770" t="s">
        <v>68</v>
      </c>
      <c r="R770" t="s">
        <v>31</v>
      </c>
      <c r="S770">
        <v>5</v>
      </c>
      <c r="T770">
        <v>3</v>
      </c>
      <c r="U770" t="s">
        <v>32</v>
      </c>
      <c r="V770" t="s">
        <v>33</v>
      </c>
      <c r="W770">
        <v>2</v>
      </c>
    </row>
    <row r="771" spans="1:23" x14ac:dyDescent="0.25">
      <c r="A771" t="s">
        <v>1285</v>
      </c>
      <c r="B771" s="1">
        <v>45850</v>
      </c>
      <c r="C771" t="s">
        <v>822</v>
      </c>
      <c r="D771" t="s">
        <v>71</v>
      </c>
      <c r="E771" t="s">
        <v>46</v>
      </c>
      <c r="F771" t="s">
        <v>53</v>
      </c>
      <c r="G771" t="s">
        <v>54</v>
      </c>
      <c r="H771">
        <v>1</v>
      </c>
      <c r="I771">
        <v>98526</v>
      </c>
      <c r="J771">
        <v>0</v>
      </c>
      <c r="K771">
        <v>0</v>
      </c>
      <c r="L771">
        <v>98526</v>
      </c>
      <c r="M771">
        <v>56890.41</v>
      </c>
      <c r="N771">
        <v>41635.589999999997</v>
      </c>
      <c r="O771" t="s">
        <v>55</v>
      </c>
      <c r="P771">
        <v>2451.23</v>
      </c>
      <c r="Q771" t="s">
        <v>40</v>
      </c>
      <c r="R771" t="s">
        <v>31</v>
      </c>
      <c r="S771">
        <v>5</v>
      </c>
      <c r="T771">
        <v>8</v>
      </c>
      <c r="U771" t="s">
        <v>56</v>
      </c>
      <c r="V771" t="s">
        <v>33</v>
      </c>
      <c r="W771">
        <v>5</v>
      </c>
    </row>
    <row r="772" spans="1:23" x14ac:dyDescent="0.25">
      <c r="A772" t="s">
        <v>1286</v>
      </c>
      <c r="B772" s="1">
        <v>45861</v>
      </c>
      <c r="C772" t="s">
        <v>351</v>
      </c>
      <c r="D772" t="s">
        <v>67</v>
      </c>
      <c r="E772" t="s">
        <v>26</v>
      </c>
      <c r="F772" t="s">
        <v>37</v>
      </c>
      <c r="G772" t="s">
        <v>224</v>
      </c>
      <c r="H772">
        <v>1</v>
      </c>
      <c r="I772">
        <v>39617</v>
      </c>
      <c r="J772">
        <v>0</v>
      </c>
      <c r="K772">
        <v>0</v>
      </c>
      <c r="L772">
        <v>39617</v>
      </c>
      <c r="M772">
        <v>26267.21</v>
      </c>
      <c r="N772">
        <v>13349.79</v>
      </c>
      <c r="O772" t="s">
        <v>39</v>
      </c>
      <c r="P772">
        <v>1481.75</v>
      </c>
      <c r="Q772" t="s">
        <v>30</v>
      </c>
      <c r="R772" t="s">
        <v>41</v>
      </c>
      <c r="S772">
        <v>2</v>
      </c>
      <c r="T772">
        <v>3</v>
      </c>
      <c r="U772" t="s">
        <v>56</v>
      </c>
      <c r="V772" t="s">
        <v>33</v>
      </c>
      <c r="W772">
        <v>4</v>
      </c>
    </row>
    <row r="773" spans="1:23" x14ac:dyDescent="0.25">
      <c r="A773" t="s">
        <v>1287</v>
      </c>
      <c r="B773" s="1">
        <v>45759</v>
      </c>
      <c r="C773" t="s">
        <v>1288</v>
      </c>
      <c r="D773" t="s">
        <v>63</v>
      </c>
      <c r="E773" t="s">
        <v>46</v>
      </c>
      <c r="F773" t="s">
        <v>53</v>
      </c>
      <c r="G773" t="s">
        <v>151</v>
      </c>
      <c r="H773">
        <v>1</v>
      </c>
      <c r="I773">
        <v>40880</v>
      </c>
      <c r="J773">
        <v>0</v>
      </c>
      <c r="K773">
        <v>0</v>
      </c>
      <c r="L773">
        <v>40880</v>
      </c>
      <c r="M773">
        <v>28780.07</v>
      </c>
      <c r="N773">
        <v>12099.93</v>
      </c>
      <c r="O773" t="s">
        <v>49</v>
      </c>
      <c r="P773">
        <v>498.43</v>
      </c>
      <c r="Q773" t="s">
        <v>73</v>
      </c>
      <c r="R773" t="s">
        <v>31</v>
      </c>
      <c r="S773">
        <v>5</v>
      </c>
      <c r="T773">
        <v>3</v>
      </c>
      <c r="U773" t="s">
        <v>32</v>
      </c>
      <c r="V773" t="s">
        <v>50</v>
      </c>
      <c r="W773">
        <v>5</v>
      </c>
    </row>
    <row r="774" spans="1:23" x14ac:dyDescent="0.25">
      <c r="A774" t="s">
        <v>1289</v>
      </c>
      <c r="B774" s="1">
        <v>45696</v>
      </c>
      <c r="C774" t="s">
        <v>1162</v>
      </c>
      <c r="D774" t="s">
        <v>79</v>
      </c>
      <c r="E774" t="s">
        <v>46</v>
      </c>
      <c r="F774" t="s">
        <v>37</v>
      </c>
      <c r="G774" t="s">
        <v>313</v>
      </c>
      <c r="H774">
        <v>1</v>
      </c>
      <c r="I774">
        <v>13659</v>
      </c>
      <c r="J774">
        <v>10</v>
      </c>
      <c r="K774">
        <v>1365.9</v>
      </c>
      <c r="L774">
        <v>12293.1</v>
      </c>
      <c r="M774">
        <v>7203.36</v>
      </c>
      <c r="N774">
        <v>5089.74</v>
      </c>
      <c r="O774" t="s">
        <v>49</v>
      </c>
      <c r="P774">
        <v>77</v>
      </c>
      <c r="Q774" t="s">
        <v>83</v>
      </c>
      <c r="R774" t="s">
        <v>41</v>
      </c>
      <c r="S774">
        <v>2</v>
      </c>
      <c r="T774">
        <v>0</v>
      </c>
      <c r="U774" t="s">
        <v>32</v>
      </c>
      <c r="V774" t="s">
        <v>50</v>
      </c>
      <c r="W774">
        <v>3</v>
      </c>
    </row>
    <row r="775" spans="1:23" x14ac:dyDescent="0.25">
      <c r="A775" t="s">
        <v>1290</v>
      </c>
      <c r="B775" s="1">
        <v>45961</v>
      </c>
      <c r="C775" t="s">
        <v>1291</v>
      </c>
      <c r="D775" t="s">
        <v>45</v>
      </c>
      <c r="E775" t="s">
        <v>46</v>
      </c>
      <c r="F775" t="s">
        <v>53</v>
      </c>
      <c r="G775" t="s">
        <v>82</v>
      </c>
      <c r="H775">
        <v>3</v>
      </c>
      <c r="I775">
        <v>26964</v>
      </c>
      <c r="J775">
        <v>5</v>
      </c>
      <c r="K775">
        <v>4044.6</v>
      </c>
      <c r="L775">
        <v>76847.399999999994</v>
      </c>
      <c r="M775">
        <v>56044.03</v>
      </c>
      <c r="N775">
        <v>20803.37</v>
      </c>
      <c r="O775" t="s">
        <v>29</v>
      </c>
      <c r="P775">
        <v>427.81</v>
      </c>
      <c r="Q775" t="s">
        <v>30</v>
      </c>
      <c r="R775" t="s">
        <v>41</v>
      </c>
      <c r="S775">
        <v>2</v>
      </c>
      <c r="T775">
        <v>3</v>
      </c>
      <c r="U775" t="s">
        <v>56</v>
      </c>
      <c r="V775" t="s">
        <v>33</v>
      </c>
      <c r="W775">
        <v>2</v>
      </c>
    </row>
    <row r="776" spans="1:23" x14ac:dyDescent="0.25">
      <c r="A776" t="s">
        <v>1292</v>
      </c>
      <c r="B776" s="1">
        <v>46011</v>
      </c>
      <c r="C776" t="s">
        <v>384</v>
      </c>
      <c r="D776" t="s">
        <v>154</v>
      </c>
      <c r="E776" t="s">
        <v>46</v>
      </c>
      <c r="F776" t="s">
        <v>37</v>
      </c>
      <c r="G776" t="s">
        <v>38</v>
      </c>
      <c r="H776">
        <v>1</v>
      </c>
      <c r="I776">
        <v>8757</v>
      </c>
      <c r="J776">
        <v>0</v>
      </c>
      <c r="K776">
        <v>0</v>
      </c>
      <c r="L776">
        <v>8757</v>
      </c>
      <c r="M776">
        <v>5400.51</v>
      </c>
      <c r="N776">
        <v>3356.49</v>
      </c>
      <c r="O776" t="s">
        <v>49</v>
      </c>
      <c r="P776">
        <v>422.59</v>
      </c>
      <c r="Q776" t="s">
        <v>30</v>
      </c>
      <c r="R776" t="s">
        <v>41</v>
      </c>
      <c r="S776">
        <v>2</v>
      </c>
      <c r="T776">
        <v>3</v>
      </c>
      <c r="U776" t="s">
        <v>56</v>
      </c>
      <c r="V776" t="s">
        <v>33</v>
      </c>
    </row>
    <row r="777" spans="1:23" x14ac:dyDescent="0.25">
      <c r="A777" t="s">
        <v>1293</v>
      </c>
      <c r="B777" s="1">
        <v>45979</v>
      </c>
      <c r="C777" t="s">
        <v>860</v>
      </c>
      <c r="D777" t="s">
        <v>25</v>
      </c>
      <c r="E777" t="s">
        <v>46</v>
      </c>
      <c r="F777" t="s">
        <v>53</v>
      </c>
      <c r="G777" t="s">
        <v>54</v>
      </c>
      <c r="H777">
        <v>2</v>
      </c>
      <c r="I777">
        <v>57979</v>
      </c>
      <c r="J777">
        <v>0</v>
      </c>
      <c r="K777">
        <v>0</v>
      </c>
      <c r="L777">
        <v>115958</v>
      </c>
      <c r="M777">
        <v>78785.2</v>
      </c>
      <c r="N777">
        <v>37172.800000000003</v>
      </c>
      <c r="O777" t="s">
        <v>60</v>
      </c>
      <c r="P777">
        <v>2205.3000000000002</v>
      </c>
      <c r="Q777" t="s">
        <v>68</v>
      </c>
      <c r="R777" t="s">
        <v>41</v>
      </c>
      <c r="S777">
        <v>2</v>
      </c>
      <c r="T777">
        <v>5</v>
      </c>
      <c r="U777" t="s">
        <v>32</v>
      </c>
      <c r="V777" t="s">
        <v>42</v>
      </c>
    </row>
    <row r="778" spans="1:23" x14ac:dyDescent="0.25">
      <c r="A778" t="s">
        <v>1294</v>
      </c>
      <c r="B778" s="1">
        <v>45782</v>
      </c>
      <c r="C778" t="s">
        <v>1295</v>
      </c>
      <c r="D778" t="s">
        <v>63</v>
      </c>
      <c r="E778" t="s">
        <v>26</v>
      </c>
      <c r="F778" t="s">
        <v>47</v>
      </c>
      <c r="G778" t="s">
        <v>64</v>
      </c>
      <c r="H778">
        <v>1</v>
      </c>
      <c r="I778">
        <v>34349</v>
      </c>
      <c r="J778">
        <v>0</v>
      </c>
      <c r="K778">
        <v>0</v>
      </c>
      <c r="L778">
        <v>34349</v>
      </c>
      <c r="M778">
        <v>26060.17</v>
      </c>
      <c r="N778">
        <v>8288.83</v>
      </c>
      <c r="O778" t="s">
        <v>60</v>
      </c>
      <c r="P778">
        <v>1104.51</v>
      </c>
      <c r="Q778" t="s">
        <v>30</v>
      </c>
      <c r="R778" t="s">
        <v>41</v>
      </c>
      <c r="S778">
        <v>2</v>
      </c>
      <c r="T778">
        <v>1</v>
      </c>
      <c r="U778" t="s">
        <v>32</v>
      </c>
      <c r="V778" t="s">
        <v>33</v>
      </c>
      <c r="W778">
        <v>3</v>
      </c>
    </row>
    <row r="779" spans="1:23" x14ac:dyDescent="0.25">
      <c r="A779" t="s">
        <v>1296</v>
      </c>
      <c r="B779" s="1">
        <v>45710</v>
      </c>
      <c r="C779" t="s">
        <v>179</v>
      </c>
      <c r="D779" t="s">
        <v>45</v>
      </c>
      <c r="E779" t="s">
        <v>36</v>
      </c>
      <c r="F779" t="s">
        <v>86</v>
      </c>
      <c r="G779" t="s">
        <v>94</v>
      </c>
      <c r="H779">
        <v>3</v>
      </c>
      <c r="I779">
        <v>69935</v>
      </c>
      <c r="J779">
        <v>20</v>
      </c>
      <c r="K779">
        <v>41961</v>
      </c>
      <c r="L779">
        <v>167844</v>
      </c>
      <c r="M779">
        <v>107589.74</v>
      </c>
      <c r="N779">
        <v>60254.26</v>
      </c>
      <c r="O779" t="s">
        <v>39</v>
      </c>
      <c r="P779">
        <v>1389.09</v>
      </c>
      <c r="Q779" t="s">
        <v>83</v>
      </c>
      <c r="R779" t="s">
        <v>41</v>
      </c>
      <c r="S779">
        <v>2</v>
      </c>
      <c r="T779">
        <v>2</v>
      </c>
      <c r="U779" t="s">
        <v>32</v>
      </c>
      <c r="V779" t="s">
        <v>50</v>
      </c>
      <c r="W779">
        <v>5</v>
      </c>
    </row>
    <row r="780" spans="1:23" x14ac:dyDescent="0.25">
      <c r="A780" t="s">
        <v>1297</v>
      </c>
      <c r="B780" s="1">
        <v>46014</v>
      </c>
      <c r="C780" t="s">
        <v>1298</v>
      </c>
      <c r="D780" t="s">
        <v>63</v>
      </c>
      <c r="E780" t="s">
        <v>26</v>
      </c>
      <c r="F780" t="s">
        <v>86</v>
      </c>
      <c r="G780" t="s">
        <v>94</v>
      </c>
      <c r="H780">
        <v>1</v>
      </c>
      <c r="I780">
        <v>80188</v>
      </c>
      <c r="J780">
        <v>10</v>
      </c>
      <c r="K780">
        <v>8018.8</v>
      </c>
      <c r="L780">
        <v>72169.2</v>
      </c>
      <c r="M780">
        <v>43431.32</v>
      </c>
      <c r="N780">
        <v>28737.88</v>
      </c>
      <c r="O780" t="s">
        <v>29</v>
      </c>
      <c r="P780">
        <v>806.99</v>
      </c>
      <c r="Q780" t="s">
        <v>30</v>
      </c>
      <c r="R780" t="s">
        <v>41</v>
      </c>
      <c r="S780">
        <v>2</v>
      </c>
      <c r="T780">
        <v>1</v>
      </c>
      <c r="U780" t="s">
        <v>32</v>
      </c>
      <c r="V780" t="s">
        <v>33</v>
      </c>
      <c r="W780">
        <v>3</v>
      </c>
    </row>
    <row r="781" spans="1:23" x14ac:dyDescent="0.25">
      <c r="A781" t="s">
        <v>1299</v>
      </c>
      <c r="B781" s="1">
        <v>45812</v>
      </c>
      <c r="C781" t="s">
        <v>1300</v>
      </c>
      <c r="D781" t="s">
        <v>63</v>
      </c>
      <c r="E781" t="s">
        <v>26</v>
      </c>
      <c r="F781" t="s">
        <v>47</v>
      </c>
      <c r="G781" t="s">
        <v>64</v>
      </c>
      <c r="H781">
        <v>1</v>
      </c>
      <c r="I781">
        <v>43235</v>
      </c>
      <c r="J781">
        <v>25</v>
      </c>
      <c r="K781">
        <v>10808.75</v>
      </c>
      <c r="L781">
        <v>32426.25</v>
      </c>
      <c r="M781">
        <v>19352.71</v>
      </c>
      <c r="N781">
        <v>13073.54</v>
      </c>
      <c r="O781" t="s">
        <v>91</v>
      </c>
      <c r="P781">
        <v>673.19</v>
      </c>
      <c r="Q781" t="s">
        <v>73</v>
      </c>
      <c r="R781" t="s">
        <v>41</v>
      </c>
      <c r="S781">
        <v>2</v>
      </c>
      <c r="T781">
        <v>5</v>
      </c>
      <c r="U781" t="s">
        <v>32</v>
      </c>
      <c r="V781" t="s">
        <v>50</v>
      </c>
      <c r="W781">
        <v>2</v>
      </c>
    </row>
    <row r="782" spans="1:23" x14ac:dyDescent="0.25">
      <c r="A782" t="s">
        <v>1301</v>
      </c>
      <c r="B782" s="1">
        <v>46008</v>
      </c>
      <c r="C782" t="s">
        <v>1106</v>
      </c>
      <c r="D782" t="s">
        <v>124</v>
      </c>
      <c r="E782" t="s">
        <v>26</v>
      </c>
      <c r="F782" t="s">
        <v>47</v>
      </c>
      <c r="G782" t="s">
        <v>105</v>
      </c>
      <c r="H782">
        <v>1</v>
      </c>
      <c r="I782">
        <v>37086</v>
      </c>
      <c r="J782">
        <v>10</v>
      </c>
      <c r="K782">
        <v>3708.6</v>
      </c>
      <c r="L782">
        <v>33377.4</v>
      </c>
      <c r="M782">
        <v>23818.63</v>
      </c>
      <c r="N782">
        <v>9558.77</v>
      </c>
      <c r="O782" t="s">
        <v>60</v>
      </c>
      <c r="P782">
        <v>2070.16</v>
      </c>
      <c r="Q782" t="s">
        <v>30</v>
      </c>
      <c r="R782" t="s">
        <v>31</v>
      </c>
      <c r="S782">
        <v>5</v>
      </c>
      <c r="T782">
        <v>5</v>
      </c>
      <c r="U782" t="s">
        <v>32</v>
      </c>
      <c r="V782" t="s">
        <v>33</v>
      </c>
      <c r="W782">
        <v>4</v>
      </c>
    </row>
    <row r="783" spans="1:23" x14ac:dyDescent="0.25">
      <c r="A783" t="s">
        <v>1302</v>
      </c>
      <c r="B783" s="1">
        <v>45965</v>
      </c>
      <c r="C783" t="s">
        <v>1303</v>
      </c>
      <c r="D783" t="s">
        <v>63</v>
      </c>
      <c r="E783" t="s">
        <v>26</v>
      </c>
      <c r="F783" t="s">
        <v>53</v>
      </c>
      <c r="G783" t="s">
        <v>151</v>
      </c>
      <c r="H783">
        <v>4</v>
      </c>
      <c r="I783">
        <v>85491</v>
      </c>
      <c r="J783">
        <v>5</v>
      </c>
      <c r="K783">
        <v>17098.2</v>
      </c>
      <c r="L783">
        <v>324865.8</v>
      </c>
      <c r="M783">
        <v>201981.84</v>
      </c>
      <c r="N783">
        <v>122883.96</v>
      </c>
      <c r="O783" t="s">
        <v>60</v>
      </c>
      <c r="P783">
        <v>448.58</v>
      </c>
      <c r="Q783" t="s">
        <v>30</v>
      </c>
      <c r="R783" t="s">
        <v>41</v>
      </c>
      <c r="S783">
        <v>2</v>
      </c>
      <c r="T783">
        <v>1</v>
      </c>
      <c r="U783" t="s">
        <v>32</v>
      </c>
      <c r="V783" t="s">
        <v>33</v>
      </c>
      <c r="W783">
        <v>5</v>
      </c>
    </row>
    <row r="784" spans="1:23" x14ac:dyDescent="0.25">
      <c r="A784" t="s">
        <v>1304</v>
      </c>
      <c r="B784" s="1">
        <v>45719</v>
      </c>
      <c r="C784" t="s">
        <v>629</v>
      </c>
      <c r="D784" t="s">
        <v>154</v>
      </c>
      <c r="E784" t="s">
        <v>46</v>
      </c>
      <c r="F784" t="s">
        <v>27</v>
      </c>
      <c r="G784" t="s">
        <v>72</v>
      </c>
      <c r="H784">
        <v>2</v>
      </c>
      <c r="I784">
        <v>12588</v>
      </c>
      <c r="J784">
        <v>25</v>
      </c>
      <c r="K784">
        <v>6294</v>
      </c>
      <c r="L784">
        <v>18882</v>
      </c>
      <c r="M784">
        <v>13113.74</v>
      </c>
      <c r="N784">
        <v>5768.26</v>
      </c>
      <c r="O784" t="s">
        <v>91</v>
      </c>
      <c r="P784">
        <v>1779.47</v>
      </c>
      <c r="Q784" t="s">
        <v>68</v>
      </c>
      <c r="R784" t="s">
        <v>31</v>
      </c>
      <c r="S784">
        <v>5</v>
      </c>
      <c r="T784">
        <v>5</v>
      </c>
      <c r="U784" t="s">
        <v>32</v>
      </c>
      <c r="V784" t="s">
        <v>33</v>
      </c>
      <c r="W784">
        <v>5</v>
      </c>
    </row>
    <row r="785" spans="1:23" x14ac:dyDescent="0.25">
      <c r="A785" t="s">
        <v>1305</v>
      </c>
      <c r="B785" s="1">
        <v>45947</v>
      </c>
      <c r="C785" t="s">
        <v>1306</v>
      </c>
      <c r="D785" t="s">
        <v>90</v>
      </c>
      <c r="E785" t="s">
        <v>46</v>
      </c>
      <c r="F785" t="s">
        <v>53</v>
      </c>
      <c r="G785" t="s">
        <v>82</v>
      </c>
      <c r="H785">
        <v>2</v>
      </c>
      <c r="I785">
        <v>45329</v>
      </c>
      <c r="J785">
        <v>5</v>
      </c>
      <c r="K785">
        <v>4532.8999999999996</v>
      </c>
      <c r="L785">
        <v>86125.1</v>
      </c>
      <c r="M785">
        <v>61746.89</v>
      </c>
      <c r="N785">
        <v>24378.21</v>
      </c>
      <c r="O785" t="s">
        <v>55</v>
      </c>
      <c r="P785">
        <v>1013.17</v>
      </c>
      <c r="Q785" t="s">
        <v>68</v>
      </c>
      <c r="R785" t="s">
        <v>41</v>
      </c>
      <c r="S785">
        <v>2</v>
      </c>
      <c r="T785">
        <v>4</v>
      </c>
      <c r="U785" t="s">
        <v>32</v>
      </c>
      <c r="V785" t="s">
        <v>42</v>
      </c>
    </row>
    <row r="786" spans="1:23" x14ac:dyDescent="0.25">
      <c r="A786" t="s">
        <v>1307</v>
      </c>
      <c r="B786" s="1">
        <v>45679</v>
      </c>
      <c r="C786" t="s">
        <v>265</v>
      </c>
      <c r="D786" t="s">
        <v>45</v>
      </c>
      <c r="E786" t="s">
        <v>26</v>
      </c>
      <c r="F786" t="s">
        <v>47</v>
      </c>
      <c r="G786" t="s">
        <v>138</v>
      </c>
      <c r="H786">
        <v>1</v>
      </c>
      <c r="I786">
        <v>32118</v>
      </c>
      <c r="J786">
        <v>0</v>
      </c>
      <c r="K786">
        <v>0</v>
      </c>
      <c r="L786">
        <v>32118</v>
      </c>
      <c r="M786">
        <v>18455.580000000002</v>
      </c>
      <c r="N786">
        <v>13662.42</v>
      </c>
      <c r="O786" t="s">
        <v>39</v>
      </c>
      <c r="P786">
        <v>486.5</v>
      </c>
      <c r="Q786" t="s">
        <v>68</v>
      </c>
      <c r="R786" t="s">
        <v>41</v>
      </c>
      <c r="S786">
        <v>2</v>
      </c>
      <c r="T786">
        <v>6</v>
      </c>
      <c r="U786" t="s">
        <v>32</v>
      </c>
      <c r="V786" t="s">
        <v>50</v>
      </c>
      <c r="W786">
        <v>4</v>
      </c>
    </row>
    <row r="787" spans="1:23" x14ac:dyDescent="0.25">
      <c r="A787" t="s">
        <v>1308</v>
      </c>
      <c r="B787" s="1">
        <v>45835</v>
      </c>
      <c r="C787" t="s">
        <v>933</v>
      </c>
      <c r="D787" t="s">
        <v>67</v>
      </c>
      <c r="E787" t="s">
        <v>46</v>
      </c>
      <c r="F787" t="s">
        <v>27</v>
      </c>
      <c r="G787" t="s">
        <v>76</v>
      </c>
      <c r="H787">
        <v>1</v>
      </c>
      <c r="I787">
        <v>3603</v>
      </c>
      <c r="J787">
        <v>10</v>
      </c>
      <c r="K787">
        <v>360.3</v>
      </c>
      <c r="L787">
        <v>3242.7</v>
      </c>
      <c r="M787">
        <v>2164.5100000000002</v>
      </c>
      <c r="N787">
        <v>1078.19</v>
      </c>
      <c r="O787" t="s">
        <v>29</v>
      </c>
      <c r="P787">
        <v>690.79</v>
      </c>
      <c r="Q787" t="s">
        <v>83</v>
      </c>
      <c r="R787" t="s">
        <v>41</v>
      </c>
      <c r="S787">
        <v>2</v>
      </c>
      <c r="T787">
        <v>3</v>
      </c>
      <c r="U787" t="s">
        <v>32</v>
      </c>
      <c r="V787" t="s">
        <v>42</v>
      </c>
    </row>
    <row r="788" spans="1:23" x14ac:dyDescent="0.25">
      <c r="A788" t="s">
        <v>1309</v>
      </c>
      <c r="B788" s="1">
        <v>45930</v>
      </c>
      <c r="C788" t="s">
        <v>343</v>
      </c>
      <c r="D788" t="s">
        <v>67</v>
      </c>
      <c r="E788" t="s">
        <v>26</v>
      </c>
      <c r="F788" t="s">
        <v>53</v>
      </c>
      <c r="G788" t="s">
        <v>54</v>
      </c>
      <c r="H788">
        <v>1</v>
      </c>
      <c r="I788">
        <v>89616</v>
      </c>
      <c r="J788">
        <v>5</v>
      </c>
      <c r="K788">
        <v>4480.8</v>
      </c>
      <c r="L788">
        <v>85135.2</v>
      </c>
      <c r="M788">
        <v>67094</v>
      </c>
      <c r="N788">
        <v>18041.2</v>
      </c>
      <c r="O788" t="s">
        <v>91</v>
      </c>
      <c r="P788">
        <v>2212.84</v>
      </c>
      <c r="Q788" t="s">
        <v>73</v>
      </c>
      <c r="R788" t="s">
        <v>41</v>
      </c>
      <c r="S788">
        <v>2</v>
      </c>
      <c r="T788">
        <v>3</v>
      </c>
      <c r="U788" t="s">
        <v>56</v>
      </c>
      <c r="V788" t="s">
        <v>33</v>
      </c>
      <c r="W788">
        <v>5</v>
      </c>
    </row>
    <row r="789" spans="1:23" x14ac:dyDescent="0.25">
      <c r="A789" t="s">
        <v>1310</v>
      </c>
      <c r="B789" s="1">
        <v>45877</v>
      </c>
      <c r="C789" t="s">
        <v>1311</v>
      </c>
      <c r="D789" t="s">
        <v>97</v>
      </c>
      <c r="E789" t="s">
        <v>46</v>
      </c>
      <c r="F789" t="s">
        <v>86</v>
      </c>
      <c r="G789" t="s">
        <v>180</v>
      </c>
      <c r="H789">
        <v>1</v>
      </c>
      <c r="I789">
        <v>24941</v>
      </c>
      <c r="J789">
        <v>15</v>
      </c>
      <c r="K789">
        <v>3741.15</v>
      </c>
      <c r="L789">
        <v>21199.85</v>
      </c>
      <c r="M789">
        <v>12623.73</v>
      </c>
      <c r="N789">
        <v>8576.1200000000008</v>
      </c>
      <c r="O789" t="s">
        <v>29</v>
      </c>
      <c r="P789">
        <v>922.69</v>
      </c>
      <c r="Q789" t="s">
        <v>30</v>
      </c>
      <c r="R789" t="s">
        <v>31</v>
      </c>
      <c r="S789">
        <v>5</v>
      </c>
      <c r="T789">
        <v>5</v>
      </c>
      <c r="U789" t="s">
        <v>32</v>
      </c>
      <c r="V789" t="s">
        <v>33</v>
      </c>
      <c r="W789">
        <v>2</v>
      </c>
    </row>
    <row r="790" spans="1:23" x14ac:dyDescent="0.25">
      <c r="A790" t="s">
        <v>1312</v>
      </c>
      <c r="B790" s="1">
        <v>45996</v>
      </c>
      <c r="C790" t="s">
        <v>912</v>
      </c>
      <c r="D790" t="s">
        <v>124</v>
      </c>
      <c r="E790" t="s">
        <v>26</v>
      </c>
      <c r="F790" t="s">
        <v>86</v>
      </c>
      <c r="G790" t="s">
        <v>87</v>
      </c>
      <c r="H790">
        <v>1</v>
      </c>
      <c r="I790">
        <v>79834</v>
      </c>
      <c r="J790">
        <v>20</v>
      </c>
      <c r="K790">
        <v>15966.8</v>
      </c>
      <c r="L790">
        <v>63867.199999999997</v>
      </c>
      <c r="M790">
        <v>47423.24</v>
      </c>
      <c r="N790">
        <v>16443.96</v>
      </c>
      <c r="O790" t="s">
        <v>60</v>
      </c>
      <c r="P790">
        <v>993.92</v>
      </c>
      <c r="Q790" t="s">
        <v>30</v>
      </c>
      <c r="R790" t="s">
        <v>41</v>
      </c>
      <c r="S790">
        <v>2</v>
      </c>
      <c r="T790">
        <v>1</v>
      </c>
      <c r="U790" t="s">
        <v>32</v>
      </c>
      <c r="V790" t="s">
        <v>33</v>
      </c>
      <c r="W790">
        <v>5</v>
      </c>
    </row>
    <row r="791" spans="1:23" x14ac:dyDescent="0.25">
      <c r="A791" t="s">
        <v>1313</v>
      </c>
      <c r="B791" s="1">
        <v>45847</v>
      </c>
      <c r="C791" t="s">
        <v>1314</v>
      </c>
      <c r="D791" t="s">
        <v>67</v>
      </c>
      <c r="E791" t="s">
        <v>46</v>
      </c>
      <c r="F791" t="s">
        <v>53</v>
      </c>
      <c r="G791" t="s">
        <v>54</v>
      </c>
      <c r="H791">
        <v>1</v>
      </c>
      <c r="I791">
        <v>38957</v>
      </c>
      <c r="J791">
        <v>0</v>
      </c>
      <c r="K791">
        <v>0</v>
      </c>
      <c r="L791">
        <v>38957</v>
      </c>
      <c r="M791">
        <v>23199.14</v>
      </c>
      <c r="N791">
        <v>15757.86</v>
      </c>
      <c r="O791" t="s">
        <v>60</v>
      </c>
      <c r="P791">
        <v>283.47000000000003</v>
      </c>
      <c r="Q791" t="s">
        <v>30</v>
      </c>
      <c r="R791" t="s">
        <v>31</v>
      </c>
      <c r="S791">
        <v>5</v>
      </c>
      <c r="T791">
        <v>6</v>
      </c>
      <c r="U791" t="s">
        <v>32</v>
      </c>
      <c r="V791" t="s">
        <v>42</v>
      </c>
    </row>
    <row r="792" spans="1:23" x14ac:dyDescent="0.25">
      <c r="A792" t="s">
        <v>1315</v>
      </c>
      <c r="B792" s="1">
        <v>45693</v>
      </c>
      <c r="C792" t="s">
        <v>1316</v>
      </c>
      <c r="D792" t="s">
        <v>79</v>
      </c>
      <c r="E792" t="s">
        <v>36</v>
      </c>
      <c r="F792" t="s">
        <v>86</v>
      </c>
      <c r="G792" t="s">
        <v>180</v>
      </c>
      <c r="H792">
        <v>1</v>
      </c>
      <c r="I792">
        <v>12562</v>
      </c>
      <c r="J792">
        <v>25</v>
      </c>
      <c r="K792">
        <v>3140.5</v>
      </c>
      <c r="L792">
        <v>9421.5</v>
      </c>
      <c r="M792">
        <v>7552.68</v>
      </c>
      <c r="N792">
        <v>1868.82</v>
      </c>
      <c r="O792" t="s">
        <v>49</v>
      </c>
      <c r="P792">
        <v>113.74</v>
      </c>
      <c r="Q792" t="s">
        <v>30</v>
      </c>
      <c r="R792" t="s">
        <v>31</v>
      </c>
      <c r="S792">
        <v>5</v>
      </c>
      <c r="T792">
        <v>5</v>
      </c>
      <c r="U792" t="s">
        <v>32</v>
      </c>
      <c r="V792" t="s">
        <v>33</v>
      </c>
      <c r="W792">
        <v>3</v>
      </c>
    </row>
    <row r="793" spans="1:23" x14ac:dyDescent="0.25">
      <c r="A793" t="s">
        <v>1317</v>
      </c>
      <c r="B793" s="1">
        <v>45917</v>
      </c>
      <c r="C793" t="s">
        <v>1316</v>
      </c>
      <c r="D793" t="s">
        <v>71</v>
      </c>
      <c r="E793" t="s">
        <v>46</v>
      </c>
      <c r="F793" t="s">
        <v>86</v>
      </c>
      <c r="G793" t="s">
        <v>87</v>
      </c>
      <c r="H793">
        <v>1</v>
      </c>
      <c r="I793">
        <v>12834</v>
      </c>
      <c r="J793">
        <v>10</v>
      </c>
      <c r="K793">
        <v>1283.4000000000001</v>
      </c>
      <c r="L793">
        <v>11550.6</v>
      </c>
      <c r="M793">
        <v>8061.67</v>
      </c>
      <c r="N793">
        <v>3488.93</v>
      </c>
      <c r="O793" t="s">
        <v>39</v>
      </c>
      <c r="P793">
        <v>239.52</v>
      </c>
      <c r="Q793" t="s">
        <v>68</v>
      </c>
      <c r="R793" t="s">
        <v>31</v>
      </c>
      <c r="S793">
        <v>5</v>
      </c>
      <c r="T793">
        <v>5</v>
      </c>
      <c r="U793" t="s">
        <v>32</v>
      </c>
      <c r="V793" t="s">
        <v>33</v>
      </c>
      <c r="W793">
        <v>2</v>
      </c>
    </row>
    <row r="794" spans="1:23" x14ac:dyDescent="0.25">
      <c r="A794" t="s">
        <v>1318</v>
      </c>
      <c r="B794" s="1">
        <v>45989</v>
      </c>
      <c r="C794" t="s">
        <v>172</v>
      </c>
      <c r="D794" t="s">
        <v>79</v>
      </c>
      <c r="E794" t="s">
        <v>36</v>
      </c>
      <c r="F794" t="s">
        <v>37</v>
      </c>
      <c r="G794" t="s">
        <v>224</v>
      </c>
      <c r="H794">
        <v>1</v>
      </c>
      <c r="I794">
        <v>28178</v>
      </c>
      <c r="J794">
        <v>0</v>
      </c>
      <c r="K794">
        <v>0</v>
      </c>
      <c r="L794">
        <v>28178</v>
      </c>
      <c r="M794">
        <v>16659.79</v>
      </c>
      <c r="N794">
        <v>11518.21</v>
      </c>
      <c r="O794" t="s">
        <v>39</v>
      </c>
      <c r="P794">
        <v>220.12</v>
      </c>
      <c r="Q794" t="s">
        <v>68</v>
      </c>
      <c r="R794" t="s">
        <v>31</v>
      </c>
      <c r="S794">
        <v>5</v>
      </c>
      <c r="T794">
        <v>5</v>
      </c>
      <c r="U794" t="s">
        <v>32</v>
      </c>
      <c r="V794" t="s">
        <v>33</v>
      </c>
      <c r="W794">
        <v>5</v>
      </c>
    </row>
    <row r="795" spans="1:23" x14ac:dyDescent="0.25">
      <c r="A795" t="s">
        <v>1319</v>
      </c>
      <c r="B795" s="1">
        <v>45832</v>
      </c>
      <c r="C795" t="s">
        <v>1050</v>
      </c>
      <c r="D795" t="s">
        <v>97</v>
      </c>
      <c r="E795" t="s">
        <v>36</v>
      </c>
      <c r="F795" t="s">
        <v>86</v>
      </c>
      <c r="G795" t="s">
        <v>110</v>
      </c>
      <c r="H795">
        <v>1</v>
      </c>
      <c r="I795">
        <v>67481</v>
      </c>
      <c r="J795">
        <v>5</v>
      </c>
      <c r="K795">
        <v>3374.05</v>
      </c>
      <c r="L795">
        <v>64106.95</v>
      </c>
      <c r="M795">
        <v>50173.68</v>
      </c>
      <c r="N795">
        <v>13933.27</v>
      </c>
      <c r="P795">
        <v>765.31</v>
      </c>
      <c r="Q795" t="s">
        <v>68</v>
      </c>
      <c r="R795" t="s">
        <v>41</v>
      </c>
      <c r="S795">
        <v>2</v>
      </c>
      <c r="T795">
        <v>1</v>
      </c>
      <c r="U795" t="s">
        <v>32</v>
      </c>
      <c r="V795" t="s">
        <v>33</v>
      </c>
      <c r="W795">
        <v>4</v>
      </c>
    </row>
    <row r="796" spans="1:23" x14ac:dyDescent="0.25">
      <c r="A796" t="s">
        <v>1320</v>
      </c>
      <c r="B796" s="1">
        <v>45664</v>
      </c>
      <c r="C796" t="s">
        <v>1052</v>
      </c>
      <c r="D796" t="s">
        <v>45</v>
      </c>
      <c r="E796" t="s">
        <v>46</v>
      </c>
      <c r="F796" t="s">
        <v>53</v>
      </c>
      <c r="G796" t="s">
        <v>268</v>
      </c>
      <c r="H796">
        <v>1</v>
      </c>
      <c r="I796">
        <v>9075</v>
      </c>
      <c r="J796">
        <v>15</v>
      </c>
      <c r="K796">
        <v>1361.25</v>
      </c>
      <c r="L796">
        <v>7713.75</v>
      </c>
      <c r="M796">
        <v>5388.71</v>
      </c>
      <c r="N796">
        <v>2325.04</v>
      </c>
      <c r="O796" t="s">
        <v>55</v>
      </c>
      <c r="P796">
        <v>2412.84</v>
      </c>
      <c r="Q796" t="s">
        <v>40</v>
      </c>
      <c r="R796" t="s">
        <v>41</v>
      </c>
      <c r="S796">
        <v>2</v>
      </c>
      <c r="T796">
        <v>4</v>
      </c>
      <c r="U796" t="s">
        <v>32</v>
      </c>
      <c r="V796" t="s">
        <v>50</v>
      </c>
      <c r="W796">
        <v>4</v>
      </c>
    </row>
    <row r="797" spans="1:23" x14ac:dyDescent="0.25">
      <c r="A797" t="s">
        <v>1321</v>
      </c>
      <c r="B797" s="1">
        <v>45873</v>
      </c>
      <c r="C797" t="s">
        <v>239</v>
      </c>
      <c r="D797" t="s">
        <v>71</v>
      </c>
      <c r="E797" t="s">
        <v>26</v>
      </c>
      <c r="F797" t="s">
        <v>86</v>
      </c>
      <c r="G797" t="s">
        <v>110</v>
      </c>
      <c r="H797">
        <v>1</v>
      </c>
      <c r="I797">
        <v>22546</v>
      </c>
      <c r="J797">
        <v>5</v>
      </c>
      <c r="K797">
        <v>1127.3</v>
      </c>
      <c r="L797">
        <v>21418.7</v>
      </c>
      <c r="M797">
        <v>12204.86</v>
      </c>
      <c r="N797">
        <v>9213.84</v>
      </c>
      <c r="O797" t="s">
        <v>39</v>
      </c>
      <c r="P797">
        <v>1590.11</v>
      </c>
      <c r="Q797" t="s">
        <v>30</v>
      </c>
      <c r="R797" t="s">
        <v>41</v>
      </c>
      <c r="S797">
        <v>2</v>
      </c>
      <c r="T797">
        <v>4</v>
      </c>
      <c r="U797" t="s">
        <v>56</v>
      </c>
      <c r="V797" t="s">
        <v>33</v>
      </c>
      <c r="W797">
        <v>1</v>
      </c>
    </row>
    <row r="798" spans="1:23" x14ac:dyDescent="0.25">
      <c r="A798" t="s">
        <v>1322</v>
      </c>
      <c r="B798" s="1">
        <v>45908</v>
      </c>
      <c r="C798" t="s">
        <v>903</v>
      </c>
      <c r="D798" t="s">
        <v>25</v>
      </c>
      <c r="E798" t="s">
        <v>46</v>
      </c>
      <c r="F798" t="s">
        <v>27</v>
      </c>
      <c r="G798" t="s">
        <v>113</v>
      </c>
      <c r="H798">
        <v>1</v>
      </c>
      <c r="I798">
        <v>28897</v>
      </c>
      <c r="J798">
        <v>20</v>
      </c>
      <c r="K798">
        <v>5779.4</v>
      </c>
      <c r="L798">
        <v>23117.599999999999</v>
      </c>
      <c r="M798">
        <v>18115.03</v>
      </c>
      <c r="N798">
        <v>5002.57</v>
      </c>
      <c r="O798" t="s">
        <v>55</v>
      </c>
      <c r="P798">
        <v>894.54</v>
      </c>
      <c r="Q798" t="s">
        <v>68</v>
      </c>
      <c r="R798" t="s">
        <v>31</v>
      </c>
      <c r="S798">
        <v>5</v>
      </c>
      <c r="T798">
        <v>5</v>
      </c>
      <c r="U798" t="s">
        <v>32</v>
      </c>
      <c r="V798" t="s">
        <v>50</v>
      </c>
      <c r="W798">
        <v>5</v>
      </c>
    </row>
    <row r="799" spans="1:23" x14ac:dyDescent="0.25">
      <c r="A799" t="s">
        <v>1323</v>
      </c>
      <c r="B799" s="1">
        <v>45712</v>
      </c>
      <c r="C799" t="s">
        <v>1324</v>
      </c>
      <c r="D799" t="s">
        <v>67</v>
      </c>
      <c r="E799" t="s">
        <v>26</v>
      </c>
      <c r="F799" t="s">
        <v>47</v>
      </c>
      <c r="G799" t="s">
        <v>138</v>
      </c>
      <c r="H799">
        <v>1</v>
      </c>
      <c r="I799">
        <v>31351</v>
      </c>
      <c r="J799">
        <v>15</v>
      </c>
      <c r="K799">
        <v>4702.6499999999996</v>
      </c>
      <c r="L799">
        <v>26648.35</v>
      </c>
      <c r="M799">
        <v>21561.1</v>
      </c>
      <c r="N799">
        <v>5087.25</v>
      </c>
      <c r="O799" t="s">
        <v>39</v>
      </c>
      <c r="P799">
        <v>2322.3200000000002</v>
      </c>
      <c r="Q799" t="s">
        <v>73</v>
      </c>
      <c r="R799" t="s">
        <v>31</v>
      </c>
      <c r="S799">
        <v>5</v>
      </c>
      <c r="T799">
        <v>6</v>
      </c>
      <c r="U799" t="s">
        <v>56</v>
      </c>
      <c r="V799" t="s">
        <v>33</v>
      </c>
      <c r="W799">
        <v>5</v>
      </c>
    </row>
    <row r="800" spans="1:23" x14ac:dyDescent="0.25">
      <c r="A800" t="s">
        <v>1325</v>
      </c>
      <c r="B800" s="1">
        <v>45879</v>
      </c>
      <c r="C800" t="s">
        <v>1326</v>
      </c>
      <c r="D800" t="s">
        <v>67</v>
      </c>
      <c r="E800" t="s">
        <v>36</v>
      </c>
      <c r="F800" t="s">
        <v>86</v>
      </c>
      <c r="G800" t="s">
        <v>180</v>
      </c>
      <c r="H800">
        <v>3</v>
      </c>
      <c r="I800">
        <v>44528</v>
      </c>
      <c r="J800">
        <v>25</v>
      </c>
      <c r="K800">
        <v>33396</v>
      </c>
      <c r="L800">
        <v>100188</v>
      </c>
      <c r="M800">
        <v>68009.539999999994</v>
      </c>
      <c r="N800">
        <v>32178.46</v>
      </c>
      <c r="O800" t="s">
        <v>60</v>
      </c>
      <c r="P800">
        <v>962.34</v>
      </c>
      <c r="Q800" t="s">
        <v>73</v>
      </c>
      <c r="R800" t="s">
        <v>31</v>
      </c>
      <c r="S800">
        <v>5</v>
      </c>
      <c r="T800">
        <v>5</v>
      </c>
      <c r="U800" t="s">
        <v>32</v>
      </c>
      <c r="V800" t="s">
        <v>33</v>
      </c>
      <c r="W800">
        <v>3</v>
      </c>
    </row>
    <row r="801" spans="1:23" x14ac:dyDescent="0.25">
      <c r="A801" t="s">
        <v>1327</v>
      </c>
      <c r="B801" s="1">
        <v>45843</v>
      </c>
      <c r="C801" t="s">
        <v>1328</v>
      </c>
      <c r="D801" t="s">
        <v>79</v>
      </c>
      <c r="E801" t="s">
        <v>26</v>
      </c>
      <c r="F801" t="s">
        <v>37</v>
      </c>
      <c r="G801" t="s">
        <v>161</v>
      </c>
      <c r="H801">
        <v>2</v>
      </c>
      <c r="I801">
        <v>38150</v>
      </c>
      <c r="J801">
        <v>10</v>
      </c>
      <c r="K801">
        <v>7630</v>
      </c>
      <c r="L801">
        <v>68670</v>
      </c>
      <c r="M801">
        <v>38216.07</v>
      </c>
      <c r="N801">
        <v>30453.93</v>
      </c>
      <c r="O801" t="s">
        <v>91</v>
      </c>
      <c r="P801">
        <v>1609.73</v>
      </c>
      <c r="Q801" t="s">
        <v>73</v>
      </c>
      <c r="R801" t="s">
        <v>41</v>
      </c>
      <c r="S801">
        <v>2</v>
      </c>
      <c r="T801">
        <v>2</v>
      </c>
      <c r="U801" t="s">
        <v>32</v>
      </c>
      <c r="V801" t="s">
        <v>33</v>
      </c>
      <c r="W801">
        <v>5</v>
      </c>
    </row>
    <row r="802" spans="1:23" x14ac:dyDescent="0.25">
      <c r="A802" t="s">
        <v>1329</v>
      </c>
      <c r="B802" s="1">
        <v>45983</v>
      </c>
      <c r="C802" t="s">
        <v>695</v>
      </c>
      <c r="D802" t="s">
        <v>25</v>
      </c>
      <c r="E802" t="s">
        <v>36</v>
      </c>
      <c r="F802" t="s">
        <v>37</v>
      </c>
      <c r="G802" t="s">
        <v>313</v>
      </c>
      <c r="H802">
        <v>2</v>
      </c>
      <c r="I802">
        <v>37683</v>
      </c>
      <c r="J802">
        <v>0</v>
      </c>
      <c r="K802">
        <v>0</v>
      </c>
      <c r="L802">
        <v>75366</v>
      </c>
      <c r="M802">
        <v>55010.13</v>
      </c>
      <c r="N802">
        <v>20355.87</v>
      </c>
      <c r="O802" t="s">
        <v>55</v>
      </c>
      <c r="P802">
        <v>2345.7800000000002</v>
      </c>
      <c r="Q802" t="s">
        <v>30</v>
      </c>
      <c r="R802" t="s">
        <v>31</v>
      </c>
      <c r="S802">
        <v>5</v>
      </c>
      <c r="T802">
        <v>1</v>
      </c>
      <c r="U802" t="s">
        <v>32</v>
      </c>
      <c r="V802" t="s">
        <v>42</v>
      </c>
    </row>
    <row r="803" spans="1:23" x14ac:dyDescent="0.25">
      <c r="A803" t="s">
        <v>1330</v>
      </c>
      <c r="B803" s="1">
        <v>45893</v>
      </c>
      <c r="C803" t="s">
        <v>237</v>
      </c>
      <c r="D803" t="s">
        <v>154</v>
      </c>
      <c r="E803" t="s">
        <v>26</v>
      </c>
      <c r="F803" t="s">
        <v>86</v>
      </c>
      <c r="G803" t="s">
        <v>127</v>
      </c>
      <c r="H803">
        <v>1</v>
      </c>
      <c r="I803">
        <v>42144</v>
      </c>
      <c r="J803">
        <v>0</v>
      </c>
      <c r="K803">
        <v>0</v>
      </c>
      <c r="L803">
        <v>42144</v>
      </c>
      <c r="M803">
        <v>23680.02</v>
      </c>
      <c r="N803">
        <v>18463.98</v>
      </c>
      <c r="O803" t="s">
        <v>91</v>
      </c>
      <c r="P803">
        <v>1162.26</v>
      </c>
      <c r="Q803" t="s">
        <v>68</v>
      </c>
      <c r="R803" t="s">
        <v>31</v>
      </c>
      <c r="S803">
        <v>5</v>
      </c>
      <c r="T803">
        <v>3</v>
      </c>
      <c r="U803" t="s">
        <v>32</v>
      </c>
      <c r="V803" t="s">
        <v>33</v>
      </c>
      <c r="W803">
        <v>2</v>
      </c>
    </row>
    <row r="804" spans="1:23" x14ac:dyDescent="0.25">
      <c r="A804" t="s">
        <v>1331</v>
      </c>
      <c r="B804" s="1">
        <v>46020</v>
      </c>
      <c r="C804" t="s">
        <v>1332</v>
      </c>
      <c r="D804" t="s">
        <v>97</v>
      </c>
      <c r="E804" t="s">
        <v>46</v>
      </c>
      <c r="F804" t="s">
        <v>27</v>
      </c>
      <c r="G804" t="s">
        <v>76</v>
      </c>
      <c r="H804">
        <v>3</v>
      </c>
      <c r="I804">
        <v>4727</v>
      </c>
      <c r="J804">
        <v>20</v>
      </c>
      <c r="K804">
        <v>2836.2</v>
      </c>
      <c r="L804">
        <v>11344.8</v>
      </c>
      <c r="M804">
        <v>8650.33</v>
      </c>
      <c r="N804">
        <v>2694.47</v>
      </c>
      <c r="O804" t="s">
        <v>29</v>
      </c>
      <c r="P804">
        <v>2327.09</v>
      </c>
      <c r="Q804" t="s">
        <v>30</v>
      </c>
      <c r="R804" t="s">
        <v>41</v>
      </c>
      <c r="S804">
        <v>2</v>
      </c>
      <c r="T804">
        <v>2</v>
      </c>
      <c r="U804" t="s">
        <v>32</v>
      </c>
      <c r="V804" t="s">
        <v>33</v>
      </c>
      <c r="W804">
        <v>2</v>
      </c>
    </row>
    <row r="805" spans="1:23" x14ac:dyDescent="0.25">
      <c r="A805" t="s">
        <v>1333</v>
      </c>
      <c r="B805" s="1">
        <v>45736</v>
      </c>
      <c r="C805" t="s">
        <v>140</v>
      </c>
      <c r="D805" t="s">
        <v>25</v>
      </c>
      <c r="E805" t="s">
        <v>26</v>
      </c>
      <c r="F805" t="s">
        <v>53</v>
      </c>
      <c r="G805" t="s">
        <v>151</v>
      </c>
      <c r="H805">
        <v>1</v>
      </c>
      <c r="I805">
        <v>70463</v>
      </c>
      <c r="J805">
        <v>10</v>
      </c>
      <c r="K805">
        <v>7046.3</v>
      </c>
      <c r="L805">
        <v>63416.7</v>
      </c>
      <c r="M805">
        <v>45692.47</v>
      </c>
      <c r="N805">
        <v>17724.23</v>
      </c>
      <c r="O805" t="s">
        <v>29</v>
      </c>
      <c r="P805">
        <v>1768.5</v>
      </c>
      <c r="Q805" t="s">
        <v>40</v>
      </c>
      <c r="R805" t="s">
        <v>31</v>
      </c>
      <c r="S805">
        <v>5</v>
      </c>
      <c r="T805">
        <v>4</v>
      </c>
      <c r="U805" t="s">
        <v>32</v>
      </c>
      <c r="V805" t="s">
        <v>33</v>
      </c>
      <c r="W805">
        <v>5</v>
      </c>
    </row>
    <row r="806" spans="1:23" x14ac:dyDescent="0.25">
      <c r="A806" t="s">
        <v>1334</v>
      </c>
      <c r="B806" s="1">
        <v>45880</v>
      </c>
      <c r="C806" t="s">
        <v>948</v>
      </c>
      <c r="D806" t="s">
        <v>124</v>
      </c>
      <c r="E806" t="s">
        <v>46</v>
      </c>
      <c r="F806" t="s">
        <v>37</v>
      </c>
      <c r="G806" t="s">
        <v>313</v>
      </c>
      <c r="H806">
        <v>1</v>
      </c>
      <c r="I806">
        <v>30523</v>
      </c>
      <c r="J806">
        <v>0</v>
      </c>
      <c r="K806">
        <v>0</v>
      </c>
      <c r="L806">
        <v>30523</v>
      </c>
      <c r="M806">
        <v>24634.11</v>
      </c>
      <c r="N806">
        <v>5888.89</v>
      </c>
      <c r="O806" t="s">
        <v>55</v>
      </c>
      <c r="P806">
        <v>2095.36</v>
      </c>
      <c r="Q806" t="s">
        <v>40</v>
      </c>
      <c r="R806" t="s">
        <v>41</v>
      </c>
      <c r="S806">
        <v>2</v>
      </c>
      <c r="T806">
        <v>1</v>
      </c>
      <c r="U806" t="s">
        <v>32</v>
      </c>
      <c r="V806" t="s">
        <v>33</v>
      </c>
      <c r="W806">
        <v>1</v>
      </c>
    </row>
    <row r="807" spans="1:23" x14ac:dyDescent="0.25">
      <c r="A807" t="s">
        <v>1335</v>
      </c>
      <c r="B807" s="1">
        <v>45748</v>
      </c>
      <c r="C807" t="s">
        <v>156</v>
      </c>
      <c r="D807" t="s">
        <v>67</v>
      </c>
      <c r="E807" t="s">
        <v>36</v>
      </c>
      <c r="F807" t="s">
        <v>47</v>
      </c>
      <c r="G807" t="s">
        <v>146</v>
      </c>
      <c r="H807">
        <v>2</v>
      </c>
      <c r="I807">
        <v>30789</v>
      </c>
      <c r="J807">
        <v>15</v>
      </c>
      <c r="K807">
        <v>9236.7000000000007</v>
      </c>
      <c r="L807">
        <v>52341.3</v>
      </c>
      <c r="M807">
        <v>36794.61</v>
      </c>
      <c r="N807">
        <v>15546.69</v>
      </c>
      <c r="O807" t="s">
        <v>91</v>
      </c>
      <c r="P807">
        <v>573.62</v>
      </c>
      <c r="Q807" t="s">
        <v>30</v>
      </c>
      <c r="R807" t="s">
        <v>31</v>
      </c>
      <c r="S807">
        <v>5</v>
      </c>
      <c r="T807">
        <v>4</v>
      </c>
      <c r="U807" t="s">
        <v>32</v>
      </c>
      <c r="V807" t="s">
        <v>33</v>
      </c>
      <c r="W807">
        <v>2</v>
      </c>
    </row>
    <row r="808" spans="1:23" x14ac:dyDescent="0.25">
      <c r="A808" t="s">
        <v>1336</v>
      </c>
      <c r="B808" s="1">
        <v>45925</v>
      </c>
      <c r="C808" t="s">
        <v>828</v>
      </c>
      <c r="D808" t="s">
        <v>71</v>
      </c>
      <c r="E808" t="s">
        <v>36</v>
      </c>
      <c r="F808" t="s">
        <v>53</v>
      </c>
      <c r="G808" t="s">
        <v>59</v>
      </c>
      <c r="H808">
        <v>1</v>
      </c>
      <c r="I808">
        <v>71019</v>
      </c>
      <c r="J808">
        <v>10</v>
      </c>
      <c r="K808">
        <v>7101.9</v>
      </c>
      <c r="L808">
        <v>63917.1</v>
      </c>
      <c r="M808">
        <v>39221.72</v>
      </c>
      <c r="N808">
        <v>24695.38</v>
      </c>
      <c r="O808" t="s">
        <v>60</v>
      </c>
      <c r="P808">
        <v>692.27</v>
      </c>
      <c r="Q808" t="s">
        <v>30</v>
      </c>
      <c r="R808" t="s">
        <v>41</v>
      </c>
      <c r="S808">
        <v>2</v>
      </c>
      <c r="T808">
        <v>2</v>
      </c>
      <c r="U808" t="s">
        <v>32</v>
      </c>
      <c r="V808" t="s">
        <v>33</v>
      </c>
      <c r="W808">
        <v>5</v>
      </c>
    </row>
    <row r="809" spans="1:23" x14ac:dyDescent="0.25">
      <c r="A809" t="s">
        <v>1337</v>
      </c>
      <c r="B809" s="1">
        <v>45991</v>
      </c>
      <c r="C809" t="s">
        <v>191</v>
      </c>
      <c r="D809" t="s">
        <v>45</v>
      </c>
      <c r="E809" t="s">
        <v>46</v>
      </c>
      <c r="F809" t="s">
        <v>47</v>
      </c>
      <c r="G809" t="s">
        <v>48</v>
      </c>
      <c r="H809">
        <v>2</v>
      </c>
      <c r="I809">
        <v>31697</v>
      </c>
      <c r="J809">
        <v>0</v>
      </c>
      <c r="K809">
        <v>0</v>
      </c>
      <c r="L809">
        <v>63394</v>
      </c>
      <c r="M809">
        <v>48494.66</v>
      </c>
      <c r="N809">
        <v>14899.34</v>
      </c>
      <c r="O809" t="s">
        <v>91</v>
      </c>
      <c r="P809">
        <v>1185.6500000000001</v>
      </c>
      <c r="Q809" t="s">
        <v>83</v>
      </c>
      <c r="R809" t="s">
        <v>31</v>
      </c>
      <c r="S809">
        <v>5</v>
      </c>
      <c r="T809">
        <v>4</v>
      </c>
      <c r="U809" t="s">
        <v>32</v>
      </c>
      <c r="V809" t="s">
        <v>33</v>
      </c>
      <c r="W809">
        <v>5</v>
      </c>
    </row>
    <row r="810" spans="1:23" x14ac:dyDescent="0.25">
      <c r="A810" t="s">
        <v>1338</v>
      </c>
      <c r="B810" s="1">
        <v>45796</v>
      </c>
      <c r="C810" t="s">
        <v>1339</v>
      </c>
      <c r="D810" t="s">
        <v>67</v>
      </c>
      <c r="E810" t="s">
        <v>46</v>
      </c>
      <c r="F810" t="s">
        <v>47</v>
      </c>
      <c r="G810" t="s">
        <v>138</v>
      </c>
      <c r="H810">
        <v>1</v>
      </c>
      <c r="I810">
        <v>31036</v>
      </c>
      <c r="J810">
        <v>0</v>
      </c>
      <c r="K810">
        <v>0</v>
      </c>
      <c r="L810">
        <v>31036</v>
      </c>
      <c r="M810">
        <v>18454.310000000001</v>
      </c>
      <c r="N810">
        <v>12581.69</v>
      </c>
      <c r="O810" t="s">
        <v>91</v>
      </c>
      <c r="P810">
        <v>289.57</v>
      </c>
      <c r="Q810" t="s">
        <v>40</v>
      </c>
      <c r="R810" t="s">
        <v>41</v>
      </c>
      <c r="S810">
        <v>2</v>
      </c>
      <c r="T810">
        <v>4</v>
      </c>
      <c r="U810" t="s">
        <v>56</v>
      </c>
      <c r="V810" t="s">
        <v>33</v>
      </c>
      <c r="W810">
        <v>1</v>
      </c>
    </row>
    <row r="811" spans="1:23" x14ac:dyDescent="0.25">
      <c r="A811" t="s">
        <v>1340</v>
      </c>
      <c r="B811" s="1">
        <v>45973</v>
      </c>
      <c r="C811" t="s">
        <v>360</v>
      </c>
      <c r="D811" t="s">
        <v>124</v>
      </c>
      <c r="E811" t="s">
        <v>36</v>
      </c>
      <c r="F811" t="s">
        <v>53</v>
      </c>
      <c r="G811" t="s">
        <v>151</v>
      </c>
      <c r="H811">
        <v>2</v>
      </c>
      <c r="I811">
        <v>73272</v>
      </c>
      <c r="J811">
        <v>25</v>
      </c>
      <c r="K811">
        <v>36636</v>
      </c>
      <c r="L811">
        <v>109908</v>
      </c>
      <c r="M811">
        <v>62576.61</v>
      </c>
      <c r="N811">
        <v>47331.39</v>
      </c>
      <c r="O811" t="s">
        <v>91</v>
      </c>
      <c r="P811">
        <v>349.37</v>
      </c>
      <c r="Q811" t="s">
        <v>40</v>
      </c>
      <c r="R811" t="s">
        <v>41</v>
      </c>
      <c r="S811">
        <v>2</v>
      </c>
      <c r="T811">
        <v>1</v>
      </c>
      <c r="U811" t="s">
        <v>32</v>
      </c>
      <c r="V811" t="s">
        <v>42</v>
      </c>
    </row>
    <row r="812" spans="1:23" x14ac:dyDescent="0.25">
      <c r="A812" t="s">
        <v>1341</v>
      </c>
      <c r="B812" s="1">
        <v>45933</v>
      </c>
      <c r="C812" t="s">
        <v>574</v>
      </c>
      <c r="D812" t="s">
        <v>79</v>
      </c>
      <c r="E812" t="s">
        <v>26</v>
      </c>
      <c r="F812" t="s">
        <v>86</v>
      </c>
      <c r="G812" t="s">
        <v>87</v>
      </c>
      <c r="H812">
        <v>2</v>
      </c>
      <c r="I812">
        <v>50388</v>
      </c>
      <c r="J812">
        <v>20</v>
      </c>
      <c r="K812">
        <v>20155.2</v>
      </c>
      <c r="L812">
        <v>80620.800000000003</v>
      </c>
      <c r="M812">
        <v>61979.1</v>
      </c>
      <c r="N812">
        <v>18641.7</v>
      </c>
      <c r="O812" t="s">
        <v>60</v>
      </c>
      <c r="P812">
        <v>1703.03</v>
      </c>
      <c r="Q812" t="s">
        <v>30</v>
      </c>
      <c r="R812" t="s">
        <v>41</v>
      </c>
      <c r="S812">
        <v>2</v>
      </c>
      <c r="T812">
        <v>1</v>
      </c>
      <c r="U812" t="s">
        <v>32</v>
      </c>
      <c r="V812" t="s">
        <v>33</v>
      </c>
      <c r="W812">
        <v>3</v>
      </c>
    </row>
    <row r="813" spans="1:23" x14ac:dyDescent="0.25">
      <c r="A813" t="s">
        <v>1342</v>
      </c>
      <c r="B813" s="1">
        <v>45905</v>
      </c>
      <c r="C813" t="s">
        <v>1343</v>
      </c>
      <c r="D813" t="s">
        <v>25</v>
      </c>
      <c r="E813" t="s">
        <v>46</v>
      </c>
      <c r="F813" t="s">
        <v>27</v>
      </c>
      <c r="G813" t="s">
        <v>76</v>
      </c>
      <c r="H813">
        <v>1</v>
      </c>
      <c r="I813">
        <v>5425</v>
      </c>
      <c r="J813">
        <v>0</v>
      </c>
      <c r="K813">
        <v>0</v>
      </c>
      <c r="L813">
        <v>5425</v>
      </c>
      <c r="M813">
        <v>3141.47</v>
      </c>
      <c r="N813">
        <v>2283.5300000000002</v>
      </c>
      <c r="O813" t="s">
        <v>91</v>
      </c>
      <c r="P813">
        <v>1862.37</v>
      </c>
      <c r="Q813" t="s">
        <v>73</v>
      </c>
      <c r="R813" t="s">
        <v>31</v>
      </c>
      <c r="S813">
        <v>5</v>
      </c>
      <c r="T813">
        <v>4</v>
      </c>
      <c r="U813" t="s">
        <v>32</v>
      </c>
      <c r="V813" t="s">
        <v>33</v>
      </c>
      <c r="W813">
        <v>2</v>
      </c>
    </row>
    <row r="814" spans="1:23" x14ac:dyDescent="0.25">
      <c r="A814" t="s">
        <v>1344</v>
      </c>
      <c r="B814" s="1">
        <v>45896</v>
      </c>
      <c r="C814" t="s">
        <v>633</v>
      </c>
      <c r="D814" t="s">
        <v>124</v>
      </c>
      <c r="E814" t="s">
        <v>26</v>
      </c>
      <c r="F814" t="s">
        <v>86</v>
      </c>
      <c r="G814" t="s">
        <v>94</v>
      </c>
      <c r="H814">
        <v>1</v>
      </c>
      <c r="I814">
        <v>78367</v>
      </c>
      <c r="J814">
        <v>5</v>
      </c>
      <c r="K814">
        <v>3918.35</v>
      </c>
      <c r="L814">
        <v>74448.649999999994</v>
      </c>
      <c r="M814">
        <v>58949.13</v>
      </c>
      <c r="N814">
        <v>15499.52</v>
      </c>
      <c r="O814" t="s">
        <v>49</v>
      </c>
      <c r="P814">
        <v>225.86</v>
      </c>
      <c r="Q814" t="s">
        <v>73</v>
      </c>
      <c r="R814" t="s">
        <v>31</v>
      </c>
      <c r="S814">
        <v>5</v>
      </c>
      <c r="T814">
        <v>2</v>
      </c>
      <c r="U814" t="s">
        <v>32</v>
      </c>
      <c r="V814" t="s">
        <v>50</v>
      </c>
      <c r="W814">
        <v>2</v>
      </c>
    </row>
    <row r="815" spans="1:23" x14ac:dyDescent="0.25">
      <c r="A815" t="s">
        <v>1345</v>
      </c>
      <c r="B815" s="1">
        <v>45881</v>
      </c>
      <c r="C815" t="s">
        <v>1346</v>
      </c>
      <c r="D815" t="s">
        <v>63</v>
      </c>
      <c r="E815" t="s">
        <v>46</v>
      </c>
      <c r="F815" t="s">
        <v>53</v>
      </c>
      <c r="G815" t="s">
        <v>151</v>
      </c>
      <c r="H815">
        <v>1</v>
      </c>
      <c r="I815">
        <v>95288</v>
      </c>
      <c r="J815">
        <v>10</v>
      </c>
      <c r="K815">
        <v>9528.7999999999993</v>
      </c>
      <c r="L815">
        <v>85759.2</v>
      </c>
      <c r="M815">
        <v>64424.54</v>
      </c>
      <c r="N815">
        <v>21334.66</v>
      </c>
      <c r="O815" t="s">
        <v>60</v>
      </c>
      <c r="P815">
        <v>2403.5500000000002</v>
      </c>
      <c r="Q815" t="s">
        <v>40</v>
      </c>
      <c r="R815" t="s">
        <v>41</v>
      </c>
      <c r="S815">
        <v>2</v>
      </c>
      <c r="T815">
        <v>5</v>
      </c>
      <c r="U815" t="s">
        <v>32</v>
      </c>
      <c r="V815" t="s">
        <v>50</v>
      </c>
      <c r="W815">
        <v>3</v>
      </c>
    </row>
    <row r="816" spans="1:23" x14ac:dyDescent="0.25">
      <c r="A816" t="s">
        <v>1347</v>
      </c>
      <c r="B816" s="1">
        <v>45961</v>
      </c>
      <c r="C816" t="s">
        <v>274</v>
      </c>
      <c r="D816" t="s">
        <v>63</v>
      </c>
      <c r="E816" t="s">
        <v>46</v>
      </c>
      <c r="F816" t="s">
        <v>47</v>
      </c>
      <c r="G816" t="s">
        <v>138</v>
      </c>
      <c r="H816">
        <v>3</v>
      </c>
      <c r="I816">
        <v>16710</v>
      </c>
      <c r="J816">
        <v>25</v>
      </c>
      <c r="K816">
        <v>12532.5</v>
      </c>
      <c r="L816">
        <v>37597.5</v>
      </c>
      <c r="M816">
        <v>26809.23</v>
      </c>
      <c r="N816">
        <v>10788.27</v>
      </c>
      <c r="O816" t="s">
        <v>60</v>
      </c>
      <c r="P816">
        <v>615.17999999999995</v>
      </c>
      <c r="Q816" t="s">
        <v>83</v>
      </c>
      <c r="R816" t="s">
        <v>31</v>
      </c>
      <c r="S816">
        <v>5</v>
      </c>
      <c r="T816">
        <v>7</v>
      </c>
      <c r="U816" t="s">
        <v>56</v>
      </c>
      <c r="V816" t="s">
        <v>33</v>
      </c>
      <c r="W816">
        <v>5</v>
      </c>
    </row>
    <row r="817" spans="1:23" x14ac:dyDescent="0.25">
      <c r="A817" t="s">
        <v>1348</v>
      </c>
      <c r="B817" s="1">
        <v>45795</v>
      </c>
      <c r="C817" t="s">
        <v>245</v>
      </c>
      <c r="D817" t="s">
        <v>45</v>
      </c>
      <c r="E817" t="s">
        <v>46</v>
      </c>
      <c r="F817" t="s">
        <v>53</v>
      </c>
      <c r="G817" t="s">
        <v>59</v>
      </c>
      <c r="H817">
        <v>1</v>
      </c>
      <c r="I817">
        <v>110130</v>
      </c>
      <c r="J817">
        <v>10</v>
      </c>
      <c r="K817">
        <v>11013</v>
      </c>
      <c r="L817">
        <v>99117</v>
      </c>
      <c r="M817">
        <v>72721.75</v>
      </c>
      <c r="N817">
        <v>26395.25</v>
      </c>
      <c r="O817" t="s">
        <v>39</v>
      </c>
      <c r="P817">
        <v>2246.0500000000002</v>
      </c>
      <c r="Q817" t="s">
        <v>40</v>
      </c>
      <c r="R817" t="s">
        <v>41</v>
      </c>
      <c r="S817">
        <v>2</v>
      </c>
      <c r="T817">
        <v>4</v>
      </c>
      <c r="U817" t="s">
        <v>32</v>
      </c>
      <c r="V817" t="s">
        <v>50</v>
      </c>
      <c r="W817">
        <v>4</v>
      </c>
    </row>
    <row r="818" spans="1:23" x14ac:dyDescent="0.25">
      <c r="A818" t="s">
        <v>1349</v>
      </c>
      <c r="B818" s="1">
        <v>45823</v>
      </c>
      <c r="C818" t="s">
        <v>1350</v>
      </c>
      <c r="D818" t="s">
        <v>71</v>
      </c>
      <c r="E818" t="s">
        <v>36</v>
      </c>
      <c r="F818" t="s">
        <v>37</v>
      </c>
      <c r="G818" t="s">
        <v>38</v>
      </c>
      <c r="H818">
        <v>1</v>
      </c>
      <c r="I818">
        <v>39310</v>
      </c>
      <c r="J818">
        <v>20</v>
      </c>
      <c r="K818">
        <v>7862</v>
      </c>
      <c r="L818">
        <v>31448</v>
      </c>
      <c r="M818">
        <v>17674.36</v>
      </c>
      <c r="N818">
        <v>13773.64</v>
      </c>
      <c r="O818" t="s">
        <v>49</v>
      </c>
      <c r="P818">
        <v>315.19</v>
      </c>
      <c r="Q818" t="s">
        <v>83</v>
      </c>
      <c r="R818" t="s">
        <v>31</v>
      </c>
      <c r="S818">
        <v>5</v>
      </c>
      <c r="T818">
        <v>5</v>
      </c>
      <c r="U818" t="s">
        <v>32</v>
      </c>
      <c r="V818" t="s">
        <v>33</v>
      </c>
      <c r="W818">
        <v>4</v>
      </c>
    </row>
    <row r="819" spans="1:23" x14ac:dyDescent="0.25">
      <c r="A819" t="s">
        <v>1351</v>
      </c>
      <c r="B819" s="1">
        <v>45783</v>
      </c>
      <c r="C819" t="s">
        <v>543</v>
      </c>
      <c r="D819" t="s">
        <v>45</v>
      </c>
      <c r="E819" t="s">
        <v>46</v>
      </c>
      <c r="F819" t="s">
        <v>27</v>
      </c>
      <c r="G819" t="s">
        <v>113</v>
      </c>
      <c r="H819">
        <v>1</v>
      </c>
      <c r="I819">
        <v>12173</v>
      </c>
      <c r="J819">
        <v>0</v>
      </c>
      <c r="K819">
        <v>0</v>
      </c>
      <c r="L819">
        <v>12173</v>
      </c>
      <c r="M819">
        <v>9379.5300000000007</v>
      </c>
      <c r="N819">
        <v>2793.47</v>
      </c>
      <c r="O819" t="s">
        <v>29</v>
      </c>
      <c r="P819">
        <v>209.86</v>
      </c>
      <c r="Q819" t="s">
        <v>68</v>
      </c>
      <c r="R819" t="s">
        <v>41</v>
      </c>
      <c r="S819">
        <v>2</v>
      </c>
      <c r="T819">
        <v>3</v>
      </c>
      <c r="U819" t="s">
        <v>32</v>
      </c>
      <c r="V819" t="s">
        <v>50</v>
      </c>
      <c r="W819">
        <v>3</v>
      </c>
    </row>
    <row r="820" spans="1:23" x14ac:dyDescent="0.25">
      <c r="A820" t="s">
        <v>1352</v>
      </c>
      <c r="B820" s="1">
        <v>45702</v>
      </c>
      <c r="C820" t="s">
        <v>1353</v>
      </c>
      <c r="D820" t="s">
        <v>124</v>
      </c>
      <c r="E820" t="s">
        <v>46</v>
      </c>
      <c r="F820" t="s">
        <v>53</v>
      </c>
      <c r="G820" t="s">
        <v>268</v>
      </c>
      <c r="H820">
        <v>1</v>
      </c>
      <c r="I820">
        <v>18975</v>
      </c>
      <c r="J820">
        <v>0</v>
      </c>
      <c r="K820">
        <v>0</v>
      </c>
      <c r="L820">
        <v>18975</v>
      </c>
      <c r="M820">
        <v>13006.85</v>
      </c>
      <c r="N820">
        <v>5968.15</v>
      </c>
      <c r="O820" t="s">
        <v>60</v>
      </c>
      <c r="P820">
        <v>1725.62</v>
      </c>
      <c r="Q820" t="s">
        <v>30</v>
      </c>
      <c r="R820" t="s">
        <v>41</v>
      </c>
      <c r="S820">
        <v>2</v>
      </c>
      <c r="T820">
        <v>6</v>
      </c>
      <c r="U820" t="s">
        <v>32</v>
      </c>
      <c r="V820" t="s">
        <v>50</v>
      </c>
      <c r="W820">
        <v>5</v>
      </c>
    </row>
    <row r="821" spans="1:23" x14ac:dyDescent="0.25">
      <c r="A821" t="s">
        <v>1354</v>
      </c>
      <c r="B821" s="1">
        <v>45800</v>
      </c>
      <c r="C821" t="s">
        <v>1355</v>
      </c>
      <c r="D821" t="s">
        <v>97</v>
      </c>
      <c r="E821" t="s">
        <v>26</v>
      </c>
      <c r="F821" t="s">
        <v>37</v>
      </c>
      <c r="G821" t="s">
        <v>161</v>
      </c>
      <c r="H821">
        <v>3</v>
      </c>
      <c r="I821">
        <v>39721</v>
      </c>
      <c r="J821">
        <v>5</v>
      </c>
      <c r="K821">
        <v>5958.15</v>
      </c>
      <c r="L821">
        <v>113204.85</v>
      </c>
      <c r="M821">
        <v>62697.04</v>
      </c>
      <c r="N821">
        <v>50507.81</v>
      </c>
      <c r="O821" t="s">
        <v>39</v>
      </c>
      <c r="P821">
        <v>1687.74</v>
      </c>
      <c r="Q821" t="s">
        <v>30</v>
      </c>
      <c r="R821" t="s">
        <v>31</v>
      </c>
      <c r="S821">
        <v>5</v>
      </c>
      <c r="T821">
        <v>7</v>
      </c>
      <c r="U821" t="s">
        <v>56</v>
      </c>
      <c r="V821" t="s">
        <v>33</v>
      </c>
      <c r="W821">
        <v>3</v>
      </c>
    </row>
    <row r="822" spans="1:23" x14ac:dyDescent="0.25">
      <c r="A822" t="s">
        <v>1356</v>
      </c>
      <c r="B822" s="1">
        <v>45888</v>
      </c>
      <c r="C822" t="s">
        <v>990</v>
      </c>
      <c r="D822" t="s">
        <v>63</v>
      </c>
      <c r="E822" t="s">
        <v>26</v>
      </c>
      <c r="F822" t="s">
        <v>53</v>
      </c>
      <c r="G822" t="s">
        <v>151</v>
      </c>
      <c r="H822">
        <v>2</v>
      </c>
      <c r="I822">
        <v>63470</v>
      </c>
      <c r="J822">
        <v>10</v>
      </c>
      <c r="K822">
        <v>12694</v>
      </c>
      <c r="L822">
        <v>114246</v>
      </c>
      <c r="M822">
        <v>65846.039999999994</v>
      </c>
      <c r="N822">
        <v>48399.96</v>
      </c>
      <c r="O822" t="s">
        <v>91</v>
      </c>
      <c r="P822">
        <v>1790.58</v>
      </c>
      <c r="Q822" t="s">
        <v>83</v>
      </c>
      <c r="R822" t="s">
        <v>41</v>
      </c>
      <c r="S822">
        <v>2</v>
      </c>
      <c r="T822">
        <v>1</v>
      </c>
      <c r="U822" t="s">
        <v>32</v>
      </c>
      <c r="V822" t="s">
        <v>33</v>
      </c>
      <c r="W822">
        <v>5</v>
      </c>
    </row>
    <row r="823" spans="1:23" x14ac:dyDescent="0.25">
      <c r="A823" t="s">
        <v>1357</v>
      </c>
      <c r="B823" s="1">
        <v>45782</v>
      </c>
      <c r="C823" t="s">
        <v>1358</v>
      </c>
      <c r="D823" t="s">
        <v>90</v>
      </c>
      <c r="E823" t="s">
        <v>46</v>
      </c>
      <c r="F823" t="s">
        <v>53</v>
      </c>
      <c r="G823" t="s">
        <v>268</v>
      </c>
      <c r="H823">
        <v>2</v>
      </c>
      <c r="I823">
        <v>108411</v>
      </c>
      <c r="J823">
        <v>10</v>
      </c>
      <c r="K823">
        <v>21682.2</v>
      </c>
      <c r="L823">
        <v>195139.8</v>
      </c>
      <c r="M823">
        <v>113725.24</v>
      </c>
      <c r="N823">
        <v>81414.559999999998</v>
      </c>
      <c r="O823" t="s">
        <v>91</v>
      </c>
      <c r="P823">
        <v>480.82</v>
      </c>
      <c r="Q823" t="s">
        <v>40</v>
      </c>
      <c r="R823" t="s">
        <v>41</v>
      </c>
      <c r="S823">
        <v>2</v>
      </c>
      <c r="T823">
        <v>4</v>
      </c>
      <c r="U823" t="s">
        <v>32</v>
      </c>
      <c r="V823" t="s">
        <v>42</v>
      </c>
    </row>
    <row r="824" spans="1:23" x14ac:dyDescent="0.25">
      <c r="A824" t="s">
        <v>1359</v>
      </c>
      <c r="B824" s="1">
        <v>45895</v>
      </c>
      <c r="C824" t="s">
        <v>1360</v>
      </c>
      <c r="D824" t="s">
        <v>79</v>
      </c>
      <c r="E824" t="s">
        <v>46</v>
      </c>
      <c r="F824" t="s">
        <v>86</v>
      </c>
      <c r="G824" t="s">
        <v>180</v>
      </c>
      <c r="H824">
        <v>2</v>
      </c>
      <c r="I824">
        <v>8389</v>
      </c>
      <c r="J824">
        <v>0</v>
      </c>
      <c r="K824">
        <v>0</v>
      </c>
      <c r="L824">
        <v>16778</v>
      </c>
      <c r="M824">
        <v>9963.09</v>
      </c>
      <c r="N824">
        <v>6814.91</v>
      </c>
      <c r="O824" t="s">
        <v>39</v>
      </c>
      <c r="P824">
        <v>2075</v>
      </c>
      <c r="Q824" t="s">
        <v>40</v>
      </c>
      <c r="R824" t="s">
        <v>31</v>
      </c>
      <c r="S824">
        <v>5</v>
      </c>
      <c r="T824">
        <v>9</v>
      </c>
      <c r="U824" t="s">
        <v>56</v>
      </c>
      <c r="V824" t="s">
        <v>33</v>
      </c>
      <c r="W824">
        <v>5</v>
      </c>
    </row>
    <row r="825" spans="1:23" x14ac:dyDescent="0.25">
      <c r="A825" t="s">
        <v>1361</v>
      </c>
      <c r="B825" s="1">
        <v>45949</v>
      </c>
      <c r="C825" t="s">
        <v>235</v>
      </c>
      <c r="D825" t="s">
        <v>90</v>
      </c>
      <c r="E825" t="s">
        <v>36</v>
      </c>
      <c r="F825" t="s">
        <v>47</v>
      </c>
      <c r="G825" t="s">
        <v>105</v>
      </c>
      <c r="H825">
        <v>2</v>
      </c>
      <c r="I825">
        <v>13787</v>
      </c>
      <c r="J825">
        <v>5</v>
      </c>
      <c r="K825">
        <v>1378.7</v>
      </c>
      <c r="L825">
        <v>26195.3</v>
      </c>
      <c r="M825">
        <v>15592.26</v>
      </c>
      <c r="N825">
        <v>10603.04</v>
      </c>
      <c r="O825" t="s">
        <v>39</v>
      </c>
      <c r="P825">
        <v>1548.62</v>
      </c>
      <c r="Q825" t="s">
        <v>83</v>
      </c>
      <c r="R825" t="s">
        <v>41</v>
      </c>
      <c r="S825">
        <v>2</v>
      </c>
      <c r="T825">
        <v>6</v>
      </c>
      <c r="U825" t="s">
        <v>32</v>
      </c>
      <c r="V825" t="s">
        <v>42</v>
      </c>
    </row>
    <row r="826" spans="1:23" x14ac:dyDescent="0.25">
      <c r="A826" t="s">
        <v>1362</v>
      </c>
      <c r="B826" s="1">
        <v>45970</v>
      </c>
      <c r="C826" t="s">
        <v>1363</v>
      </c>
      <c r="D826" t="s">
        <v>67</v>
      </c>
      <c r="E826" t="s">
        <v>46</v>
      </c>
      <c r="F826" t="s">
        <v>47</v>
      </c>
      <c r="G826" t="s">
        <v>105</v>
      </c>
      <c r="H826">
        <v>1</v>
      </c>
      <c r="I826">
        <v>9384</v>
      </c>
      <c r="J826">
        <v>10</v>
      </c>
      <c r="K826">
        <v>938.4</v>
      </c>
      <c r="L826">
        <v>8445.6</v>
      </c>
      <c r="M826">
        <v>4684.12</v>
      </c>
      <c r="N826">
        <v>3761.48</v>
      </c>
      <c r="O826" t="s">
        <v>60</v>
      </c>
      <c r="P826">
        <v>1155.73</v>
      </c>
      <c r="Q826" t="s">
        <v>83</v>
      </c>
      <c r="R826" t="s">
        <v>41</v>
      </c>
      <c r="S826">
        <v>2</v>
      </c>
      <c r="T826">
        <v>5</v>
      </c>
      <c r="U826" t="s">
        <v>32</v>
      </c>
      <c r="V826" t="s">
        <v>50</v>
      </c>
      <c r="W826">
        <v>3</v>
      </c>
    </row>
    <row r="827" spans="1:23" x14ac:dyDescent="0.25">
      <c r="A827" t="s">
        <v>1364</v>
      </c>
      <c r="B827" s="1">
        <v>46000</v>
      </c>
      <c r="C827" t="s">
        <v>758</v>
      </c>
      <c r="D827" t="s">
        <v>154</v>
      </c>
      <c r="E827" t="s">
        <v>26</v>
      </c>
      <c r="F827" t="s">
        <v>86</v>
      </c>
      <c r="G827" t="s">
        <v>127</v>
      </c>
      <c r="H827">
        <v>2</v>
      </c>
      <c r="I827">
        <v>23795</v>
      </c>
      <c r="J827">
        <v>25</v>
      </c>
      <c r="K827">
        <v>11897.5</v>
      </c>
      <c r="L827">
        <v>35692.5</v>
      </c>
      <c r="M827">
        <v>29230.61</v>
      </c>
      <c r="N827">
        <v>6461.89</v>
      </c>
      <c r="O827" t="s">
        <v>55</v>
      </c>
      <c r="P827">
        <v>2064.91</v>
      </c>
      <c r="Q827" t="s">
        <v>73</v>
      </c>
      <c r="R827" t="s">
        <v>41</v>
      </c>
      <c r="S827">
        <v>2</v>
      </c>
      <c r="T827">
        <v>0</v>
      </c>
      <c r="U827" t="s">
        <v>32</v>
      </c>
      <c r="V827" t="s">
        <v>50</v>
      </c>
      <c r="W827">
        <v>5</v>
      </c>
    </row>
    <row r="828" spans="1:23" x14ac:dyDescent="0.25">
      <c r="A828" t="s">
        <v>1365</v>
      </c>
      <c r="B828" s="1">
        <v>45852</v>
      </c>
      <c r="C828" t="s">
        <v>223</v>
      </c>
      <c r="D828" t="s">
        <v>71</v>
      </c>
      <c r="E828" t="s">
        <v>46</v>
      </c>
      <c r="F828" t="s">
        <v>47</v>
      </c>
      <c r="G828" t="s">
        <v>48</v>
      </c>
      <c r="H828">
        <v>1</v>
      </c>
      <c r="I828">
        <v>50569</v>
      </c>
      <c r="J828">
        <v>15</v>
      </c>
      <c r="K828">
        <v>7585.35</v>
      </c>
      <c r="L828">
        <v>42983.65</v>
      </c>
      <c r="M828">
        <v>35238.25</v>
      </c>
      <c r="N828">
        <v>7745.4</v>
      </c>
      <c r="O828" t="s">
        <v>39</v>
      </c>
      <c r="P828">
        <v>1147.67</v>
      </c>
      <c r="Q828" t="s">
        <v>83</v>
      </c>
      <c r="R828" t="s">
        <v>41</v>
      </c>
      <c r="S828">
        <v>2</v>
      </c>
      <c r="T828">
        <v>5</v>
      </c>
      <c r="U828" t="s">
        <v>56</v>
      </c>
      <c r="V828" t="s">
        <v>33</v>
      </c>
      <c r="W828">
        <v>5</v>
      </c>
    </row>
    <row r="829" spans="1:23" x14ac:dyDescent="0.25">
      <c r="A829" t="s">
        <v>1366</v>
      </c>
      <c r="B829" s="1">
        <v>45830</v>
      </c>
      <c r="C829" t="s">
        <v>958</v>
      </c>
      <c r="D829" t="s">
        <v>67</v>
      </c>
      <c r="E829" t="s">
        <v>26</v>
      </c>
      <c r="F829" t="s">
        <v>37</v>
      </c>
      <c r="G829" t="s">
        <v>313</v>
      </c>
      <c r="H829">
        <v>1</v>
      </c>
      <c r="I829">
        <v>10099</v>
      </c>
      <c r="J829">
        <v>0</v>
      </c>
      <c r="K829">
        <v>0</v>
      </c>
      <c r="L829">
        <v>10099</v>
      </c>
      <c r="M829">
        <v>8094.15</v>
      </c>
      <c r="N829">
        <v>2004.85</v>
      </c>
      <c r="O829" t="s">
        <v>39</v>
      </c>
      <c r="P829">
        <v>460.76</v>
      </c>
      <c r="Q829" t="s">
        <v>73</v>
      </c>
      <c r="R829" t="s">
        <v>31</v>
      </c>
      <c r="S829">
        <v>5</v>
      </c>
      <c r="T829">
        <v>2</v>
      </c>
      <c r="U829" t="s">
        <v>32</v>
      </c>
      <c r="V829" t="s">
        <v>42</v>
      </c>
    </row>
    <row r="830" spans="1:23" x14ac:dyDescent="0.25">
      <c r="A830" t="s">
        <v>1367</v>
      </c>
      <c r="B830" s="1">
        <v>45672</v>
      </c>
      <c r="C830" t="s">
        <v>1112</v>
      </c>
      <c r="D830" t="s">
        <v>154</v>
      </c>
      <c r="E830" t="s">
        <v>46</v>
      </c>
      <c r="F830" t="s">
        <v>86</v>
      </c>
      <c r="G830" t="s">
        <v>94</v>
      </c>
      <c r="H830">
        <v>2</v>
      </c>
      <c r="I830">
        <v>42243</v>
      </c>
      <c r="J830">
        <v>0</v>
      </c>
      <c r="K830">
        <v>0</v>
      </c>
      <c r="L830">
        <v>84486</v>
      </c>
      <c r="M830">
        <v>64980.36</v>
      </c>
      <c r="N830">
        <v>19505.64</v>
      </c>
      <c r="O830" t="s">
        <v>29</v>
      </c>
      <c r="P830">
        <v>1713.17</v>
      </c>
      <c r="Q830" t="s">
        <v>83</v>
      </c>
      <c r="R830" t="s">
        <v>41</v>
      </c>
      <c r="S830">
        <v>2</v>
      </c>
      <c r="T830">
        <v>4</v>
      </c>
      <c r="U830" t="s">
        <v>32</v>
      </c>
      <c r="V830" t="s">
        <v>42</v>
      </c>
    </row>
    <row r="831" spans="1:23" x14ac:dyDescent="0.25">
      <c r="A831" t="s">
        <v>1368</v>
      </c>
      <c r="B831" s="1">
        <v>45911</v>
      </c>
      <c r="C831" t="s">
        <v>555</v>
      </c>
      <c r="D831" t="s">
        <v>71</v>
      </c>
      <c r="E831" t="s">
        <v>26</v>
      </c>
      <c r="F831" t="s">
        <v>27</v>
      </c>
      <c r="G831" t="s">
        <v>164</v>
      </c>
      <c r="H831">
        <v>1</v>
      </c>
      <c r="I831">
        <v>6590</v>
      </c>
      <c r="J831">
        <v>0</v>
      </c>
      <c r="K831">
        <v>0</v>
      </c>
      <c r="L831">
        <v>6590</v>
      </c>
      <c r="M831">
        <v>5210.57</v>
      </c>
      <c r="N831">
        <v>1379.43</v>
      </c>
      <c r="O831" t="s">
        <v>55</v>
      </c>
      <c r="P831">
        <v>1030.5899999999999</v>
      </c>
      <c r="Q831" t="s">
        <v>40</v>
      </c>
      <c r="R831" t="s">
        <v>41</v>
      </c>
      <c r="S831">
        <v>2</v>
      </c>
      <c r="T831">
        <v>1</v>
      </c>
      <c r="U831" t="s">
        <v>32</v>
      </c>
      <c r="V831" t="s">
        <v>33</v>
      </c>
      <c r="W831">
        <v>5</v>
      </c>
    </row>
    <row r="832" spans="1:23" x14ac:dyDescent="0.25">
      <c r="A832" t="s">
        <v>1369</v>
      </c>
      <c r="B832" s="1">
        <v>45824</v>
      </c>
      <c r="C832" t="s">
        <v>35</v>
      </c>
      <c r="D832" t="s">
        <v>45</v>
      </c>
      <c r="E832" t="s">
        <v>36</v>
      </c>
      <c r="F832" t="s">
        <v>53</v>
      </c>
      <c r="G832" t="s">
        <v>59</v>
      </c>
      <c r="H832">
        <v>1</v>
      </c>
      <c r="I832">
        <v>52786</v>
      </c>
      <c r="J832">
        <v>0</v>
      </c>
      <c r="K832">
        <v>0</v>
      </c>
      <c r="L832">
        <v>52786</v>
      </c>
      <c r="M832">
        <v>35735.339999999997</v>
      </c>
      <c r="N832">
        <v>17050.66</v>
      </c>
      <c r="O832" t="s">
        <v>29</v>
      </c>
      <c r="P832">
        <v>2401.77</v>
      </c>
      <c r="Q832" t="s">
        <v>40</v>
      </c>
      <c r="R832" t="s">
        <v>31</v>
      </c>
      <c r="S832">
        <v>5</v>
      </c>
      <c r="T832">
        <v>1</v>
      </c>
      <c r="U832" t="s">
        <v>32</v>
      </c>
      <c r="V832" t="s">
        <v>50</v>
      </c>
      <c r="W832">
        <v>5</v>
      </c>
    </row>
    <row r="833" spans="1:23" x14ac:dyDescent="0.25">
      <c r="A833" t="s">
        <v>1370</v>
      </c>
      <c r="B833" s="1">
        <v>45751</v>
      </c>
      <c r="C833" t="s">
        <v>1060</v>
      </c>
      <c r="D833" t="s">
        <v>97</v>
      </c>
      <c r="E833" t="s">
        <v>26</v>
      </c>
      <c r="F833" t="s">
        <v>47</v>
      </c>
      <c r="G833" t="s">
        <v>105</v>
      </c>
      <c r="H833">
        <v>2</v>
      </c>
      <c r="I833">
        <v>19291</v>
      </c>
      <c r="J833">
        <v>0</v>
      </c>
      <c r="K833">
        <v>0</v>
      </c>
      <c r="L833">
        <v>38582</v>
      </c>
      <c r="M833">
        <v>25696.59</v>
      </c>
      <c r="N833">
        <v>12885.41</v>
      </c>
      <c r="O833" t="s">
        <v>39</v>
      </c>
      <c r="P833">
        <v>2097.56</v>
      </c>
      <c r="Q833" t="s">
        <v>73</v>
      </c>
      <c r="R833" t="s">
        <v>41</v>
      </c>
      <c r="S833">
        <v>2</v>
      </c>
      <c r="T833">
        <v>1</v>
      </c>
      <c r="U833" t="s">
        <v>32</v>
      </c>
      <c r="V833" t="s">
        <v>42</v>
      </c>
    </row>
    <row r="834" spans="1:23" x14ac:dyDescent="0.25">
      <c r="A834" t="s">
        <v>1371</v>
      </c>
      <c r="B834" s="1">
        <v>45907</v>
      </c>
      <c r="C834" t="s">
        <v>648</v>
      </c>
      <c r="D834" t="s">
        <v>45</v>
      </c>
      <c r="E834" t="s">
        <v>36</v>
      </c>
      <c r="F834" t="s">
        <v>86</v>
      </c>
      <c r="G834" t="s">
        <v>87</v>
      </c>
      <c r="H834">
        <v>1</v>
      </c>
      <c r="I834">
        <v>22337</v>
      </c>
      <c r="J834">
        <v>10</v>
      </c>
      <c r="K834">
        <v>2233.6999999999998</v>
      </c>
      <c r="L834">
        <v>20103.3</v>
      </c>
      <c r="M834">
        <v>14575.92</v>
      </c>
      <c r="N834">
        <v>5527.38</v>
      </c>
      <c r="O834" t="s">
        <v>60</v>
      </c>
      <c r="P834">
        <v>1132.75</v>
      </c>
      <c r="Q834" t="s">
        <v>68</v>
      </c>
      <c r="R834" t="s">
        <v>31</v>
      </c>
      <c r="S834">
        <v>5</v>
      </c>
      <c r="T834">
        <v>2</v>
      </c>
      <c r="U834" t="s">
        <v>32</v>
      </c>
      <c r="V834" t="s">
        <v>33</v>
      </c>
      <c r="W834">
        <v>1</v>
      </c>
    </row>
    <row r="835" spans="1:23" x14ac:dyDescent="0.25">
      <c r="A835" t="s">
        <v>1372</v>
      </c>
      <c r="B835" s="1">
        <v>45766</v>
      </c>
      <c r="C835" t="s">
        <v>709</v>
      </c>
      <c r="E835" t="s">
        <v>26</v>
      </c>
      <c r="F835" t="s">
        <v>86</v>
      </c>
      <c r="G835" t="s">
        <v>87</v>
      </c>
      <c r="H835">
        <v>3</v>
      </c>
      <c r="I835">
        <v>11269</v>
      </c>
      <c r="J835">
        <v>0</v>
      </c>
      <c r="K835">
        <v>0</v>
      </c>
      <c r="L835">
        <v>33807</v>
      </c>
      <c r="M835">
        <v>25268.639999999999</v>
      </c>
      <c r="N835">
        <v>8538.36</v>
      </c>
      <c r="O835" t="s">
        <v>49</v>
      </c>
      <c r="P835">
        <v>174.45</v>
      </c>
      <c r="Q835" t="s">
        <v>83</v>
      </c>
      <c r="R835" t="s">
        <v>41</v>
      </c>
      <c r="S835">
        <v>2</v>
      </c>
      <c r="T835">
        <v>1</v>
      </c>
      <c r="U835" t="s">
        <v>32</v>
      </c>
      <c r="V835" t="s">
        <v>50</v>
      </c>
      <c r="W835">
        <v>2</v>
      </c>
    </row>
    <row r="836" spans="1:23" x14ac:dyDescent="0.25">
      <c r="A836" t="s">
        <v>1373</v>
      </c>
      <c r="B836" s="1">
        <v>45839</v>
      </c>
      <c r="C836" t="s">
        <v>1374</v>
      </c>
      <c r="D836" t="s">
        <v>79</v>
      </c>
      <c r="E836" t="s">
        <v>46</v>
      </c>
      <c r="F836" t="s">
        <v>37</v>
      </c>
      <c r="G836" t="s">
        <v>224</v>
      </c>
      <c r="H836">
        <v>1</v>
      </c>
      <c r="I836">
        <v>12076</v>
      </c>
      <c r="J836">
        <v>10</v>
      </c>
      <c r="K836">
        <v>1207.5999999999999</v>
      </c>
      <c r="L836">
        <v>10868.4</v>
      </c>
      <c r="M836">
        <v>6931.65</v>
      </c>
      <c r="N836">
        <v>3936.75</v>
      </c>
      <c r="O836" t="s">
        <v>49</v>
      </c>
      <c r="P836">
        <v>283.49</v>
      </c>
      <c r="Q836" t="s">
        <v>73</v>
      </c>
      <c r="R836" t="s">
        <v>41</v>
      </c>
      <c r="S836">
        <v>2</v>
      </c>
      <c r="T836">
        <v>1</v>
      </c>
      <c r="U836" t="s">
        <v>32</v>
      </c>
      <c r="V836" t="s">
        <v>33</v>
      </c>
      <c r="W836">
        <v>5</v>
      </c>
    </row>
    <row r="837" spans="1:23" x14ac:dyDescent="0.25">
      <c r="A837" t="s">
        <v>1375</v>
      </c>
      <c r="B837" s="1">
        <v>45790</v>
      </c>
      <c r="C837" t="s">
        <v>372</v>
      </c>
      <c r="D837" t="s">
        <v>124</v>
      </c>
      <c r="E837" t="s">
        <v>46</v>
      </c>
      <c r="F837" t="s">
        <v>27</v>
      </c>
      <c r="G837" t="s">
        <v>76</v>
      </c>
      <c r="H837">
        <v>3</v>
      </c>
      <c r="I837">
        <v>19520</v>
      </c>
      <c r="J837">
        <v>15</v>
      </c>
      <c r="K837">
        <v>8784</v>
      </c>
      <c r="L837">
        <v>49776</v>
      </c>
      <c r="M837">
        <v>28034.44</v>
      </c>
      <c r="N837">
        <v>21741.56</v>
      </c>
      <c r="O837" t="s">
        <v>60</v>
      </c>
      <c r="P837">
        <v>564.79</v>
      </c>
      <c r="Q837" t="s">
        <v>83</v>
      </c>
      <c r="R837" t="s">
        <v>41</v>
      </c>
      <c r="S837">
        <v>2</v>
      </c>
      <c r="T837">
        <v>2</v>
      </c>
      <c r="U837" t="s">
        <v>32</v>
      </c>
      <c r="V837" t="s">
        <v>33</v>
      </c>
      <c r="W837">
        <v>4</v>
      </c>
    </row>
    <row r="838" spans="1:23" x14ac:dyDescent="0.25">
      <c r="A838" t="s">
        <v>1376</v>
      </c>
      <c r="B838" s="1">
        <v>45832</v>
      </c>
      <c r="C838" t="s">
        <v>174</v>
      </c>
      <c r="D838" t="s">
        <v>124</v>
      </c>
      <c r="E838" t="s">
        <v>46</v>
      </c>
      <c r="F838" t="s">
        <v>27</v>
      </c>
      <c r="G838" t="s">
        <v>28</v>
      </c>
      <c r="H838">
        <v>1</v>
      </c>
      <c r="I838">
        <v>17464</v>
      </c>
      <c r="J838">
        <v>20</v>
      </c>
      <c r="K838">
        <v>3492.8</v>
      </c>
      <c r="L838">
        <v>13971.2</v>
      </c>
      <c r="M838">
        <v>10647.98</v>
      </c>
      <c r="N838">
        <v>3323.22</v>
      </c>
      <c r="O838" t="s">
        <v>60</v>
      </c>
      <c r="P838">
        <v>1245.19</v>
      </c>
      <c r="Q838" t="s">
        <v>73</v>
      </c>
      <c r="R838" t="s">
        <v>31</v>
      </c>
      <c r="S838">
        <v>5</v>
      </c>
      <c r="T838">
        <v>4</v>
      </c>
      <c r="U838" t="s">
        <v>32</v>
      </c>
      <c r="V838" t="s">
        <v>42</v>
      </c>
    </row>
    <row r="839" spans="1:23" x14ac:dyDescent="0.25">
      <c r="A839" t="s">
        <v>1377</v>
      </c>
      <c r="B839" s="1">
        <v>45801</v>
      </c>
      <c r="C839" t="s">
        <v>1378</v>
      </c>
      <c r="D839" t="s">
        <v>63</v>
      </c>
      <c r="E839" t="s">
        <v>36</v>
      </c>
      <c r="F839" t="s">
        <v>47</v>
      </c>
      <c r="G839" t="s">
        <v>105</v>
      </c>
      <c r="H839">
        <v>1</v>
      </c>
      <c r="I839">
        <v>21454</v>
      </c>
      <c r="J839">
        <v>5</v>
      </c>
      <c r="K839">
        <v>1072.7</v>
      </c>
      <c r="L839">
        <v>20381.3</v>
      </c>
      <c r="M839">
        <v>14760.33</v>
      </c>
      <c r="N839">
        <v>5620.97</v>
      </c>
      <c r="O839" t="s">
        <v>60</v>
      </c>
      <c r="P839">
        <v>1372.3</v>
      </c>
      <c r="Q839" t="s">
        <v>68</v>
      </c>
      <c r="R839" t="s">
        <v>31</v>
      </c>
      <c r="S839">
        <v>5</v>
      </c>
      <c r="T839">
        <v>3</v>
      </c>
      <c r="U839" t="s">
        <v>32</v>
      </c>
      <c r="V839" t="s">
        <v>33</v>
      </c>
      <c r="W839">
        <v>5</v>
      </c>
    </row>
    <row r="840" spans="1:23" x14ac:dyDescent="0.25">
      <c r="A840" t="s">
        <v>1379</v>
      </c>
      <c r="B840" s="1">
        <v>45963</v>
      </c>
      <c r="C840" t="s">
        <v>121</v>
      </c>
      <c r="D840" t="s">
        <v>97</v>
      </c>
      <c r="E840" t="s">
        <v>26</v>
      </c>
      <c r="F840" t="s">
        <v>53</v>
      </c>
      <c r="G840" t="s">
        <v>59</v>
      </c>
      <c r="H840">
        <v>1</v>
      </c>
      <c r="I840">
        <v>95283</v>
      </c>
      <c r="J840">
        <v>0</v>
      </c>
      <c r="K840">
        <v>0</v>
      </c>
      <c r="L840">
        <v>95283</v>
      </c>
      <c r="M840">
        <v>54025.58</v>
      </c>
      <c r="N840">
        <v>41257.42</v>
      </c>
      <c r="O840" t="s">
        <v>39</v>
      </c>
      <c r="P840">
        <v>779.83</v>
      </c>
      <c r="Q840" t="s">
        <v>68</v>
      </c>
      <c r="R840" t="s">
        <v>31</v>
      </c>
      <c r="S840">
        <v>5</v>
      </c>
      <c r="T840">
        <v>6</v>
      </c>
      <c r="U840" t="s">
        <v>56</v>
      </c>
      <c r="V840" t="s">
        <v>33</v>
      </c>
      <c r="W840">
        <v>3</v>
      </c>
    </row>
    <row r="841" spans="1:23" x14ac:dyDescent="0.25">
      <c r="A841" t="s">
        <v>1380</v>
      </c>
      <c r="B841" s="1">
        <v>46017</v>
      </c>
      <c r="C841" t="s">
        <v>1381</v>
      </c>
      <c r="D841" t="s">
        <v>97</v>
      </c>
      <c r="E841" t="s">
        <v>26</v>
      </c>
      <c r="F841" t="s">
        <v>37</v>
      </c>
      <c r="G841" t="s">
        <v>38</v>
      </c>
      <c r="H841">
        <v>4</v>
      </c>
      <c r="I841">
        <v>31507</v>
      </c>
      <c r="J841">
        <v>10</v>
      </c>
      <c r="K841">
        <v>12602.8</v>
      </c>
      <c r="L841">
        <v>113425.2</v>
      </c>
      <c r="M841">
        <v>62428.59</v>
      </c>
      <c r="N841">
        <v>50996.61</v>
      </c>
      <c r="O841" t="s">
        <v>91</v>
      </c>
      <c r="P841">
        <v>1885.02</v>
      </c>
      <c r="Q841" t="s">
        <v>30</v>
      </c>
      <c r="R841" t="s">
        <v>31</v>
      </c>
      <c r="S841">
        <v>5</v>
      </c>
      <c r="T841">
        <v>4</v>
      </c>
      <c r="U841" t="s">
        <v>32</v>
      </c>
      <c r="V841" t="s">
        <v>33</v>
      </c>
      <c r="W841">
        <v>1</v>
      </c>
    </row>
    <row r="842" spans="1:23" x14ac:dyDescent="0.25">
      <c r="A842" t="s">
        <v>1382</v>
      </c>
      <c r="B842" s="1">
        <v>45799</v>
      </c>
      <c r="C842" t="s">
        <v>284</v>
      </c>
      <c r="D842" t="s">
        <v>71</v>
      </c>
      <c r="E842" t="s">
        <v>36</v>
      </c>
      <c r="F842" t="s">
        <v>86</v>
      </c>
      <c r="G842" t="s">
        <v>94</v>
      </c>
      <c r="H842">
        <v>2</v>
      </c>
      <c r="I842">
        <v>18594</v>
      </c>
      <c r="J842">
        <v>5</v>
      </c>
      <c r="K842">
        <v>1859.4</v>
      </c>
      <c r="L842">
        <v>35328.6</v>
      </c>
      <c r="M842">
        <v>27922.639999999999</v>
      </c>
      <c r="N842">
        <v>7405.96</v>
      </c>
      <c r="O842" t="s">
        <v>49</v>
      </c>
      <c r="P842">
        <v>201.27</v>
      </c>
      <c r="Q842" t="s">
        <v>30</v>
      </c>
      <c r="R842" t="s">
        <v>31</v>
      </c>
      <c r="S842">
        <v>5</v>
      </c>
      <c r="T842">
        <v>4</v>
      </c>
      <c r="U842" t="s">
        <v>32</v>
      </c>
      <c r="V842" t="s">
        <v>33</v>
      </c>
      <c r="W842">
        <v>5</v>
      </c>
    </row>
    <row r="843" spans="1:23" x14ac:dyDescent="0.25">
      <c r="A843" t="s">
        <v>1383</v>
      </c>
      <c r="B843" s="1">
        <v>45942</v>
      </c>
      <c r="C843" t="s">
        <v>814</v>
      </c>
      <c r="D843" t="s">
        <v>67</v>
      </c>
      <c r="E843" t="s">
        <v>46</v>
      </c>
      <c r="F843" t="s">
        <v>47</v>
      </c>
      <c r="G843" t="s">
        <v>64</v>
      </c>
      <c r="H843">
        <v>2</v>
      </c>
      <c r="I843">
        <v>11998</v>
      </c>
      <c r="J843">
        <v>5</v>
      </c>
      <c r="K843">
        <v>1199.8</v>
      </c>
      <c r="L843">
        <v>22796.2</v>
      </c>
      <c r="M843">
        <v>15065.98</v>
      </c>
      <c r="N843">
        <v>7730.22</v>
      </c>
      <c r="O843" t="s">
        <v>91</v>
      </c>
      <c r="P843">
        <v>1148.43</v>
      </c>
      <c r="Q843" t="s">
        <v>83</v>
      </c>
      <c r="R843" t="s">
        <v>31</v>
      </c>
      <c r="S843">
        <v>5</v>
      </c>
      <c r="T843">
        <v>6</v>
      </c>
      <c r="U843" t="s">
        <v>56</v>
      </c>
      <c r="V843" t="s">
        <v>33</v>
      </c>
      <c r="W843">
        <v>4</v>
      </c>
    </row>
    <row r="844" spans="1:23" x14ac:dyDescent="0.25">
      <c r="A844" t="s">
        <v>1384</v>
      </c>
      <c r="B844" s="1">
        <v>45663</v>
      </c>
      <c r="C844" t="s">
        <v>137</v>
      </c>
      <c r="D844" t="s">
        <v>154</v>
      </c>
      <c r="E844" t="s">
        <v>26</v>
      </c>
      <c r="F844" t="s">
        <v>53</v>
      </c>
      <c r="G844" t="s">
        <v>82</v>
      </c>
      <c r="H844">
        <v>1</v>
      </c>
      <c r="I844">
        <v>21695</v>
      </c>
      <c r="J844">
        <v>0</v>
      </c>
      <c r="K844">
        <v>0</v>
      </c>
      <c r="L844">
        <v>21695</v>
      </c>
      <c r="M844">
        <v>17739.03</v>
      </c>
      <c r="N844">
        <v>3955.97</v>
      </c>
      <c r="O844" t="s">
        <v>91</v>
      </c>
      <c r="P844">
        <v>983.87</v>
      </c>
      <c r="Q844" t="s">
        <v>68</v>
      </c>
      <c r="R844" t="s">
        <v>41</v>
      </c>
      <c r="S844">
        <v>2</v>
      </c>
      <c r="T844">
        <v>1</v>
      </c>
      <c r="U844" t="s">
        <v>32</v>
      </c>
      <c r="V844" t="s">
        <v>50</v>
      </c>
      <c r="W844">
        <v>1</v>
      </c>
    </row>
    <row r="845" spans="1:23" x14ac:dyDescent="0.25">
      <c r="A845" t="s">
        <v>1385</v>
      </c>
      <c r="B845" s="1">
        <v>45922</v>
      </c>
      <c r="C845" t="s">
        <v>1386</v>
      </c>
      <c r="D845" t="s">
        <v>63</v>
      </c>
      <c r="E845" t="s">
        <v>26</v>
      </c>
      <c r="F845" t="s">
        <v>37</v>
      </c>
      <c r="G845" t="s">
        <v>224</v>
      </c>
      <c r="H845">
        <v>2</v>
      </c>
      <c r="I845">
        <v>22158</v>
      </c>
      <c r="J845">
        <v>25</v>
      </c>
      <c r="K845">
        <v>11079</v>
      </c>
      <c r="L845">
        <v>33237</v>
      </c>
      <c r="M845">
        <v>19779.34</v>
      </c>
      <c r="N845">
        <v>13457.66</v>
      </c>
      <c r="O845" t="s">
        <v>29</v>
      </c>
      <c r="P845">
        <v>2079.25</v>
      </c>
      <c r="Q845" t="s">
        <v>68</v>
      </c>
      <c r="R845" t="s">
        <v>31</v>
      </c>
      <c r="S845">
        <v>5</v>
      </c>
      <c r="T845">
        <v>6</v>
      </c>
      <c r="U845" t="s">
        <v>32</v>
      </c>
      <c r="V845" t="s">
        <v>50</v>
      </c>
      <c r="W845">
        <v>4</v>
      </c>
    </row>
    <row r="846" spans="1:23" x14ac:dyDescent="0.25">
      <c r="A846" t="s">
        <v>1387</v>
      </c>
      <c r="B846" s="1">
        <v>45755</v>
      </c>
      <c r="C846" t="s">
        <v>1131</v>
      </c>
      <c r="D846" t="s">
        <v>79</v>
      </c>
      <c r="E846" t="s">
        <v>26</v>
      </c>
      <c r="F846" t="s">
        <v>27</v>
      </c>
      <c r="G846" t="s">
        <v>72</v>
      </c>
      <c r="H846">
        <v>3</v>
      </c>
      <c r="I846">
        <v>26318</v>
      </c>
      <c r="J846">
        <v>10</v>
      </c>
      <c r="K846">
        <v>7895.4</v>
      </c>
      <c r="L846">
        <v>71058.600000000006</v>
      </c>
      <c r="M846">
        <v>53535.44</v>
      </c>
      <c r="N846">
        <v>17523.16</v>
      </c>
      <c r="O846" t="s">
        <v>29</v>
      </c>
      <c r="P846">
        <v>1899.47</v>
      </c>
      <c r="Q846" t="s">
        <v>40</v>
      </c>
      <c r="R846" t="s">
        <v>31</v>
      </c>
      <c r="S846">
        <v>5</v>
      </c>
      <c r="T846">
        <v>0</v>
      </c>
      <c r="U846" t="s">
        <v>32</v>
      </c>
      <c r="V846" t="s">
        <v>42</v>
      </c>
    </row>
    <row r="847" spans="1:23" x14ac:dyDescent="0.25">
      <c r="A847" t="s">
        <v>1388</v>
      </c>
      <c r="B847" s="1">
        <v>45701</v>
      </c>
      <c r="C847" t="s">
        <v>533</v>
      </c>
      <c r="D847" t="s">
        <v>154</v>
      </c>
      <c r="E847" t="s">
        <v>46</v>
      </c>
      <c r="F847" t="s">
        <v>53</v>
      </c>
      <c r="G847" t="s">
        <v>59</v>
      </c>
      <c r="H847">
        <v>1</v>
      </c>
      <c r="I847">
        <v>32513</v>
      </c>
      <c r="J847">
        <v>10</v>
      </c>
      <c r="K847">
        <v>3251.3</v>
      </c>
      <c r="L847">
        <v>29261.7</v>
      </c>
      <c r="M847">
        <v>19734.990000000002</v>
      </c>
      <c r="N847">
        <v>9526.7099999999991</v>
      </c>
      <c r="O847" t="s">
        <v>91</v>
      </c>
      <c r="P847">
        <v>509.38</v>
      </c>
      <c r="Q847" t="s">
        <v>83</v>
      </c>
      <c r="R847" t="s">
        <v>41</v>
      </c>
      <c r="S847">
        <v>2</v>
      </c>
      <c r="T847">
        <v>1</v>
      </c>
      <c r="U847" t="s">
        <v>32</v>
      </c>
      <c r="V847" t="s">
        <v>50</v>
      </c>
      <c r="W847">
        <v>5</v>
      </c>
    </row>
    <row r="848" spans="1:23" x14ac:dyDescent="0.25">
      <c r="A848" t="s">
        <v>1389</v>
      </c>
      <c r="B848" s="1">
        <v>45781</v>
      </c>
      <c r="C848" t="s">
        <v>903</v>
      </c>
      <c r="D848" t="s">
        <v>71</v>
      </c>
      <c r="E848" t="s">
        <v>26</v>
      </c>
      <c r="F848" t="s">
        <v>47</v>
      </c>
      <c r="G848" t="s">
        <v>48</v>
      </c>
      <c r="H848">
        <v>2</v>
      </c>
      <c r="I848">
        <v>38046</v>
      </c>
      <c r="J848">
        <v>10</v>
      </c>
      <c r="K848">
        <v>7609.2</v>
      </c>
      <c r="L848">
        <v>68482.8</v>
      </c>
      <c r="M848">
        <v>38315.1</v>
      </c>
      <c r="N848">
        <v>30167.7</v>
      </c>
      <c r="O848" t="s">
        <v>91</v>
      </c>
      <c r="P848">
        <v>395.1</v>
      </c>
      <c r="Q848" t="s">
        <v>68</v>
      </c>
      <c r="R848" t="s">
        <v>41</v>
      </c>
      <c r="S848">
        <v>2</v>
      </c>
      <c r="T848">
        <v>2</v>
      </c>
      <c r="U848" t="s">
        <v>32</v>
      </c>
      <c r="V848" t="s">
        <v>33</v>
      </c>
      <c r="W848">
        <v>1</v>
      </c>
    </row>
    <row r="849" spans="1:23" x14ac:dyDescent="0.25">
      <c r="A849" t="s">
        <v>1390</v>
      </c>
      <c r="B849" s="1">
        <v>45866</v>
      </c>
      <c r="C849" t="s">
        <v>864</v>
      </c>
      <c r="D849" t="s">
        <v>71</v>
      </c>
      <c r="E849" t="s">
        <v>46</v>
      </c>
      <c r="F849" t="s">
        <v>47</v>
      </c>
      <c r="G849" t="s">
        <v>138</v>
      </c>
      <c r="H849">
        <v>2</v>
      </c>
      <c r="I849">
        <v>24441</v>
      </c>
      <c r="J849">
        <v>10</v>
      </c>
      <c r="K849">
        <v>4888.2</v>
      </c>
      <c r="L849">
        <v>43993.8</v>
      </c>
      <c r="M849">
        <v>34725.4</v>
      </c>
      <c r="N849">
        <v>9268.4</v>
      </c>
      <c r="O849" t="s">
        <v>55</v>
      </c>
      <c r="P849">
        <v>1177.24</v>
      </c>
      <c r="Q849" t="s">
        <v>40</v>
      </c>
      <c r="R849" t="s">
        <v>31</v>
      </c>
      <c r="S849">
        <v>5</v>
      </c>
      <c r="T849">
        <v>9</v>
      </c>
      <c r="U849" t="s">
        <v>56</v>
      </c>
      <c r="V849" t="s">
        <v>33</v>
      </c>
      <c r="W849">
        <v>4</v>
      </c>
    </row>
    <row r="850" spans="1:23" x14ac:dyDescent="0.25">
      <c r="A850" t="s">
        <v>1391</v>
      </c>
      <c r="B850" s="1">
        <v>45908</v>
      </c>
      <c r="C850" t="s">
        <v>1392</v>
      </c>
      <c r="D850" t="s">
        <v>63</v>
      </c>
      <c r="E850" t="s">
        <v>46</v>
      </c>
      <c r="F850" t="s">
        <v>27</v>
      </c>
      <c r="G850" t="s">
        <v>72</v>
      </c>
      <c r="H850">
        <v>2</v>
      </c>
      <c r="I850">
        <v>16797</v>
      </c>
      <c r="J850">
        <v>15</v>
      </c>
      <c r="K850">
        <v>5039.1000000000004</v>
      </c>
      <c r="L850">
        <v>28554.9</v>
      </c>
      <c r="M850">
        <v>21661.48</v>
      </c>
      <c r="N850">
        <v>6893.42</v>
      </c>
      <c r="O850" t="s">
        <v>29</v>
      </c>
      <c r="P850">
        <v>1537.23</v>
      </c>
      <c r="Q850" t="s">
        <v>68</v>
      </c>
      <c r="R850" t="s">
        <v>31</v>
      </c>
      <c r="S850">
        <v>5</v>
      </c>
      <c r="T850">
        <v>3</v>
      </c>
      <c r="U850" t="s">
        <v>32</v>
      </c>
      <c r="V850" t="s">
        <v>33</v>
      </c>
      <c r="W850">
        <v>5</v>
      </c>
    </row>
    <row r="851" spans="1:23" x14ac:dyDescent="0.25">
      <c r="A851" t="s">
        <v>1393</v>
      </c>
      <c r="B851" s="1">
        <v>45942</v>
      </c>
      <c r="C851" t="s">
        <v>1355</v>
      </c>
      <c r="D851" t="s">
        <v>79</v>
      </c>
      <c r="E851" t="s">
        <v>26</v>
      </c>
      <c r="F851" t="s">
        <v>53</v>
      </c>
      <c r="G851" t="s">
        <v>268</v>
      </c>
      <c r="H851">
        <v>3</v>
      </c>
      <c r="I851">
        <v>85108</v>
      </c>
      <c r="J851">
        <v>0</v>
      </c>
      <c r="K851">
        <v>0</v>
      </c>
      <c r="L851">
        <v>255324</v>
      </c>
      <c r="M851">
        <v>177587.25</v>
      </c>
      <c r="N851">
        <v>77736.75</v>
      </c>
      <c r="O851" t="s">
        <v>29</v>
      </c>
      <c r="P851">
        <v>2288.4</v>
      </c>
      <c r="Q851" t="s">
        <v>40</v>
      </c>
      <c r="R851" t="s">
        <v>31</v>
      </c>
      <c r="S851">
        <v>5</v>
      </c>
      <c r="T851">
        <v>3</v>
      </c>
      <c r="U851" t="s">
        <v>32</v>
      </c>
      <c r="V851" t="s">
        <v>33</v>
      </c>
      <c r="W851">
        <v>2</v>
      </c>
    </row>
    <row r="852" spans="1:23" x14ac:dyDescent="0.25">
      <c r="A852" t="s">
        <v>1394</v>
      </c>
      <c r="B852" s="1">
        <v>45781</v>
      </c>
      <c r="C852" t="s">
        <v>1217</v>
      </c>
      <c r="D852" t="s">
        <v>124</v>
      </c>
      <c r="E852" t="s">
        <v>26</v>
      </c>
      <c r="F852" t="s">
        <v>37</v>
      </c>
      <c r="G852" t="s">
        <v>38</v>
      </c>
      <c r="H852">
        <v>1</v>
      </c>
      <c r="I852">
        <v>25762</v>
      </c>
      <c r="J852">
        <v>25</v>
      </c>
      <c r="K852">
        <v>6440.5</v>
      </c>
      <c r="L852">
        <v>19321.5</v>
      </c>
      <c r="M852">
        <v>11337.25</v>
      </c>
      <c r="N852">
        <v>7984.25</v>
      </c>
      <c r="O852" t="s">
        <v>29</v>
      </c>
      <c r="P852">
        <v>1328.17</v>
      </c>
      <c r="Q852" t="s">
        <v>68</v>
      </c>
      <c r="R852" t="s">
        <v>31</v>
      </c>
      <c r="S852">
        <v>5</v>
      </c>
      <c r="T852">
        <v>3</v>
      </c>
      <c r="U852" t="s">
        <v>32</v>
      </c>
      <c r="V852" t="s">
        <v>33</v>
      </c>
      <c r="W852">
        <v>4</v>
      </c>
    </row>
    <row r="853" spans="1:23" x14ac:dyDescent="0.25">
      <c r="A853" t="s">
        <v>1395</v>
      </c>
      <c r="B853" s="1">
        <v>46011</v>
      </c>
      <c r="C853" t="s">
        <v>1396</v>
      </c>
      <c r="D853" t="s">
        <v>97</v>
      </c>
      <c r="E853" t="s">
        <v>26</v>
      </c>
      <c r="F853" t="s">
        <v>47</v>
      </c>
      <c r="G853" t="s">
        <v>146</v>
      </c>
      <c r="H853">
        <v>1</v>
      </c>
      <c r="I853">
        <v>48540</v>
      </c>
      <c r="J853">
        <v>20</v>
      </c>
      <c r="K853">
        <v>9708</v>
      </c>
      <c r="L853">
        <v>38832</v>
      </c>
      <c r="M853">
        <v>23083.73</v>
      </c>
      <c r="N853">
        <v>15748.27</v>
      </c>
      <c r="O853" t="s">
        <v>91</v>
      </c>
      <c r="P853">
        <v>276.14</v>
      </c>
      <c r="Q853" t="s">
        <v>83</v>
      </c>
      <c r="R853" t="s">
        <v>41</v>
      </c>
      <c r="S853">
        <v>2</v>
      </c>
      <c r="T853">
        <v>1</v>
      </c>
      <c r="U853" t="s">
        <v>32</v>
      </c>
      <c r="V853" t="s">
        <v>33</v>
      </c>
      <c r="W853">
        <v>1</v>
      </c>
    </row>
    <row r="854" spans="1:23" x14ac:dyDescent="0.25">
      <c r="A854" t="s">
        <v>1397</v>
      </c>
      <c r="B854" s="1">
        <v>45901</v>
      </c>
      <c r="C854" t="s">
        <v>322</v>
      </c>
      <c r="D854" t="s">
        <v>79</v>
      </c>
      <c r="E854" t="s">
        <v>46</v>
      </c>
      <c r="F854" t="s">
        <v>53</v>
      </c>
      <c r="G854" t="s">
        <v>151</v>
      </c>
      <c r="H854">
        <v>2</v>
      </c>
      <c r="I854">
        <v>92498</v>
      </c>
      <c r="J854">
        <v>20</v>
      </c>
      <c r="K854">
        <v>36999.199999999997</v>
      </c>
      <c r="L854">
        <v>147996.79999999999</v>
      </c>
      <c r="M854">
        <v>119482.84</v>
      </c>
      <c r="N854">
        <v>28513.96</v>
      </c>
      <c r="O854" t="s">
        <v>39</v>
      </c>
      <c r="P854">
        <v>2256.88</v>
      </c>
      <c r="Q854" t="s">
        <v>73</v>
      </c>
      <c r="R854" t="s">
        <v>41</v>
      </c>
      <c r="S854">
        <v>2</v>
      </c>
      <c r="T854">
        <v>1</v>
      </c>
      <c r="U854" t="s">
        <v>32</v>
      </c>
      <c r="V854" t="s">
        <v>33</v>
      </c>
      <c r="W854">
        <v>5</v>
      </c>
    </row>
    <row r="855" spans="1:23" x14ac:dyDescent="0.25">
      <c r="A855" t="s">
        <v>1398</v>
      </c>
      <c r="B855" s="1">
        <v>45988</v>
      </c>
      <c r="C855" t="s">
        <v>286</v>
      </c>
      <c r="D855" t="s">
        <v>154</v>
      </c>
      <c r="E855" t="s">
        <v>46</v>
      </c>
      <c r="F855" t="s">
        <v>53</v>
      </c>
      <c r="G855" t="s">
        <v>82</v>
      </c>
      <c r="H855">
        <v>2</v>
      </c>
      <c r="I855">
        <v>113161</v>
      </c>
      <c r="J855">
        <v>10</v>
      </c>
      <c r="K855">
        <v>22632.2</v>
      </c>
      <c r="L855">
        <v>203689.8</v>
      </c>
      <c r="M855">
        <v>120788.89</v>
      </c>
      <c r="N855">
        <v>82900.91</v>
      </c>
      <c r="O855" t="s">
        <v>39</v>
      </c>
      <c r="P855">
        <v>1736.73</v>
      </c>
      <c r="Q855" t="s">
        <v>40</v>
      </c>
      <c r="R855" t="s">
        <v>31</v>
      </c>
      <c r="S855">
        <v>5</v>
      </c>
      <c r="T855">
        <v>4</v>
      </c>
      <c r="U855" t="s">
        <v>32</v>
      </c>
      <c r="V855" t="s">
        <v>42</v>
      </c>
    </row>
    <row r="856" spans="1:23" x14ac:dyDescent="0.25">
      <c r="A856" t="s">
        <v>1399</v>
      </c>
      <c r="B856" s="1">
        <v>46022</v>
      </c>
      <c r="C856" t="s">
        <v>969</v>
      </c>
      <c r="D856" t="s">
        <v>97</v>
      </c>
      <c r="E856" t="s">
        <v>46</v>
      </c>
      <c r="F856" t="s">
        <v>27</v>
      </c>
      <c r="G856" t="s">
        <v>72</v>
      </c>
      <c r="H856">
        <v>2</v>
      </c>
      <c r="I856">
        <v>13792</v>
      </c>
      <c r="J856">
        <v>20</v>
      </c>
      <c r="K856">
        <v>5516.8</v>
      </c>
      <c r="L856">
        <v>22067.200000000001</v>
      </c>
      <c r="M856">
        <v>12377.57</v>
      </c>
      <c r="N856">
        <v>9689.6299999999992</v>
      </c>
      <c r="O856" t="s">
        <v>55</v>
      </c>
      <c r="P856">
        <v>301.54000000000002</v>
      </c>
      <c r="Q856" t="s">
        <v>83</v>
      </c>
      <c r="R856" t="s">
        <v>41</v>
      </c>
      <c r="S856">
        <v>2</v>
      </c>
      <c r="T856">
        <v>4</v>
      </c>
      <c r="U856" t="s">
        <v>56</v>
      </c>
      <c r="V856" t="s">
        <v>33</v>
      </c>
      <c r="W856">
        <v>1</v>
      </c>
    </row>
    <row r="857" spans="1:23" x14ac:dyDescent="0.25">
      <c r="A857" t="s">
        <v>1400</v>
      </c>
      <c r="B857" s="1">
        <v>45909</v>
      </c>
      <c r="C857" t="s">
        <v>948</v>
      </c>
      <c r="D857" t="s">
        <v>71</v>
      </c>
      <c r="E857" t="s">
        <v>26</v>
      </c>
      <c r="F857" t="s">
        <v>53</v>
      </c>
      <c r="G857" t="s">
        <v>59</v>
      </c>
      <c r="H857">
        <v>1</v>
      </c>
      <c r="I857">
        <v>103882</v>
      </c>
      <c r="J857">
        <v>15</v>
      </c>
      <c r="K857">
        <v>15582.3</v>
      </c>
      <c r="L857">
        <v>88299.7</v>
      </c>
      <c r="M857">
        <v>57570.05</v>
      </c>
      <c r="N857">
        <v>30729.65</v>
      </c>
      <c r="O857" t="s">
        <v>39</v>
      </c>
      <c r="P857">
        <v>543.33000000000004</v>
      </c>
      <c r="Q857" t="s">
        <v>73</v>
      </c>
      <c r="R857" t="s">
        <v>31</v>
      </c>
      <c r="S857">
        <v>5</v>
      </c>
      <c r="T857">
        <v>3</v>
      </c>
      <c r="U857" t="s">
        <v>32</v>
      </c>
      <c r="V857" t="s">
        <v>33</v>
      </c>
      <c r="W857">
        <v>4</v>
      </c>
    </row>
    <row r="858" spans="1:23" x14ac:dyDescent="0.25">
      <c r="A858" t="s">
        <v>1401</v>
      </c>
      <c r="B858" s="1">
        <v>45887</v>
      </c>
      <c r="C858" t="s">
        <v>337</v>
      </c>
      <c r="D858" t="s">
        <v>25</v>
      </c>
      <c r="E858" t="s">
        <v>46</v>
      </c>
      <c r="F858" t="s">
        <v>37</v>
      </c>
      <c r="G858" t="s">
        <v>161</v>
      </c>
      <c r="H858">
        <v>1</v>
      </c>
      <c r="I858">
        <v>6744</v>
      </c>
      <c r="J858">
        <v>25</v>
      </c>
      <c r="K858">
        <v>1686</v>
      </c>
      <c r="L858">
        <v>5058</v>
      </c>
      <c r="M858">
        <v>3757.37</v>
      </c>
      <c r="N858">
        <v>1300.6300000000001</v>
      </c>
      <c r="O858" t="s">
        <v>49</v>
      </c>
      <c r="P858">
        <v>143.56</v>
      </c>
      <c r="Q858" t="s">
        <v>30</v>
      </c>
      <c r="R858" t="s">
        <v>41</v>
      </c>
      <c r="S858">
        <v>2</v>
      </c>
      <c r="T858">
        <v>0</v>
      </c>
      <c r="U858" t="s">
        <v>32</v>
      </c>
      <c r="V858" t="s">
        <v>50</v>
      </c>
      <c r="W858">
        <v>4</v>
      </c>
    </row>
    <row r="859" spans="1:23" x14ac:dyDescent="0.25">
      <c r="A859" t="s">
        <v>1402</v>
      </c>
      <c r="B859" s="1">
        <v>45666</v>
      </c>
      <c r="C859" t="s">
        <v>472</v>
      </c>
      <c r="D859" t="s">
        <v>67</v>
      </c>
      <c r="E859" t="s">
        <v>46</v>
      </c>
      <c r="F859" t="s">
        <v>37</v>
      </c>
      <c r="G859" t="s">
        <v>38</v>
      </c>
      <c r="H859">
        <v>4</v>
      </c>
      <c r="I859">
        <v>12242</v>
      </c>
      <c r="J859">
        <v>0</v>
      </c>
      <c r="K859">
        <v>0</v>
      </c>
      <c r="L859">
        <v>48968</v>
      </c>
      <c r="M859">
        <v>27735.09</v>
      </c>
      <c r="N859">
        <v>21232.91</v>
      </c>
      <c r="O859" t="s">
        <v>29</v>
      </c>
      <c r="P859">
        <v>1100.8599999999999</v>
      </c>
      <c r="Q859" t="s">
        <v>40</v>
      </c>
      <c r="R859" t="s">
        <v>31</v>
      </c>
      <c r="S859">
        <v>5</v>
      </c>
      <c r="T859">
        <v>5</v>
      </c>
      <c r="U859" t="s">
        <v>32</v>
      </c>
      <c r="V859" t="s">
        <v>33</v>
      </c>
      <c r="W859">
        <v>5</v>
      </c>
    </row>
    <row r="860" spans="1:23" x14ac:dyDescent="0.25">
      <c r="A860" t="s">
        <v>1403</v>
      </c>
      <c r="B860" s="1">
        <v>45705</v>
      </c>
      <c r="C860" t="s">
        <v>640</v>
      </c>
      <c r="D860" t="s">
        <v>90</v>
      </c>
      <c r="E860" t="s">
        <v>26</v>
      </c>
      <c r="F860" t="s">
        <v>53</v>
      </c>
      <c r="G860" t="s">
        <v>82</v>
      </c>
      <c r="H860">
        <v>1</v>
      </c>
      <c r="I860">
        <v>93381</v>
      </c>
      <c r="J860">
        <v>5</v>
      </c>
      <c r="K860">
        <v>4669.05</v>
      </c>
      <c r="L860">
        <v>88711.95</v>
      </c>
      <c r="M860">
        <v>61142.86</v>
      </c>
      <c r="N860">
        <v>27569.09</v>
      </c>
      <c r="O860" t="s">
        <v>39</v>
      </c>
      <c r="P860">
        <v>1689.81</v>
      </c>
      <c r="Q860" t="s">
        <v>30</v>
      </c>
      <c r="R860" t="s">
        <v>31</v>
      </c>
      <c r="S860">
        <v>5</v>
      </c>
      <c r="T860">
        <v>3</v>
      </c>
      <c r="U860" t="s">
        <v>32</v>
      </c>
      <c r="V860" t="s">
        <v>33</v>
      </c>
      <c r="W860">
        <v>5</v>
      </c>
    </row>
    <row r="861" spans="1:23" x14ac:dyDescent="0.25">
      <c r="A861" t="s">
        <v>1404</v>
      </c>
      <c r="B861" s="1">
        <v>45808</v>
      </c>
      <c r="C861" t="s">
        <v>1405</v>
      </c>
      <c r="D861" t="s">
        <v>79</v>
      </c>
      <c r="E861" t="s">
        <v>26</v>
      </c>
      <c r="F861" t="s">
        <v>86</v>
      </c>
      <c r="G861" t="s">
        <v>87</v>
      </c>
      <c r="H861">
        <v>2</v>
      </c>
      <c r="I861">
        <v>28396</v>
      </c>
      <c r="J861">
        <v>15</v>
      </c>
      <c r="K861">
        <v>8518.7999999999993</v>
      </c>
      <c r="L861">
        <v>48273.2</v>
      </c>
      <c r="M861">
        <v>30428.94</v>
      </c>
      <c r="N861">
        <v>17844.259999999998</v>
      </c>
      <c r="O861" t="s">
        <v>91</v>
      </c>
      <c r="P861">
        <v>1939.9</v>
      </c>
      <c r="Q861" t="s">
        <v>68</v>
      </c>
      <c r="R861" t="s">
        <v>31</v>
      </c>
      <c r="S861">
        <v>5</v>
      </c>
      <c r="T861">
        <v>6</v>
      </c>
      <c r="U861" t="s">
        <v>56</v>
      </c>
      <c r="V861" t="s">
        <v>33</v>
      </c>
      <c r="W861">
        <v>4</v>
      </c>
    </row>
    <row r="862" spans="1:23" x14ac:dyDescent="0.25">
      <c r="A862" t="s">
        <v>1406</v>
      </c>
      <c r="B862" s="1">
        <v>45771</v>
      </c>
      <c r="C862" t="s">
        <v>914</v>
      </c>
      <c r="D862" t="s">
        <v>124</v>
      </c>
      <c r="E862" t="s">
        <v>46</v>
      </c>
      <c r="F862" t="s">
        <v>86</v>
      </c>
      <c r="G862" t="s">
        <v>110</v>
      </c>
      <c r="H862">
        <v>2</v>
      </c>
      <c r="I862">
        <v>11344</v>
      </c>
      <c r="J862">
        <v>15</v>
      </c>
      <c r="K862">
        <v>3403.2</v>
      </c>
      <c r="L862">
        <v>19284.8</v>
      </c>
      <c r="M862">
        <v>11422.41</v>
      </c>
      <c r="N862">
        <v>7862.39</v>
      </c>
      <c r="O862" t="s">
        <v>55</v>
      </c>
      <c r="P862">
        <v>2208.9699999999998</v>
      </c>
      <c r="Q862" t="s">
        <v>68</v>
      </c>
      <c r="R862" t="s">
        <v>41</v>
      </c>
      <c r="S862">
        <v>2</v>
      </c>
      <c r="T862">
        <v>2</v>
      </c>
      <c r="U862" t="s">
        <v>32</v>
      </c>
      <c r="V862" t="s">
        <v>33</v>
      </c>
      <c r="W862">
        <v>5</v>
      </c>
    </row>
    <row r="863" spans="1:23" x14ac:dyDescent="0.25">
      <c r="A863" t="s">
        <v>1407</v>
      </c>
      <c r="B863" s="1">
        <v>45865</v>
      </c>
      <c r="C863" t="s">
        <v>470</v>
      </c>
      <c r="D863" t="s">
        <v>25</v>
      </c>
      <c r="E863" t="s">
        <v>26</v>
      </c>
      <c r="F863" t="s">
        <v>27</v>
      </c>
      <c r="G863" t="s">
        <v>76</v>
      </c>
      <c r="H863">
        <v>1</v>
      </c>
      <c r="I863">
        <v>18895</v>
      </c>
      <c r="J863">
        <v>10</v>
      </c>
      <c r="K863">
        <v>1889.5</v>
      </c>
      <c r="L863">
        <v>17005.5</v>
      </c>
      <c r="M863">
        <v>11241.01</v>
      </c>
      <c r="N863">
        <v>5764.49</v>
      </c>
      <c r="O863" t="s">
        <v>29</v>
      </c>
      <c r="P863">
        <v>1524.13</v>
      </c>
      <c r="Q863" t="s">
        <v>40</v>
      </c>
      <c r="R863" t="s">
        <v>41</v>
      </c>
      <c r="S863">
        <v>2</v>
      </c>
      <c r="T863">
        <v>1</v>
      </c>
      <c r="U863" t="s">
        <v>32</v>
      </c>
      <c r="V863" t="s">
        <v>33</v>
      </c>
      <c r="W863">
        <v>5</v>
      </c>
    </row>
    <row r="864" spans="1:23" x14ac:dyDescent="0.25">
      <c r="A864" t="s">
        <v>1408</v>
      </c>
      <c r="B864" s="1">
        <v>46012</v>
      </c>
      <c r="C864" t="s">
        <v>661</v>
      </c>
      <c r="D864" t="s">
        <v>79</v>
      </c>
      <c r="E864" t="s">
        <v>46</v>
      </c>
      <c r="F864" t="s">
        <v>37</v>
      </c>
      <c r="G864" t="s">
        <v>224</v>
      </c>
      <c r="H864">
        <v>2</v>
      </c>
      <c r="I864">
        <v>12798</v>
      </c>
      <c r="J864">
        <v>20</v>
      </c>
      <c r="K864">
        <v>5119.2</v>
      </c>
      <c r="L864">
        <v>20476.8</v>
      </c>
      <c r="M864">
        <v>14635.3</v>
      </c>
      <c r="N864">
        <v>5841.5</v>
      </c>
      <c r="O864" t="s">
        <v>39</v>
      </c>
      <c r="P864">
        <v>981.84</v>
      </c>
      <c r="Q864" t="s">
        <v>73</v>
      </c>
      <c r="R864" t="s">
        <v>31</v>
      </c>
      <c r="S864">
        <v>5</v>
      </c>
      <c r="T864">
        <v>5</v>
      </c>
      <c r="U864" t="s">
        <v>32</v>
      </c>
      <c r="V864" t="s">
        <v>50</v>
      </c>
      <c r="W864">
        <v>5</v>
      </c>
    </row>
    <row r="865" spans="1:23" x14ac:dyDescent="0.25">
      <c r="A865" t="s">
        <v>1409</v>
      </c>
      <c r="B865" s="1">
        <v>45782</v>
      </c>
      <c r="C865" t="s">
        <v>62</v>
      </c>
      <c r="D865" t="s">
        <v>124</v>
      </c>
      <c r="E865" t="s">
        <v>46</v>
      </c>
      <c r="F865" t="s">
        <v>53</v>
      </c>
      <c r="G865" t="s">
        <v>59</v>
      </c>
      <c r="H865">
        <v>2</v>
      </c>
      <c r="I865">
        <v>55538</v>
      </c>
      <c r="J865">
        <v>0</v>
      </c>
      <c r="K865">
        <v>0</v>
      </c>
      <c r="L865">
        <v>111076</v>
      </c>
      <c r="M865">
        <v>72929.66</v>
      </c>
      <c r="N865">
        <v>38146.339999999997</v>
      </c>
      <c r="O865" t="s">
        <v>91</v>
      </c>
      <c r="P865">
        <v>435</v>
      </c>
      <c r="Q865" t="s">
        <v>83</v>
      </c>
      <c r="R865" t="s">
        <v>31</v>
      </c>
      <c r="S865">
        <v>5</v>
      </c>
      <c r="T865">
        <v>8</v>
      </c>
      <c r="U865" t="s">
        <v>56</v>
      </c>
      <c r="V865" t="s">
        <v>33</v>
      </c>
      <c r="W865">
        <v>5</v>
      </c>
    </row>
    <row r="866" spans="1:23" x14ac:dyDescent="0.25">
      <c r="A866" t="s">
        <v>1410</v>
      </c>
      <c r="B866" s="1">
        <v>45814</v>
      </c>
      <c r="C866" t="s">
        <v>1411</v>
      </c>
      <c r="D866" t="s">
        <v>67</v>
      </c>
      <c r="E866" t="s">
        <v>36</v>
      </c>
      <c r="F866" t="s">
        <v>37</v>
      </c>
      <c r="G866" t="s">
        <v>100</v>
      </c>
      <c r="H866">
        <v>1</v>
      </c>
      <c r="I866">
        <v>9991</v>
      </c>
      <c r="J866">
        <v>5</v>
      </c>
      <c r="K866">
        <v>499.55</v>
      </c>
      <c r="L866">
        <v>9491.4500000000007</v>
      </c>
      <c r="M866">
        <v>6482.63</v>
      </c>
      <c r="N866">
        <v>3008.82</v>
      </c>
      <c r="O866" t="s">
        <v>49</v>
      </c>
      <c r="P866">
        <v>195.36</v>
      </c>
      <c r="Q866" t="s">
        <v>68</v>
      </c>
      <c r="R866" t="s">
        <v>41</v>
      </c>
      <c r="S866">
        <v>2</v>
      </c>
      <c r="T866">
        <v>1</v>
      </c>
      <c r="U866" t="s">
        <v>32</v>
      </c>
      <c r="V866" t="s">
        <v>33</v>
      </c>
      <c r="W866">
        <v>5</v>
      </c>
    </row>
    <row r="867" spans="1:23" x14ac:dyDescent="0.25">
      <c r="A867" t="s">
        <v>1412</v>
      </c>
      <c r="B867" s="1">
        <v>45997</v>
      </c>
      <c r="C867" t="s">
        <v>572</v>
      </c>
      <c r="D867" t="s">
        <v>79</v>
      </c>
      <c r="E867" t="s">
        <v>36</v>
      </c>
      <c r="F867" t="s">
        <v>53</v>
      </c>
      <c r="G867" t="s">
        <v>54</v>
      </c>
      <c r="H867">
        <v>2</v>
      </c>
      <c r="I867">
        <v>75176</v>
      </c>
      <c r="J867">
        <v>20</v>
      </c>
      <c r="K867">
        <v>30070.400000000001</v>
      </c>
      <c r="L867">
        <v>120281.60000000001</v>
      </c>
      <c r="M867">
        <v>97355.9</v>
      </c>
      <c r="N867">
        <v>22925.7</v>
      </c>
      <c r="O867" t="s">
        <v>55</v>
      </c>
      <c r="P867">
        <v>2296.48</v>
      </c>
      <c r="Q867" t="s">
        <v>68</v>
      </c>
      <c r="R867" t="s">
        <v>31</v>
      </c>
      <c r="S867">
        <v>5</v>
      </c>
      <c r="T867">
        <v>4</v>
      </c>
      <c r="U867" t="s">
        <v>32</v>
      </c>
      <c r="V867" t="s">
        <v>33</v>
      </c>
      <c r="W867">
        <v>1</v>
      </c>
    </row>
    <row r="868" spans="1:23" x14ac:dyDescent="0.25">
      <c r="A868" t="s">
        <v>1413</v>
      </c>
      <c r="B868" s="1">
        <v>45955</v>
      </c>
      <c r="C868" t="s">
        <v>364</v>
      </c>
      <c r="D868" t="s">
        <v>25</v>
      </c>
      <c r="E868" t="s">
        <v>46</v>
      </c>
      <c r="F868" t="s">
        <v>53</v>
      </c>
      <c r="G868" t="s">
        <v>151</v>
      </c>
      <c r="H868">
        <v>1</v>
      </c>
      <c r="I868">
        <v>87275</v>
      </c>
      <c r="J868">
        <v>10</v>
      </c>
      <c r="K868">
        <v>8727.5</v>
      </c>
      <c r="L868">
        <v>78547.5</v>
      </c>
      <c r="M868">
        <v>53217.01</v>
      </c>
      <c r="N868">
        <v>25330.49</v>
      </c>
      <c r="O868" t="s">
        <v>60</v>
      </c>
      <c r="P868">
        <v>852.39</v>
      </c>
      <c r="Q868" t="s">
        <v>40</v>
      </c>
      <c r="R868" t="s">
        <v>41</v>
      </c>
      <c r="S868">
        <v>2</v>
      </c>
      <c r="T868">
        <v>2</v>
      </c>
      <c r="U868" t="s">
        <v>32</v>
      </c>
      <c r="V868" t="s">
        <v>50</v>
      </c>
      <c r="W868">
        <v>5</v>
      </c>
    </row>
    <row r="869" spans="1:23" x14ac:dyDescent="0.25">
      <c r="A869" t="s">
        <v>1414</v>
      </c>
      <c r="B869" s="1">
        <v>45846</v>
      </c>
      <c r="C869" t="s">
        <v>166</v>
      </c>
      <c r="D869" t="s">
        <v>45</v>
      </c>
      <c r="E869" t="s">
        <v>46</v>
      </c>
      <c r="F869" t="s">
        <v>53</v>
      </c>
      <c r="G869" t="s">
        <v>54</v>
      </c>
      <c r="H869">
        <v>1</v>
      </c>
      <c r="I869">
        <v>112819</v>
      </c>
      <c r="J869">
        <v>10</v>
      </c>
      <c r="K869">
        <v>11281.9</v>
      </c>
      <c r="L869">
        <v>101537.1</v>
      </c>
      <c r="M869">
        <v>72395.62</v>
      </c>
      <c r="N869">
        <v>29141.48</v>
      </c>
      <c r="O869" t="s">
        <v>49</v>
      </c>
      <c r="P869">
        <v>292.64999999999998</v>
      </c>
      <c r="Q869" t="s">
        <v>68</v>
      </c>
      <c r="R869" t="s">
        <v>41</v>
      </c>
      <c r="S869">
        <v>2</v>
      </c>
      <c r="T869">
        <v>2</v>
      </c>
      <c r="U869" t="s">
        <v>32</v>
      </c>
      <c r="V869" t="s">
        <v>33</v>
      </c>
      <c r="W869">
        <v>1</v>
      </c>
    </row>
    <row r="870" spans="1:23" x14ac:dyDescent="0.25">
      <c r="A870" t="s">
        <v>1415</v>
      </c>
      <c r="B870" s="1">
        <v>45900</v>
      </c>
      <c r="C870" t="s">
        <v>563</v>
      </c>
      <c r="D870" t="s">
        <v>67</v>
      </c>
      <c r="E870" t="s">
        <v>36</v>
      </c>
      <c r="F870" t="s">
        <v>47</v>
      </c>
      <c r="G870" t="s">
        <v>105</v>
      </c>
      <c r="H870">
        <v>2</v>
      </c>
      <c r="I870">
        <v>33691</v>
      </c>
      <c r="J870">
        <v>5</v>
      </c>
      <c r="K870">
        <v>3369.1</v>
      </c>
      <c r="L870">
        <v>64012.9</v>
      </c>
      <c r="M870">
        <v>45690.71</v>
      </c>
      <c r="N870">
        <v>18322.189999999999</v>
      </c>
      <c r="O870" t="s">
        <v>39</v>
      </c>
      <c r="P870">
        <v>752.33</v>
      </c>
      <c r="Q870" t="s">
        <v>73</v>
      </c>
      <c r="R870" t="s">
        <v>31</v>
      </c>
      <c r="S870">
        <v>5</v>
      </c>
      <c r="T870">
        <v>0</v>
      </c>
      <c r="U870" t="s">
        <v>32</v>
      </c>
      <c r="V870" t="s">
        <v>42</v>
      </c>
    </row>
    <row r="871" spans="1:23" x14ac:dyDescent="0.25">
      <c r="A871" t="s">
        <v>1416</v>
      </c>
      <c r="B871" s="1">
        <v>45941</v>
      </c>
      <c r="C871" t="s">
        <v>1026</v>
      </c>
      <c r="D871" t="s">
        <v>79</v>
      </c>
      <c r="E871" t="s">
        <v>46</v>
      </c>
      <c r="F871" t="s">
        <v>86</v>
      </c>
      <c r="G871" t="s">
        <v>94</v>
      </c>
      <c r="H871">
        <v>1</v>
      </c>
      <c r="I871">
        <v>44528</v>
      </c>
      <c r="J871">
        <v>25</v>
      </c>
      <c r="K871">
        <v>11132</v>
      </c>
      <c r="L871">
        <v>33396</v>
      </c>
      <c r="M871">
        <v>22039.919999999998</v>
      </c>
      <c r="N871">
        <v>11356.08</v>
      </c>
      <c r="O871" t="s">
        <v>55</v>
      </c>
      <c r="P871">
        <v>1650.1</v>
      </c>
      <c r="Q871" t="s">
        <v>73</v>
      </c>
      <c r="R871" t="s">
        <v>31</v>
      </c>
      <c r="S871">
        <v>5</v>
      </c>
      <c r="T871">
        <v>6</v>
      </c>
      <c r="U871" t="s">
        <v>32</v>
      </c>
      <c r="V871" t="s">
        <v>50</v>
      </c>
      <c r="W871">
        <v>3</v>
      </c>
    </row>
    <row r="872" spans="1:23" x14ac:dyDescent="0.25">
      <c r="A872" t="s">
        <v>1417</v>
      </c>
      <c r="B872" s="1">
        <v>45929</v>
      </c>
      <c r="C872" t="s">
        <v>702</v>
      </c>
      <c r="D872" t="s">
        <v>71</v>
      </c>
      <c r="E872" t="s">
        <v>36</v>
      </c>
      <c r="F872" t="s">
        <v>47</v>
      </c>
      <c r="G872" t="s">
        <v>105</v>
      </c>
      <c r="H872">
        <v>2</v>
      </c>
      <c r="I872">
        <v>52461</v>
      </c>
      <c r="J872">
        <v>15</v>
      </c>
      <c r="K872">
        <v>15738.3</v>
      </c>
      <c r="L872">
        <v>89183.7</v>
      </c>
      <c r="M872">
        <v>67840.509999999995</v>
      </c>
      <c r="N872">
        <v>21343.19</v>
      </c>
      <c r="O872" t="s">
        <v>60</v>
      </c>
      <c r="P872">
        <v>2212.11</v>
      </c>
      <c r="Q872" t="s">
        <v>83</v>
      </c>
      <c r="R872" t="s">
        <v>31</v>
      </c>
      <c r="S872">
        <v>5</v>
      </c>
      <c r="T872">
        <v>4</v>
      </c>
      <c r="U872" t="s">
        <v>32</v>
      </c>
      <c r="V872" t="s">
        <v>33</v>
      </c>
      <c r="W872">
        <v>2</v>
      </c>
    </row>
    <row r="873" spans="1:23" x14ac:dyDescent="0.25">
      <c r="A873" t="s">
        <v>1418</v>
      </c>
      <c r="B873" s="1">
        <v>45834</v>
      </c>
      <c r="C873" t="s">
        <v>81</v>
      </c>
      <c r="D873" t="s">
        <v>71</v>
      </c>
      <c r="E873" t="s">
        <v>36</v>
      </c>
      <c r="F873" t="s">
        <v>37</v>
      </c>
      <c r="G873" t="s">
        <v>161</v>
      </c>
      <c r="H873">
        <v>1</v>
      </c>
      <c r="I873">
        <v>33860</v>
      </c>
      <c r="J873">
        <v>0</v>
      </c>
      <c r="K873">
        <v>0</v>
      </c>
      <c r="L873">
        <v>33860</v>
      </c>
      <c r="M873">
        <v>21551.96</v>
      </c>
      <c r="N873">
        <v>12308.04</v>
      </c>
      <c r="O873" t="s">
        <v>60</v>
      </c>
      <c r="P873">
        <v>1965.47</v>
      </c>
      <c r="Q873" t="s">
        <v>73</v>
      </c>
      <c r="R873" t="s">
        <v>31</v>
      </c>
      <c r="S873">
        <v>5</v>
      </c>
      <c r="T873">
        <v>0</v>
      </c>
      <c r="U873" t="s">
        <v>32</v>
      </c>
      <c r="V873" t="s">
        <v>50</v>
      </c>
      <c r="W873">
        <v>2</v>
      </c>
    </row>
    <row r="874" spans="1:23" x14ac:dyDescent="0.25">
      <c r="A874" t="s">
        <v>1419</v>
      </c>
      <c r="B874" s="1">
        <v>45875</v>
      </c>
      <c r="C874" t="s">
        <v>66</v>
      </c>
      <c r="D874" t="s">
        <v>71</v>
      </c>
      <c r="E874" t="s">
        <v>26</v>
      </c>
      <c r="F874" t="s">
        <v>86</v>
      </c>
      <c r="G874" t="s">
        <v>94</v>
      </c>
      <c r="H874">
        <v>1</v>
      </c>
      <c r="I874">
        <v>69605</v>
      </c>
      <c r="J874">
        <v>5</v>
      </c>
      <c r="K874">
        <v>3480.25</v>
      </c>
      <c r="L874">
        <v>66124.75</v>
      </c>
      <c r="M874">
        <v>53935.21</v>
      </c>
      <c r="N874">
        <v>12189.54</v>
      </c>
      <c r="O874" t="s">
        <v>29</v>
      </c>
      <c r="P874">
        <v>2415.1999999999998</v>
      </c>
      <c r="Q874" t="s">
        <v>83</v>
      </c>
      <c r="R874" t="s">
        <v>41</v>
      </c>
      <c r="S874">
        <v>2</v>
      </c>
      <c r="T874">
        <v>1</v>
      </c>
      <c r="U874" t="s">
        <v>32</v>
      </c>
      <c r="V874" t="s">
        <v>33</v>
      </c>
      <c r="W874">
        <v>5</v>
      </c>
    </row>
    <row r="875" spans="1:23" x14ac:dyDescent="0.25">
      <c r="A875" t="s">
        <v>1420</v>
      </c>
      <c r="B875" s="1">
        <v>45939</v>
      </c>
      <c r="C875" t="s">
        <v>1421</v>
      </c>
      <c r="D875" t="s">
        <v>90</v>
      </c>
      <c r="E875" t="s">
        <v>36</v>
      </c>
      <c r="F875" t="s">
        <v>47</v>
      </c>
      <c r="G875" t="s">
        <v>48</v>
      </c>
      <c r="H875">
        <v>2</v>
      </c>
      <c r="I875">
        <v>26558</v>
      </c>
      <c r="J875">
        <v>0</v>
      </c>
      <c r="K875">
        <v>0</v>
      </c>
      <c r="L875">
        <v>53116</v>
      </c>
      <c r="M875">
        <v>35057.269999999997</v>
      </c>
      <c r="N875">
        <v>18058.73</v>
      </c>
      <c r="O875" t="s">
        <v>29</v>
      </c>
      <c r="P875">
        <v>1060.9000000000001</v>
      </c>
      <c r="Q875" t="s">
        <v>83</v>
      </c>
      <c r="R875" t="s">
        <v>31</v>
      </c>
      <c r="S875">
        <v>5</v>
      </c>
      <c r="T875">
        <v>3</v>
      </c>
      <c r="U875" t="s">
        <v>32</v>
      </c>
      <c r="V875" t="s">
        <v>33</v>
      </c>
      <c r="W875">
        <v>5</v>
      </c>
    </row>
    <row r="876" spans="1:23" x14ac:dyDescent="0.25">
      <c r="A876" t="s">
        <v>1422</v>
      </c>
      <c r="B876" s="1">
        <v>45827</v>
      </c>
      <c r="C876" t="s">
        <v>121</v>
      </c>
      <c r="D876" t="s">
        <v>67</v>
      </c>
      <c r="E876" t="s">
        <v>26</v>
      </c>
      <c r="F876" t="s">
        <v>53</v>
      </c>
      <c r="G876" t="s">
        <v>151</v>
      </c>
      <c r="H876">
        <v>2</v>
      </c>
      <c r="I876">
        <v>15224</v>
      </c>
      <c r="J876">
        <v>10</v>
      </c>
      <c r="K876">
        <v>3044.8</v>
      </c>
      <c r="L876">
        <v>27403.200000000001</v>
      </c>
      <c r="M876">
        <v>17186.09</v>
      </c>
      <c r="N876">
        <v>10217.11</v>
      </c>
      <c r="O876" t="s">
        <v>49</v>
      </c>
      <c r="P876">
        <v>497.91</v>
      </c>
      <c r="Q876" t="s">
        <v>73</v>
      </c>
      <c r="R876" t="s">
        <v>31</v>
      </c>
      <c r="S876">
        <v>5</v>
      </c>
      <c r="T876">
        <v>4</v>
      </c>
      <c r="U876" t="s">
        <v>32</v>
      </c>
      <c r="V876" t="s">
        <v>33</v>
      </c>
      <c r="W876">
        <v>5</v>
      </c>
    </row>
    <row r="877" spans="1:23" x14ac:dyDescent="0.25">
      <c r="A877" t="s">
        <v>1423</v>
      </c>
      <c r="B877" s="1">
        <v>45838</v>
      </c>
      <c r="C877" t="s">
        <v>1424</v>
      </c>
      <c r="D877" t="s">
        <v>45</v>
      </c>
      <c r="E877" t="s">
        <v>26</v>
      </c>
      <c r="F877" t="s">
        <v>37</v>
      </c>
      <c r="G877" t="s">
        <v>161</v>
      </c>
      <c r="H877">
        <v>3</v>
      </c>
      <c r="I877">
        <v>28632</v>
      </c>
      <c r="J877">
        <v>10</v>
      </c>
      <c r="K877">
        <v>8589.6</v>
      </c>
      <c r="L877">
        <v>77306.399999999994</v>
      </c>
      <c r="M877">
        <v>59848.77</v>
      </c>
      <c r="N877">
        <v>17457.63</v>
      </c>
      <c r="O877" t="s">
        <v>49</v>
      </c>
      <c r="P877">
        <v>183</v>
      </c>
      <c r="Q877" t="s">
        <v>40</v>
      </c>
      <c r="R877" t="s">
        <v>41</v>
      </c>
      <c r="S877">
        <v>2</v>
      </c>
      <c r="T877">
        <v>0</v>
      </c>
      <c r="U877" t="s">
        <v>32</v>
      </c>
      <c r="V877" t="s">
        <v>50</v>
      </c>
      <c r="W877">
        <v>5</v>
      </c>
    </row>
    <row r="878" spans="1:23" x14ac:dyDescent="0.25">
      <c r="A878" t="s">
        <v>1425</v>
      </c>
      <c r="B878" s="1">
        <v>46017</v>
      </c>
      <c r="C878" t="s">
        <v>249</v>
      </c>
      <c r="D878" t="s">
        <v>45</v>
      </c>
      <c r="E878" t="s">
        <v>46</v>
      </c>
      <c r="F878" t="s">
        <v>86</v>
      </c>
      <c r="G878" t="s">
        <v>110</v>
      </c>
      <c r="H878">
        <v>2</v>
      </c>
      <c r="I878">
        <v>71593</v>
      </c>
      <c r="J878">
        <v>0</v>
      </c>
      <c r="K878">
        <v>0</v>
      </c>
      <c r="L878">
        <v>143186</v>
      </c>
      <c r="M878">
        <v>113180.76</v>
      </c>
      <c r="N878">
        <v>30005.24</v>
      </c>
      <c r="O878" t="s">
        <v>91</v>
      </c>
      <c r="P878">
        <v>1994.77</v>
      </c>
      <c r="Q878" t="s">
        <v>68</v>
      </c>
      <c r="R878" t="s">
        <v>31</v>
      </c>
      <c r="S878">
        <v>5</v>
      </c>
      <c r="T878">
        <v>3</v>
      </c>
      <c r="U878" t="s">
        <v>32</v>
      </c>
      <c r="V878" t="s">
        <v>33</v>
      </c>
      <c r="W878">
        <v>5</v>
      </c>
    </row>
    <row r="879" spans="1:23" x14ac:dyDescent="0.25">
      <c r="A879" t="s">
        <v>1426</v>
      </c>
      <c r="B879" s="1">
        <v>45890</v>
      </c>
      <c r="C879" t="s">
        <v>1001</v>
      </c>
      <c r="D879" t="s">
        <v>71</v>
      </c>
      <c r="E879" t="s">
        <v>26</v>
      </c>
      <c r="F879" t="s">
        <v>86</v>
      </c>
      <c r="G879" t="s">
        <v>87</v>
      </c>
      <c r="H879">
        <v>3</v>
      </c>
      <c r="I879">
        <v>9009</v>
      </c>
      <c r="J879">
        <v>0</v>
      </c>
      <c r="K879">
        <v>0</v>
      </c>
      <c r="L879">
        <v>27027</v>
      </c>
      <c r="M879">
        <v>17769.13</v>
      </c>
      <c r="N879">
        <v>9257.8700000000008</v>
      </c>
      <c r="O879" t="s">
        <v>29</v>
      </c>
      <c r="P879">
        <v>1160.72</v>
      </c>
      <c r="Q879" t="s">
        <v>83</v>
      </c>
      <c r="R879" t="s">
        <v>41</v>
      </c>
      <c r="S879">
        <v>2</v>
      </c>
      <c r="T879">
        <v>2</v>
      </c>
      <c r="U879" t="s">
        <v>32</v>
      </c>
      <c r="V879" t="s">
        <v>33</v>
      </c>
      <c r="W879">
        <v>5</v>
      </c>
    </row>
    <row r="880" spans="1:23" x14ac:dyDescent="0.25">
      <c r="A880" t="s">
        <v>1427</v>
      </c>
      <c r="B880" s="1">
        <v>45796</v>
      </c>
      <c r="C880" t="s">
        <v>927</v>
      </c>
      <c r="D880" t="s">
        <v>63</v>
      </c>
      <c r="E880" t="s">
        <v>36</v>
      </c>
      <c r="F880" t="s">
        <v>27</v>
      </c>
      <c r="G880" t="s">
        <v>76</v>
      </c>
      <c r="H880">
        <v>2</v>
      </c>
      <c r="I880">
        <v>14175</v>
      </c>
      <c r="J880">
        <v>5</v>
      </c>
      <c r="K880">
        <v>1417.5</v>
      </c>
      <c r="L880">
        <v>26932.5</v>
      </c>
      <c r="M880">
        <v>21346.720000000001</v>
      </c>
      <c r="N880">
        <v>5585.78</v>
      </c>
      <c r="O880" t="s">
        <v>29</v>
      </c>
      <c r="P880">
        <v>2263.25</v>
      </c>
      <c r="Q880" t="s">
        <v>83</v>
      </c>
      <c r="R880" t="s">
        <v>31</v>
      </c>
      <c r="S880">
        <v>5</v>
      </c>
      <c r="T880">
        <v>5</v>
      </c>
      <c r="U880" t="s">
        <v>32</v>
      </c>
      <c r="V880" t="s">
        <v>42</v>
      </c>
    </row>
    <row r="881" spans="1:23" x14ac:dyDescent="0.25">
      <c r="A881" t="s">
        <v>1428</v>
      </c>
      <c r="B881" s="1">
        <v>45814</v>
      </c>
      <c r="C881" t="s">
        <v>390</v>
      </c>
      <c r="D881" t="s">
        <v>71</v>
      </c>
      <c r="E881" t="s">
        <v>46</v>
      </c>
      <c r="F881" t="s">
        <v>86</v>
      </c>
      <c r="G881" t="s">
        <v>180</v>
      </c>
      <c r="H881">
        <v>1</v>
      </c>
      <c r="I881">
        <v>62904</v>
      </c>
      <c r="J881">
        <v>25</v>
      </c>
      <c r="K881">
        <v>15726</v>
      </c>
      <c r="L881">
        <v>47178</v>
      </c>
      <c r="M881">
        <v>36196.76</v>
      </c>
      <c r="N881">
        <v>10981.24</v>
      </c>
      <c r="O881" t="s">
        <v>49</v>
      </c>
      <c r="P881">
        <v>393.4</v>
      </c>
      <c r="Q881" t="s">
        <v>40</v>
      </c>
      <c r="R881" t="s">
        <v>41</v>
      </c>
      <c r="S881">
        <v>2</v>
      </c>
      <c r="T881">
        <v>4</v>
      </c>
      <c r="U881" t="s">
        <v>56</v>
      </c>
      <c r="V881" t="s">
        <v>33</v>
      </c>
      <c r="W881">
        <v>5</v>
      </c>
    </row>
    <row r="882" spans="1:23" x14ac:dyDescent="0.25">
      <c r="A882" t="s">
        <v>1429</v>
      </c>
      <c r="B882" s="1">
        <v>45786</v>
      </c>
      <c r="C882" t="s">
        <v>1291</v>
      </c>
      <c r="D882" t="s">
        <v>79</v>
      </c>
      <c r="E882" t="s">
        <v>46</v>
      </c>
      <c r="F882" t="s">
        <v>47</v>
      </c>
      <c r="G882" t="s">
        <v>105</v>
      </c>
      <c r="H882">
        <v>1</v>
      </c>
      <c r="I882">
        <v>48310</v>
      </c>
      <c r="J882">
        <v>25</v>
      </c>
      <c r="K882">
        <v>12077.5</v>
      </c>
      <c r="L882">
        <v>36232.5</v>
      </c>
      <c r="M882">
        <v>24642.48</v>
      </c>
      <c r="N882">
        <v>11590.02</v>
      </c>
      <c r="O882" t="s">
        <v>29</v>
      </c>
      <c r="P882">
        <v>2110.41</v>
      </c>
      <c r="Q882" t="s">
        <v>68</v>
      </c>
      <c r="R882" t="s">
        <v>31</v>
      </c>
      <c r="S882">
        <v>5</v>
      </c>
      <c r="T882">
        <v>10</v>
      </c>
      <c r="U882" t="s">
        <v>56</v>
      </c>
      <c r="V882" t="s">
        <v>33</v>
      </c>
      <c r="W882">
        <v>5</v>
      </c>
    </row>
    <row r="883" spans="1:23" x14ac:dyDescent="0.25">
      <c r="A883" t="s">
        <v>1430</v>
      </c>
      <c r="B883" s="1">
        <v>45776</v>
      </c>
      <c r="C883" t="s">
        <v>368</v>
      </c>
      <c r="D883" t="s">
        <v>45</v>
      </c>
      <c r="E883" t="s">
        <v>36</v>
      </c>
      <c r="F883" t="s">
        <v>47</v>
      </c>
      <c r="G883" t="s">
        <v>64</v>
      </c>
      <c r="H883">
        <v>2</v>
      </c>
      <c r="I883">
        <v>19585</v>
      </c>
      <c r="J883">
        <v>0</v>
      </c>
      <c r="K883">
        <v>0</v>
      </c>
      <c r="L883">
        <v>39170</v>
      </c>
      <c r="M883">
        <v>24088.07</v>
      </c>
      <c r="N883">
        <v>15081.93</v>
      </c>
      <c r="O883" t="s">
        <v>39</v>
      </c>
      <c r="P883">
        <v>2267.69</v>
      </c>
      <c r="Q883" t="s">
        <v>83</v>
      </c>
      <c r="R883" t="s">
        <v>41</v>
      </c>
      <c r="S883">
        <v>2</v>
      </c>
      <c r="T883">
        <v>1</v>
      </c>
      <c r="U883" t="s">
        <v>32</v>
      </c>
      <c r="V883" t="s">
        <v>33</v>
      </c>
      <c r="W883">
        <v>5</v>
      </c>
    </row>
    <row r="884" spans="1:23" x14ac:dyDescent="0.25">
      <c r="A884" t="s">
        <v>1431</v>
      </c>
      <c r="B884" s="1">
        <v>45719</v>
      </c>
      <c r="C884" t="s">
        <v>538</v>
      </c>
      <c r="D884" t="s">
        <v>90</v>
      </c>
      <c r="E884" t="s">
        <v>26</v>
      </c>
      <c r="F884" t="s">
        <v>47</v>
      </c>
      <c r="G884" t="s">
        <v>105</v>
      </c>
      <c r="H884">
        <v>1</v>
      </c>
      <c r="I884">
        <v>32603</v>
      </c>
      <c r="J884">
        <v>0</v>
      </c>
      <c r="K884">
        <v>0</v>
      </c>
      <c r="L884">
        <v>32603</v>
      </c>
      <c r="M884">
        <v>25270.639999999999</v>
      </c>
      <c r="N884">
        <v>7332.36</v>
      </c>
      <c r="O884" t="s">
        <v>55</v>
      </c>
      <c r="P884">
        <v>386.79</v>
      </c>
      <c r="Q884" t="s">
        <v>68</v>
      </c>
      <c r="R884" t="s">
        <v>31</v>
      </c>
      <c r="S884">
        <v>5</v>
      </c>
      <c r="T884">
        <v>4</v>
      </c>
      <c r="U884" t="s">
        <v>32</v>
      </c>
      <c r="V884" t="s">
        <v>33</v>
      </c>
      <c r="W884">
        <v>1</v>
      </c>
    </row>
    <row r="885" spans="1:23" x14ac:dyDescent="0.25">
      <c r="A885" t="s">
        <v>1432</v>
      </c>
      <c r="B885" s="1">
        <v>45756</v>
      </c>
      <c r="C885" t="s">
        <v>286</v>
      </c>
      <c r="D885" t="s">
        <v>90</v>
      </c>
      <c r="E885" t="s">
        <v>46</v>
      </c>
      <c r="F885" t="s">
        <v>37</v>
      </c>
      <c r="G885" t="s">
        <v>313</v>
      </c>
      <c r="H885">
        <v>1</v>
      </c>
      <c r="I885">
        <v>8794</v>
      </c>
      <c r="J885">
        <v>10</v>
      </c>
      <c r="K885">
        <v>879.4</v>
      </c>
      <c r="L885">
        <v>7914.6</v>
      </c>
      <c r="M885">
        <v>4469.12</v>
      </c>
      <c r="N885">
        <v>3445.48</v>
      </c>
      <c r="O885" t="s">
        <v>55</v>
      </c>
      <c r="P885">
        <v>1647.94</v>
      </c>
      <c r="Q885" t="s">
        <v>68</v>
      </c>
      <c r="R885" t="s">
        <v>31</v>
      </c>
      <c r="S885">
        <v>5</v>
      </c>
      <c r="T885">
        <v>7</v>
      </c>
      <c r="U885" t="s">
        <v>56</v>
      </c>
      <c r="V885" t="s">
        <v>33</v>
      </c>
      <c r="W885">
        <v>5</v>
      </c>
    </row>
    <row r="886" spans="1:23" x14ac:dyDescent="0.25">
      <c r="A886" t="s">
        <v>1433</v>
      </c>
      <c r="B886" s="1">
        <v>45819</v>
      </c>
      <c r="C886" t="s">
        <v>1046</v>
      </c>
      <c r="D886" t="s">
        <v>154</v>
      </c>
      <c r="E886" t="s">
        <v>26</v>
      </c>
      <c r="F886" t="s">
        <v>37</v>
      </c>
      <c r="G886" t="s">
        <v>100</v>
      </c>
      <c r="H886">
        <v>1</v>
      </c>
      <c r="I886">
        <v>32878</v>
      </c>
      <c r="J886">
        <v>20</v>
      </c>
      <c r="K886">
        <v>6575.6</v>
      </c>
      <c r="L886">
        <v>26302.400000000001</v>
      </c>
      <c r="M886">
        <v>18719.04</v>
      </c>
      <c r="N886">
        <v>7583.36</v>
      </c>
      <c r="O886" t="s">
        <v>55</v>
      </c>
      <c r="P886">
        <v>1842.93</v>
      </c>
      <c r="Q886" t="s">
        <v>30</v>
      </c>
      <c r="R886" t="s">
        <v>31</v>
      </c>
      <c r="S886">
        <v>5</v>
      </c>
      <c r="T886">
        <v>6</v>
      </c>
      <c r="U886" t="s">
        <v>56</v>
      </c>
      <c r="V886" t="s">
        <v>33</v>
      </c>
      <c r="W886">
        <v>1</v>
      </c>
    </row>
    <row r="887" spans="1:23" x14ac:dyDescent="0.25">
      <c r="A887" t="s">
        <v>1434</v>
      </c>
      <c r="B887" s="1">
        <v>45719</v>
      </c>
      <c r="C887" t="s">
        <v>1046</v>
      </c>
      <c r="D887" t="s">
        <v>154</v>
      </c>
      <c r="E887" t="s">
        <v>46</v>
      </c>
      <c r="F887" t="s">
        <v>47</v>
      </c>
      <c r="G887" t="s">
        <v>105</v>
      </c>
      <c r="H887">
        <v>1</v>
      </c>
      <c r="I887">
        <v>13033</v>
      </c>
      <c r="J887">
        <v>15</v>
      </c>
      <c r="K887">
        <v>1954.95</v>
      </c>
      <c r="L887">
        <v>11078.05</v>
      </c>
      <c r="M887">
        <v>8853.9599999999991</v>
      </c>
      <c r="N887">
        <v>2224.09</v>
      </c>
      <c r="O887" t="s">
        <v>29</v>
      </c>
      <c r="P887">
        <v>1988.8</v>
      </c>
      <c r="Q887" t="s">
        <v>83</v>
      </c>
      <c r="R887" t="s">
        <v>31</v>
      </c>
      <c r="S887">
        <v>5</v>
      </c>
      <c r="T887">
        <v>8</v>
      </c>
      <c r="U887" t="s">
        <v>56</v>
      </c>
      <c r="V887" t="s">
        <v>33</v>
      </c>
      <c r="W887">
        <v>5</v>
      </c>
    </row>
    <row r="888" spans="1:23" x14ac:dyDescent="0.25">
      <c r="A888" t="s">
        <v>1435</v>
      </c>
      <c r="B888" s="1">
        <v>45932</v>
      </c>
      <c r="C888" t="s">
        <v>1355</v>
      </c>
      <c r="D888" t="s">
        <v>63</v>
      </c>
      <c r="E888" t="s">
        <v>36</v>
      </c>
      <c r="F888" t="s">
        <v>27</v>
      </c>
      <c r="G888" t="s">
        <v>28</v>
      </c>
      <c r="H888">
        <v>1</v>
      </c>
      <c r="I888">
        <v>7847</v>
      </c>
      <c r="J888">
        <v>10</v>
      </c>
      <c r="K888">
        <v>784.7</v>
      </c>
      <c r="L888">
        <v>7062.3</v>
      </c>
      <c r="M888">
        <v>5247.49</v>
      </c>
      <c r="N888">
        <v>1814.81</v>
      </c>
      <c r="O888" t="s">
        <v>55</v>
      </c>
      <c r="P888">
        <v>2306.38</v>
      </c>
      <c r="Q888" t="s">
        <v>30</v>
      </c>
      <c r="R888" t="s">
        <v>31</v>
      </c>
      <c r="S888">
        <v>5</v>
      </c>
      <c r="T888">
        <v>6</v>
      </c>
      <c r="U888" t="s">
        <v>56</v>
      </c>
      <c r="V888" t="s">
        <v>33</v>
      </c>
      <c r="W888">
        <v>3</v>
      </c>
    </row>
    <row r="889" spans="1:23" x14ac:dyDescent="0.25">
      <c r="A889" t="s">
        <v>1436</v>
      </c>
      <c r="B889" s="1">
        <v>46011</v>
      </c>
      <c r="C889" t="s">
        <v>170</v>
      </c>
      <c r="D889" t="s">
        <v>79</v>
      </c>
      <c r="E889" t="s">
        <v>46</v>
      </c>
      <c r="F889" t="s">
        <v>53</v>
      </c>
      <c r="G889" t="s">
        <v>54</v>
      </c>
      <c r="H889">
        <v>2</v>
      </c>
      <c r="I889">
        <v>30531</v>
      </c>
      <c r="J889">
        <v>0</v>
      </c>
      <c r="K889">
        <v>0</v>
      </c>
      <c r="L889">
        <v>61062</v>
      </c>
      <c r="M889">
        <v>39846.25</v>
      </c>
      <c r="N889">
        <v>21215.75</v>
      </c>
      <c r="O889" t="s">
        <v>60</v>
      </c>
      <c r="P889">
        <v>2097.88</v>
      </c>
      <c r="Q889" t="s">
        <v>73</v>
      </c>
      <c r="R889" t="s">
        <v>41</v>
      </c>
      <c r="S889">
        <v>2</v>
      </c>
      <c r="T889">
        <v>1</v>
      </c>
      <c r="U889" t="s">
        <v>32</v>
      </c>
      <c r="V889" t="s">
        <v>33</v>
      </c>
      <c r="W889">
        <v>2</v>
      </c>
    </row>
    <row r="890" spans="1:23" x14ac:dyDescent="0.25">
      <c r="A890" t="s">
        <v>1437</v>
      </c>
      <c r="B890" s="1">
        <v>45752</v>
      </c>
      <c r="C890" t="s">
        <v>1438</v>
      </c>
      <c r="D890" t="s">
        <v>97</v>
      </c>
      <c r="E890" t="s">
        <v>36</v>
      </c>
      <c r="F890" t="s">
        <v>47</v>
      </c>
      <c r="G890" t="s">
        <v>105</v>
      </c>
      <c r="H890">
        <v>1</v>
      </c>
      <c r="I890">
        <v>21303</v>
      </c>
      <c r="J890">
        <v>10</v>
      </c>
      <c r="K890">
        <v>2130.3000000000002</v>
      </c>
      <c r="L890">
        <v>19172.7</v>
      </c>
      <c r="M890">
        <v>12134.72</v>
      </c>
      <c r="N890">
        <v>7037.98</v>
      </c>
      <c r="O890" t="s">
        <v>29</v>
      </c>
      <c r="P890">
        <v>2410.85</v>
      </c>
      <c r="Q890" t="s">
        <v>40</v>
      </c>
      <c r="R890" t="s">
        <v>31</v>
      </c>
      <c r="S890">
        <v>5</v>
      </c>
      <c r="T890">
        <v>5</v>
      </c>
      <c r="U890" t="s">
        <v>32</v>
      </c>
      <c r="V890" t="s">
        <v>42</v>
      </c>
    </row>
    <row r="891" spans="1:23" x14ac:dyDescent="0.25">
      <c r="A891" t="s">
        <v>1439</v>
      </c>
      <c r="B891" s="1">
        <v>45756</v>
      </c>
      <c r="C891" t="s">
        <v>535</v>
      </c>
      <c r="D891" t="s">
        <v>71</v>
      </c>
      <c r="E891" t="s">
        <v>26</v>
      </c>
      <c r="F891" t="s">
        <v>86</v>
      </c>
      <c r="G891" t="s">
        <v>180</v>
      </c>
      <c r="H891">
        <v>4</v>
      </c>
      <c r="I891">
        <v>42096</v>
      </c>
      <c r="J891">
        <v>5</v>
      </c>
      <c r="K891">
        <v>8419.2000000000007</v>
      </c>
      <c r="L891">
        <v>159964.79999999999</v>
      </c>
      <c r="M891">
        <v>107491.46</v>
      </c>
      <c r="N891">
        <v>52473.34</v>
      </c>
      <c r="O891" t="s">
        <v>39</v>
      </c>
      <c r="P891">
        <v>1116.23</v>
      </c>
      <c r="Q891" t="s">
        <v>40</v>
      </c>
      <c r="R891" t="s">
        <v>41</v>
      </c>
      <c r="S891">
        <v>2</v>
      </c>
      <c r="T891">
        <v>6</v>
      </c>
      <c r="U891" t="s">
        <v>32</v>
      </c>
      <c r="V891" t="s">
        <v>50</v>
      </c>
      <c r="W891">
        <v>1</v>
      </c>
    </row>
    <row r="892" spans="1:23" x14ac:dyDescent="0.25">
      <c r="A892" t="s">
        <v>1440</v>
      </c>
      <c r="B892" s="1">
        <v>45768</v>
      </c>
      <c r="C892" t="s">
        <v>543</v>
      </c>
      <c r="D892" t="s">
        <v>67</v>
      </c>
      <c r="E892" t="s">
        <v>26</v>
      </c>
      <c r="F892" t="s">
        <v>53</v>
      </c>
      <c r="G892" t="s">
        <v>268</v>
      </c>
      <c r="H892">
        <v>3</v>
      </c>
      <c r="I892">
        <v>18853</v>
      </c>
      <c r="J892">
        <v>20</v>
      </c>
      <c r="K892">
        <v>11311.8</v>
      </c>
      <c r="L892">
        <v>45247.199999999997</v>
      </c>
      <c r="M892">
        <v>35810.980000000003</v>
      </c>
      <c r="N892">
        <v>9436.2199999999993</v>
      </c>
      <c r="O892" t="s">
        <v>49</v>
      </c>
      <c r="P892">
        <v>332.72</v>
      </c>
      <c r="Q892" t="s">
        <v>73</v>
      </c>
      <c r="R892" t="s">
        <v>31</v>
      </c>
      <c r="S892">
        <v>5</v>
      </c>
      <c r="T892">
        <v>0</v>
      </c>
      <c r="U892" t="s">
        <v>32</v>
      </c>
      <c r="V892" t="s">
        <v>42</v>
      </c>
    </row>
    <row r="893" spans="1:23" x14ac:dyDescent="0.25">
      <c r="A893" t="s">
        <v>1441</v>
      </c>
      <c r="B893" s="1">
        <v>45905</v>
      </c>
      <c r="C893" t="s">
        <v>597</v>
      </c>
      <c r="D893" t="s">
        <v>45</v>
      </c>
      <c r="E893" t="s">
        <v>46</v>
      </c>
      <c r="F893" t="s">
        <v>37</v>
      </c>
      <c r="G893" t="s">
        <v>100</v>
      </c>
      <c r="H893">
        <v>2</v>
      </c>
      <c r="I893">
        <v>31919</v>
      </c>
      <c r="J893">
        <v>5</v>
      </c>
      <c r="K893">
        <v>3191.9</v>
      </c>
      <c r="L893">
        <v>60646.1</v>
      </c>
      <c r="M893">
        <v>47678.63</v>
      </c>
      <c r="N893">
        <v>12967.47</v>
      </c>
      <c r="O893" t="s">
        <v>29</v>
      </c>
      <c r="P893">
        <v>2150.5700000000002</v>
      </c>
      <c r="Q893" t="s">
        <v>68</v>
      </c>
      <c r="R893" t="s">
        <v>31</v>
      </c>
      <c r="S893">
        <v>5</v>
      </c>
      <c r="T893">
        <v>0</v>
      </c>
      <c r="U893" t="s">
        <v>32</v>
      </c>
      <c r="V893" t="s">
        <v>42</v>
      </c>
    </row>
    <row r="894" spans="1:23" x14ac:dyDescent="0.25">
      <c r="A894" t="s">
        <v>1442</v>
      </c>
      <c r="B894" s="1">
        <v>45799</v>
      </c>
      <c r="C894" t="s">
        <v>1443</v>
      </c>
      <c r="D894" t="s">
        <v>90</v>
      </c>
      <c r="E894" t="s">
        <v>46</v>
      </c>
      <c r="F894" t="s">
        <v>37</v>
      </c>
      <c r="G894" t="s">
        <v>313</v>
      </c>
      <c r="H894">
        <v>2</v>
      </c>
      <c r="I894">
        <v>39690</v>
      </c>
      <c r="J894">
        <v>15</v>
      </c>
      <c r="K894">
        <v>11907</v>
      </c>
      <c r="L894">
        <v>67473</v>
      </c>
      <c r="M894">
        <v>44447.9</v>
      </c>
      <c r="N894">
        <v>23025.1</v>
      </c>
      <c r="O894" t="s">
        <v>39</v>
      </c>
      <c r="P894">
        <v>1810.26</v>
      </c>
      <c r="Q894" t="s">
        <v>30</v>
      </c>
      <c r="R894" t="s">
        <v>41</v>
      </c>
      <c r="S894">
        <v>2</v>
      </c>
      <c r="T894">
        <v>4</v>
      </c>
      <c r="U894" t="s">
        <v>56</v>
      </c>
      <c r="V894" t="s">
        <v>33</v>
      </c>
      <c r="W894">
        <v>4</v>
      </c>
    </row>
    <row r="895" spans="1:23" x14ac:dyDescent="0.25">
      <c r="A895" t="s">
        <v>1444</v>
      </c>
      <c r="B895" s="1">
        <v>45959</v>
      </c>
      <c r="C895" t="s">
        <v>648</v>
      </c>
      <c r="D895" t="s">
        <v>97</v>
      </c>
      <c r="E895" t="s">
        <v>36</v>
      </c>
      <c r="F895" t="s">
        <v>27</v>
      </c>
      <c r="G895" t="s">
        <v>76</v>
      </c>
      <c r="H895">
        <v>1</v>
      </c>
      <c r="I895">
        <v>21215</v>
      </c>
      <c r="J895">
        <v>0</v>
      </c>
      <c r="K895">
        <v>0</v>
      </c>
      <c r="L895">
        <v>21215</v>
      </c>
      <c r="M895">
        <v>15442.52</v>
      </c>
      <c r="N895">
        <v>5772.48</v>
      </c>
      <c r="O895" t="s">
        <v>91</v>
      </c>
      <c r="P895">
        <v>1647.1</v>
      </c>
      <c r="Q895" t="s">
        <v>73</v>
      </c>
      <c r="R895" t="s">
        <v>31</v>
      </c>
      <c r="S895">
        <v>5</v>
      </c>
      <c r="T895">
        <v>7</v>
      </c>
      <c r="U895" t="s">
        <v>56</v>
      </c>
      <c r="V895" t="s">
        <v>33</v>
      </c>
      <c r="W895">
        <v>2</v>
      </c>
    </row>
    <row r="896" spans="1:23" x14ac:dyDescent="0.25">
      <c r="A896" t="s">
        <v>1445</v>
      </c>
      <c r="B896" s="1">
        <v>45926</v>
      </c>
      <c r="C896" t="s">
        <v>484</v>
      </c>
      <c r="D896" t="s">
        <v>25</v>
      </c>
      <c r="E896" t="s">
        <v>26</v>
      </c>
      <c r="F896" t="s">
        <v>47</v>
      </c>
      <c r="G896" t="s">
        <v>138</v>
      </c>
      <c r="H896">
        <v>1</v>
      </c>
      <c r="I896">
        <v>13874</v>
      </c>
      <c r="J896">
        <v>0</v>
      </c>
      <c r="K896">
        <v>0</v>
      </c>
      <c r="L896">
        <v>13874</v>
      </c>
      <c r="M896">
        <v>9589.24</v>
      </c>
      <c r="N896">
        <v>4284.76</v>
      </c>
      <c r="O896" t="s">
        <v>55</v>
      </c>
      <c r="P896">
        <v>519.11</v>
      </c>
      <c r="Q896" t="s">
        <v>40</v>
      </c>
      <c r="R896" t="s">
        <v>31</v>
      </c>
      <c r="S896">
        <v>5</v>
      </c>
      <c r="T896">
        <v>7</v>
      </c>
      <c r="U896" t="s">
        <v>56</v>
      </c>
      <c r="V896" t="s">
        <v>33</v>
      </c>
      <c r="W896">
        <v>5</v>
      </c>
    </row>
    <row r="897" spans="1:23" x14ac:dyDescent="0.25">
      <c r="A897" t="s">
        <v>1446</v>
      </c>
      <c r="B897" s="1">
        <v>45963</v>
      </c>
      <c r="C897" t="s">
        <v>1037</v>
      </c>
      <c r="D897" t="s">
        <v>97</v>
      </c>
      <c r="E897" t="s">
        <v>26</v>
      </c>
      <c r="F897" t="s">
        <v>27</v>
      </c>
      <c r="G897" t="s">
        <v>113</v>
      </c>
      <c r="H897">
        <v>2</v>
      </c>
      <c r="I897">
        <v>12963</v>
      </c>
      <c r="J897">
        <v>0</v>
      </c>
      <c r="K897">
        <v>0</v>
      </c>
      <c r="L897">
        <v>25926</v>
      </c>
      <c r="M897">
        <v>20930.93</v>
      </c>
      <c r="N897">
        <v>4995.07</v>
      </c>
      <c r="O897" t="s">
        <v>29</v>
      </c>
      <c r="P897">
        <v>961.03</v>
      </c>
      <c r="Q897" t="s">
        <v>83</v>
      </c>
      <c r="R897" t="s">
        <v>31</v>
      </c>
      <c r="S897">
        <v>5</v>
      </c>
      <c r="T897">
        <v>6</v>
      </c>
      <c r="U897" t="s">
        <v>56</v>
      </c>
      <c r="V897" t="s">
        <v>33</v>
      </c>
      <c r="W897">
        <v>5</v>
      </c>
    </row>
    <row r="898" spans="1:23" x14ac:dyDescent="0.25">
      <c r="A898" t="s">
        <v>1447</v>
      </c>
      <c r="B898" s="1">
        <v>45802</v>
      </c>
      <c r="C898" t="s">
        <v>290</v>
      </c>
      <c r="D898" t="s">
        <v>71</v>
      </c>
      <c r="E898" t="s">
        <v>26</v>
      </c>
      <c r="F898" t="s">
        <v>37</v>
      </c>
      <c r="G898" t="s">
        <v>161</v>
      </c>
      <c r="H898">
        <v>2</v>
      </c>
      <c r="I898">
        <v>26132</v>
      </c>
      <c r="J898">
        <v>25</v>
      </c>
      <c r="K898">
        <v>13066</v>
      </c>
      <c r="L898">
        <v>39198</v>
      </c>
      <c r="M898">
        <v>27417.279999999999</v>
      </c>
      <c r="N898">
        <v>11780.72</v>
      </c>
      <c r="O898" t="s">
        <v>49</v>
      </c>
      <c r="P898">
        <v>206.05</v>
      </c>
      <c r="Q898" t="s">
        <v>40</v>
      </c>
      <c r="R898" t="s">
        <v>31</v>
      </c>
      <c r="S898">
        <v>5</v>
      </c>
      <c r="T898">
        <v>4</v>
      </c>
      <c r="U898" t="s">
        <v>32</v>
      </c>
      <c r="V898" t="s">
        <v>33</v>
      </c>
      <c r="W898">
        <v>3</v>
      </c>
    </row>
    <row r="899" spans="1:23" x14ac:dyDescent="0.25">
      <c r="A899" t="s">
        <v>1448</v>
      </c>
      <c r="B899" s="1">
        <v>45709</v>
      </c>
      <c r="C899" t="s">
        <v>1449</v>
      </c>
      <c r="D899" t="s">
        <v>67</v>
      </c>
      <c r="E899" t="s">
        <v>46</v>
      </c>
      <c r="F899" t="s">
        <v>37</v>
      </c>
      <c r="G899" t="s">
        <v>100</v>
      </c>
      <c r="H899">
        <v>1</v>
      </c>
      <c r="I899">
        <v>35300</v>
      </c>
      <c r="J899">
        <v>5</v>
      </c>
      <c r="K899">
        <v>1765</v>
      </c>
      <c r="L899">
        <v>33535</v>
      </c>
      <c r="M899">
        <v>23327.040000000001</v>
      </c>
      <c r="N899">
        <v>10207.959999999999</v>
      </c>
      <c r="O899" t="s">
        <v>55</v>
      </c>
      <c r="P899">
        <v>1239.6099999999999</v>
      </c>
      <c r="Q899" t="s">
        <v>30</v>
      </c>
      <c r="R899" t="s">
        <v>31</v>
      </c>
      <c r="S899">
        <v>5</v>
      </c>
      <c r="T899">
        <v>0</v>
      </c>
      <c r="U899" t="s">
        <v>32</v>
      </c>
      <c r="V899" t="s">
        <v>50</v>
      </c>
      <c r="W899">
        <v>5</v>
      </c>
    </row>
    <row r="900" spans="1:23" x14ac:dyDescent="0.25">
      <c r="A900" t="s">
        <v>1450</v>
      </c>
      <c r="B900" s="1">
        <v>45757</v>
      </c>
      <c r="C900" t="s">
        <v>1451</v>
      </c>
      <c r="D900" t="s">
        <v>67</v>
      </c>
      <c r="E900" t="s">
        <v>26</v>
      </c>
      <c r="F900" t="s">
        <v>53</v>
      </c>
      <c r="G900" t="s">
        <v>82</v>
      </c>
      <c r="H900">
        <v>1</v>
      </c>
      <c r="I900">
        <v>80037</v>
      </c>
      <c r="J900">
        <v>20</v>
      </c>
      <c r="K900">
        <v>16007.4</v>
      </c>
      <c r="L900">
        <v>64029.599999999999</v>
      </c>
      <c r="M900">
        <v>47638.39</v>
      </c>
      <c r="N900">
        <v>16391.21</v>
      </c>
      <c r="O900" t="s">
        <v>60</v>
      </c>
      <c r="P900">
        <v>1387.07</v>
      </c>
      <c r="Q900" t="s">
        <v>68</v>
      </c>
      <c r="R900" t="s">
        <v>31</v>
      </c>
      <c r="S900">
        <v>5</v>
      </c>
      <c r="T900">
        <v>7</v>
      </c>
      <c r="U900" t="s">
        <v>56</v>
      </c>
      <c r="V900" t="s">
        <v>33</v>
      </c>
      <c r="W900">
        <v>3</v>
      </c>
    </row>
    <row r="901" spans="1:23" x14ac:dyDescent="0.25">
      <c r="A901" t="s">
        <v>1452</v>
      </c>
      <c r="B901" s="1">
        <v>45809</v>
      </c>
      <c r="C901" t="s">
        <v>494</v>
      </c>
      <c r="D901" t="s">
        <v>25</v>
      </c>
      <c r="E901" t="s">
        <v>26</v>
      </c>
      <c r="F901" t="s">
        <v>27</v>
      </c>
      <c r="G901" t="s">
        <v>164</v>
      </c>
      <c r="H901">
        <v>1</v>
      </c>
      <c r="I901">
        <v>15580</v>
      </c>
      <c r="J901">
        <v>10</v>
      </c>
      <c r="K901">
        <v>1558</v>
      </c>
      <c r="L901">
        <v>14022</v>
      </c>
      <c r="M901">
        <v>11055.16</v>
      </c>
      <c r="N901">
        <v>2966.84</v>
      </c>
      <c r="O901" t="s">
        <v>49</v>
      </c>
      <c r="P901">
        <v>221.42</v>
      </c>
      <c r="Q901" t="s">
        <v>40</v>
      </c>
      <c r="R901" t="s">
        <v>41</v>
      </c>
      <c r="S901">
        <v>2</v>
      </c>
      <c r="T901">
        <v>6</v>
      </c>
      <c r="U901" t="s">
        <v>32</v>
      </c>
      <c r="V901" t="s">
        <v>50</v>
      </c>
      <c r="W901">
        <v>4</v>
      </c>
    </row>
    <row r="902" spans="1:23" x14ac:dyDescent="0.25">
      <c r="A902" t="s">
        <v>1453</v>
      </c>
      <c r="B902" s="1">
        <v>45774</v>
      </c>
      <c r="C902" t="s">
        <v>804</v>
      </c>
      <c r="D902" t="s">
        <v>90</v>
      </c>
      <c r="E902" t="s">
        <v>26</v>
      </c>
      <c r="F902" t="s">
        <v>86</v>
      </c>
      <c r="G902" t="s">
        <v>127</v>
      </c>
      <c r="H902">
        <v>1</v>
      </c>
      <c r="I902">
        <v>50909</v>
      </c>
      <c r="J902">
        <v>10</v>
      </c>
      <c r="K902">
        <v>5090.8999999999996</v>
      </c>
      <c r="L902">
        <v>45818.1</v>
      </c>
      <c r="M902">
        <v>27458.34</v>
      </c>
      <c r="N902">
        <v>18359.759999999998</v>
      </c>
      <c r="O902" t="s">
        <v>55</v>
      </c>
      <c r="P902">
        <v>1565.27</v>
      </c>
      <c r="Q902" t="s">
        <v>68</v>
      </c>
      <c r="R902" t="s">
        <v>41</v>
      </c>
      <c r="S902">
        <v>2</v>
      </c>
      <c r="T902">
        <v>3</v>
      </c>
      <c r="U902" t="s">
        <v>32</v>
      </c>
      <c r="V902" t="s">
        <v>42</v>
      </c>
    </row>
    <row r="903" spans="1:23" x14ac:dyDescent="0.25">
      <c r="A903" t="s">
        <v>1454</v>
      </c>
      <c r="B903" s="1">
        <v>45842</v>
      </c>
      <c r="C903" t="s">
        <v>305</v>
      </c>
      <c r="D903" t="s">
        <v>154</v>
      </c>
      <c r="E903" t="s">
        <v>46</v>
      </c>
      <c r="F903" t="s">
        <v>47</v>
      </c>
      <c r="G903" t="s">
        <v>48</v>
      </c>
      <c r="H903">
        <v>3</v>
      </c>
      <c r="I903">
        <v>41911</v>
      </c>
      <c r="J903">
        <v>5</v>
      </c>
      <c r="K903">
        <v>6286.65</v>
      </c>
      <c r="L903">
        <v>119446.35</v>
      </c>
      <c r="M903">
        <v>93633.86</v>
      </c>
      <c r="N903">
        <v>25812.49</v>
      </c>
      <c r="O903" t="s">
        <v>49</v>
      </c>
      <c r="P903">
        <v>232.21</v>
      </c>
      <c r="Q903" t="s">
        <v>73</v>
      </c>
      <c r="R903" t="s">
        <v>31</v>
      </c>
      <c r="S903">
        <v>5</v>
      </c>
      <c r="T903">
        <v>4</v>
      </c>
      <c r="U903" t="s">
        <v>32</v>
      </c>
      <c r="V903" t="s">
        <v>33</v>
      </c>
      <c r="W903">
        <v>3</v>
      </c>
    </row>
    <row r="904" spans="1:23" x14ac:dyDescent="0.25">
      <c r="A904" t="s">
        <v>1455</v>
      </c>
      <c r="B904" s="1">
        <v>45749</v>
      </c>
      <c r="C904" t="s">
        <v>937</v>
      </c>
      <c r="D904" t="s">
        <v>97</v>
      </c>
      <c r="E904" t="s">
        <v>26</v>
      </c>
      <c r="F904" t="s">
        <v>53</v>
      </c>
      <c r="G904" t="s">
        <v>59</v>
      </c>
      <c r="H904">
        <v>3</v>
      </c>
      <c r="I904">
        <v>32317</v>
      </c>
      <c r="J904">
        <v>15</v>
      </c>
      <c r="K904">
        <v>14542.65</v>
      </c>
      <c r="L904">
        <v>82408.350000000006</v>
      </c>
      <c r="M904">
        <v>66374.77</v>
      </c>
      <c r="N904">
        <v>16033.58</v>
      </c>
      <c r="O904" t="s">
        <v>39</v>
      </c>
      <c r="P904">
        <v>1418.4</v>
      </c>
      <c r="Q904" t="s">
        <v>73</v>
      </c>
      <c r="R904" t="s">
        <v>31</v>
      </c>
      <c r="S904">
        <v>5</v>
      </c>
      <c r="T904">
        <v>5</v>
      </c>
      <c r="U904" t="s">
        <v>32</v>
      </c>
      <c r="V904" t="s">
        <v>33</v>
      </c>
      <c r="W904">
        <v>3</v>
      </c>
    </row>
    <row r="905" spans="1:23" x14ac:dyDescent="0.25">
      <c r="A905" t="s">
        <v>1456</v>
      </c>
      <c r="B905" s="1">
        <v>45812</v>
      </c>
      <c r="C905" t="s">
        <v>341</v>
      </c>
      <c r="D905" t="s">
        <v>79</v>
      </c>
      <c r="E905" t="s">
        <v>26</v>
      </c>
      <c r="F905" t="s">
        <v>53</v>
      </c>
      <c r="G905" t="s">
        <v>268</v>
      </c>
      <c r="H905">
        <v>1</v>
      </c>
      <c r="I905">
        <v>12363</v>
      </c>
      <c r="J905">
        <v>15</v>
      </c>
      <c r="K905">
        <v>1854.45</v>
      </c>
      <c r="L905">
        <v>10508.55</v>
      </c>
      <c r="M905">
        <v>8473.9500000000007</v>
      </c>
      <c r="N905">
        <v>2034.6</v>
      </c>
      <c r="O905" t="s">
        <v>29</v>
      </c>
      <c r="P905">
        <v>1602.73</v>
      </c>
      <c r="Q905" t="s">
        <v>30</v>
      </c>
      <c r="R905" t="s">
        <v>41</v>
      </c>
      <c r="S905">
        <v>2</v>
      </c>
      <c r="T905">
        <v>0</v>
      </c>
      <c r="U905" t="s">
        <v>32</v>
      </c>
      <c r="V905" t="s">
        <v>42</v>
      </c>
    </row>
    <row r="906" spans="1:23" x14ac:dyDescent="0.25">
      <c r="A906" t="s">
        <v>1457</v>
      </c>
      <c r="B906" s="1">
        <v>45665</v>
      </c>
      <c r="C906" t="s">
        <v>538</v>
      </c>
      <c r="D906" t="s">
        <v>90</v>
      </c>
      <c r="E906" t="s">
        <v>46</v>
      </c>
      <c r="F906" t="s">
        <v>86</v>
      </c>
      <c r="G906" t="s">
        <v>94</v>
      </c>
      <c r="H906">
        <v>2</v>
      </c>
      <c r="I906">
        <v>81623</v>
      </c>
      <c r="J906">
        <v>20</v>
      </c>
      <c r="K906">
        <v>32649.200000000001</v>
      </c>
      <c r="L906">
        <v>130596.8</v>
      </c>
      <c r="M906">
        <v>92949.7</v>
      </c>
      <c r="N906">
        <v>37647.1</v>
      </c>
      <c r="O906" t="s">
        <v>91</v>
      </c>
      <c r="P906">
        <v>1399.55</v>
      </c>
      <c r="Q906" t="s">
        <v>73</v>
      </c>
      <c r="R906" t="s">
        <v>31</v>
      </c>
      <c r="S906">
        <v>5</v>
      </c>
      <c r="T906">
        <v>5</v>
      </c>
      <c r="U906" t="s">
        <v>32</v>
      </c>
      <c r="V906" t="s">
        <v>33</v>
      </c>
      <c r="W906">
        <v>2</v>
      </c>
    </row>
    <row r="907" spans="1:23" x14ac:dyDescent="0.25">
      <c r="A907" t="s">
        <v>1458</v>
      </c>
      <c r="B907" s="1">
        <v>46020</v>
      </c>
      <c r="C907" t="s">
        <v>318</v>
      </c>
      <c r="D907" t="s">
        <v>90</v>
      </c>
      <c r="E907" t="s">
        <v>36</v>
      </c>
      <c r="F907" t="s">
        <v>37</v>
      </c>
      <c r="G907" t="s">
        <v>161</v>
      </c>
      <c r="H907">
        <v>1</v>
      </c>
      <c r="I907">
        <v>33732</v>
      </c>
      <c r="J907">
        <v>0</v>
      </c>
      <c r="K907">
        <v>0</v>
      </c>
      <c r="L907">
        <v>33732</v>
      </c>
      <c r="M907">
        <v>21528.68</v>
      </c>
      <c r="N907">
        <v>12203.32</v>
      </c>
      <c r="O907" t="s">
        <v>55</v>
      </c>
      <c r="P907">
        <v>698.17</v>
      </c>
      <c r="Q907" t="s">
        <v>68</v>
      </c>
      <c r="R907" t="s">
        <v>31</v>
      </c>
      <c r="S907">
        <v>5</v>
      </c>
      <c r="T907">
        <v>5</v>
      </c>
      <c r="U907" t="s">
        <v>32</v>
      </c>
      <c r="V907" t="s">
        <v>33</v>
      </c>
      <c r="W907">
        <v>1</v>
      </c>
    </row>
    <row r="908" spans="1:23" x14ac:dyDescent="0.25">
      <c r="A908" t="s">
        <v>1459</v>
      </c>
      <c r="B908" s="1">
        <v>45931</v>
      </c>
      <c r="C908" t="s">
        <v>324</v>
      </c>
      <c r="D908" t="s">
        <v>71</v>
      </c>
      <c r="E908" t="s">
        <v>26</v>
      </c>
      <c r="F908" t="s">
        <v>86</v>
      </c>
      <c r="G908" t="s">
        <v>110</v>
      </c>
      <c r="H908">
        <v>3</v>
      </c>
      <c r="I908">
        <v>61869</v>
      </c>
      <c r="J908">
        <v>0</v>
      </c>
      <c r="K908">
        <v>0</v>
      </c>
      <c r="L908">
        <v>185607</v>
      </c>
      <c r="M908">
        <v>102888.52</v>
      </c>
      <c r="N908">
        <v>82718.48</v>
      </c>
      <c r="O908" t="s">
        <v>60</v>
      </c>
      <c r="P908">
        <v>544.28</v>
      </c>
      <c r="Q908" t="s">
        <v>83</v>
      </c>
      <c r="R908" t="s">
        <v>41</v>
      </c>
      <c r="S908">
        <v>2</v>
      </c>
      <c r="T908">
        <v>6</v>
      </c>
      <c r="U908" t="s">
        <v>32</v>
      </c>
      <c r="V908" t="s">
        <v>42</v>
      </c>
    </row>
    <row r="909" spans="1:23" x14ac:dyDescent="0.25">
      <c r="A909" t="s">
        <v>1460</v>
      </c>
      <c r="B909" s="1">
        <v>45722</v>
      </c>
      <c r="C909" t="s">
        <v>1449</v>
      </c>
      <c r="D909" t="s">
        <v>25</v>
      </c>
      <c r="E909" t="s">
        <v>26</v>
      </c>
      <c r="F909" t="s">
        <v>86</v>
      </c>
      <c r="G909" t="s">
        <v>180</v>
      </c>
      <c r="H909">
        <v>2</v>
      </c>
      <c r="I909">
        <v>83559</v>
      </c>
      <c r="J909">
        <v>25</v>
      </c>
      <c r="K909">
        <v>41779.5</v>
      </c>
      <c r="L909">
        <v>125338.5</v>
      </c>
      <c r="M909">
        <v>70971.48</v>
      </c>
      <c r="N909">
        <v>54367.02</v>
      </c>
      <c r="O909" t="s">
        <v>91</v>
      </c>
      <c r="P909">
        <v>215.47</v>
      </c>
      <c r="Q909" t="s">
        <v>73</v>
      </c>
      <c r="R909" t="s">
        <v>31</v>
      </c>
      <c r="S909">
        <v>5</v>
      </c>
      <c r="T909">
        <v>6</v>
      </c>
      <c r="U909" t="s">
        <v>32</v>
      </c>
      <c r="V909" t="s">
        <v>50</v>
      </c>
      <c r="W909">
        <v>4</v>
      </c>
    </row>
    <row r="910" spans="1:23" x14ac:dyDescent="0.25">
      <c r="A910" t="s">
        <v>1461</v>
      </c>
      <c r="B910" s="1">
        <v>45798</v>
      </c>
      <c r="C910" t="s">
        <v>1462</v>
      </c>
      <c r="D910" t="s">
        <v>97</v>
      </c>
      <c r="E910" t="s">
        <v>36</v>
      </c>
      <c r="F910" t="s">
        <v>47</v>
      </c>
      <c r="G910" t="s">
        <v>146</v>
      </c>
      <c r="H910">
        <v>1</v>
      </c>
      <c r="I910">
        <v>15968</v>
      </c>
      <c r="J910">
        <v>15</v>
      </c>
      <c r="K910">
        <v>2395.1999999999998</v>
      </c>
      <c r="L910">
        <v>13572.8</v>
      </c>
      <c r="M910">
        <v>7678.94</v>
      </c>
      <c r="N910">
        <v>5893.86</v>
      </c>
      <c r="O910" t="s">
        <v>29</v>
      </c>
      <c r="P910">
        <v>1934.87</v>
      </c>
      <c r="Q910" t="s">
        <v>40</v>
      </c>
      <c r="R910" t="s">
        <v>41</v>
      </c>
      <c r="S910">
        <v>2</v>
      </c>
      <c r="T910">
        <v>3</v>
      </c>
      <c r="U910" t="s">
        <v>56</v>
      </c>
      <c r="V910" t="s">
        <v>33</v>
      </c>
      <c r="W910">
        <v>5</v>
      </c>
    </row>
    <row r="911" spans="1:23" x14ac:dyDescent="0.25">
      <c r="A911" t="s">
        <v>1463</v>
      </c>
      <c r="B911" s="1">
        <v>45681</v>
      </c>
      <c r="C911" t="s">
        <v>150</v>
      </c>
      <c r="D911" t="s">
        <v>154</v>
      </c>
      <c r="E911" t="s">
        <v>26</v>
      </c>
      <c r="F911" t="s">
        <v>27</v>
      </c>
      <c r="G911" t="s">
        <v>72</v>
      </c>
      <c r="H911">
        <v>1</v>
      </c>
      <c r="I911">
        <v>21238</v>
      </c>
      <c r="J911">
        <v>15</v>
      </c>
      <c r="K911">
        <v>3185.7</v>
      </c>
      <c r="L911">
        <v>18052.3</v>
      </c>
      <c r="M911">
        <v>14630.03</v>
      </c>
      <c r="N911">
        <v>3422.27</v>
      </c>
      <c r="O911" t="s">
        <v>91</v>
      </c>
      <c r="P911">
        <v>1354.67</v>
      </c>
      <c r="Q911" t="s">
        <v>73</v>
      </c>
      <c r="R911" t="s">
        <v>41</v>
      </c>
      <c r="S911">
        <v>2</v>
      </c>
      <c r="T911">
        <v>6</v>
      </c>
      <c r="U911" t="s">
        <v>56</v>
      </c>
      <c r="V911" t="s">
        <v>33</v>
      </c>
      <c r="W911">
        <v>2</v>
      </c>
    </row>
    <row r="912" spans="1:23" x14ac:dyDescent="0.25">
      <c r="A912" t="s">
        <v>1464</v>
      </c>
      <c r="B912" s="1">
        <v>45685</v>
      </c>
      <c r="C912" t="s">
        <v>1076</v>
      </c>
      <c r="D912" t="s">
        <v>71</v>
      </c>
      <c r="E912" t="s">
        <v>46</v>
      </c>
      <c r="F912" t="s">
        <v>37</v>
      </c>
      <c r="G912" t="s">
        <v>224</v>
      </c>
      <c r="H912">
        <v>3</v>
      </c>
      <c r="I912">
        <v>24109</v>
      </c>
      <c r="J912">
        <v>10</v>
      </c>
      <c r="K912">
        <v>7232.7</v>
      </c>
      <c r="L912">
        <v>65094.3</v>
      </c>
      <c r="M912">
        <v>47035.49</v>
      </c>
      <c r="N912">
        <v>18058.810000000001</v>
      </c>
      <c r="O912" t="s">
        <v>39</v>
      </c>
      <c r="P912">
        <v>2404.46</v>
      </c>
      <c r="Q912" t="s">
        <v>68</v>
      </c>
      <c r="R912" t="s">
        <v>31</v>
      </c>
      <c r="S912">
        <v>5</v>
      </c>
      <c r="T912">
        <v>0</v>
      </c>
      <c r="U912" t="s">
        <v>32</v>
      </c>
      <c r="V912" t="s">
        <v>42</v>
      </c>
    </row>
    <row r="913" spans="1:23" x14ac:dyDescent="0.25">
      <c r="A913" t="s">
        <v>1465</v>
      </c>
      <c r="B913" s="1">
        <v>45941</v>
      </c>
      <c r="C913" t="s">
        <v>294</v>
      </c>
      <c r="D913" t="s">
        <v>79</v>
      </c>
      <c r="E913" t="s">
        <v>46</v>
      </c>
      <c r="F913" t="s">
        <v>53</v>
      </c>
      <c r="G913" t="s">
        <v>59</v>
      </c>
      <c r="H913">
        <v>1</v>
      </c>
      <c r="I913">
        <v>13428</v>
      </c>
      <c r="J913">
        <v>25</v>
      </c>
      <c r="K913">
        <v>3357</v>
      </c>
      <c r="L913">
        <v>10071</v>
      </c>
      <c r="M913">
        <v>7546.22</v>
      </c>
      <c r="N913">
        <v>2524.7800000000002</v>
      </c>
      <c r="O913" t="s">
        <v>91</v>
      </c>
      <c r="P913">
        <v>854.03</v>
      </c>
      <c r="Q913" t="s">
        <v>40</v>
      </c>
      <c r="R913" t="s">
        <v>31</v>
      </c>
      <c r="S913">
        <v>5</v>
      </c>
      <c r="T913">
        <v>2</v>
      </c>
      <c r="U913" t="s">
        <v>32</v>
      </c>
      <c r="V913" t="s">
        <v>50</v>
      </c>
      <c r="W913">
        <v>3</v>
      </c>
    </row>
    <row r="914" spans="1:23" x14ac:dyDescent="0.25">
      <c r="A914" t="s">
        <v>1466</v>
      </c>
      <c r="B914" s="1">
        <v>45807</v>
      </c>
      <c r="C914" t="s">
        <v>606</v>
      </c>
      <c r="D914" t="s">
        <v>71</v>
      </c>
      <c r="E914" t="s">
        <v>26</v>
      </c>
      <c r="F914" t="s">
        <v>37</v>
      </c>
      <c r="G914" t="s">
        <v>38</v>
      </c>
      <c r="H914">
        <v>2</v>
      </c>
      <c r="I914">
        <v>33425</v>
      </c>
      <c r="J914">
        <v>20</v>
      </c>
      <c r="K914">
        <v>13370</v>
      </c>
      <c r="L914">
        <v>53480</v>
      </c>
      <c r="M914">
        <v>39801.279999999999</v>
      </c>
      <c r="N914">
        <v>13678.72</v>
      </c>
      <c r="O914" t="s">
        <v>29</v>
      </c>
      <c r="P914">
        <v>1917.87</v>
      </c>
      <c r="Q914" t="s">
        <v>68</v>
      </c>
      <c r="R914" t="s">
        <v>41</v>
      </c>
      <c r="S914">
        <v>2</v>
      </c>
      <c r="T914">
        <v>2</v>
      </c>
      <c r="U914" t="s">
        <v>32</v>
      </c>
      <c r="V914" t="s">
        <v>33</v>
      </c>
      <c r="W914">
        <v>2</v>
      </c>
    </row>
    <row r="915" spans="1:23" x14ac:dyDescent="0.25">
      <c r="A915" t="s">
        <v>1467</v>
      </c>
      <c r="B915" s="1">
        <v>46015</v>
      </c>
      <c r="C915" t="s">
        <v>1468</v>
      </c>
      <c r="D915" t="s">
        <v>25</v>
      </c>
      <c r="E915" t="s">
        <v>46</v>
      </c>
      <c r="F915" t="s">
        <v>86</v>
      </c>
      <c r="G915" t="s">
        <v>110</v>
      </c>
      <c r="H915">
        <v>3</v>
      </c>
      <c r="I915">
        <v>28658</v>
      </c>
      <c r="J915">
        <v>0</v>
      </c>
      <c r="K915">
        <v>0</v>
      </c>
      <c r="L915">
        <v>85974</v>
      </c>
      <c r="M915">
        <v>64394.74</v>
      </c>
      <c r="N915">
        <v>21579.26</v>
      </c>
      <c r="O915" t="s">
        <v>39</v>
      </c>
      <c r="P915">
        <v>660.42</v>
      </c>
      <c r="Q915" t="s">
        <v>68</v>
      </c>
      <c r="R915" t="s">
        <v>31</v>
      </c>
      <c r="S915">
        <v>5</v>
      </c>
      <c r="T915">
        <v>8</v>
      </c>
      <c r="U915" t="s">
        <v>56</v>
      </c>
      <c r="V915" t="s">
        <v>33</v>
      </c>
      <c r="W915">
        <v>2</v>
      </c>
    </row>
    <row r="916" spans="1:23" x14ac:dyDescent="0.25">
      <c r="A916" t="s">
        <v>1469</v>
      </c>
      <c r="B916" s="1">
        <v>45722</v>
      </c>
      <c r="C916" t="s">
        <v>819</v>
      </c>
      <c r="D916" t="s">
        <v>90</v>
      </c>
      <c r="E916" t="s">
        <v>26</v>
      </c>
      <c r="F916" t="s">
        <v>53</v>
      </c>
      <c r="G916" t="s">
        <v>59</v>
      </c>
      <c r="H916">
        <v>3</v>
      </c>
      <c r="I916">
        <v>77103</v>
      </c>
      <c r="J916">
        <v>0</v>
      </c>
      <c r="K916">
        <v>0</v>
      </c>
      <c r="L916">
        <v>231309</v>
      </c>
      <c r="M916">
        <v>139957.76999999999</v>
      </c>
      <c r="N916">
        <v>91351.23</v>
      </c>
      <c r="O916" t="s">
        <v>60</v>
      </c>
      <c r="P916">
        <v>255.72</v>
      </c>
      <c r="Q916" t="s">
        <v>68</v>
      </c>
      <c r="R916" t="s">
        <v>41</v>
      </c>
      <c r="S916">
        <v>2</v>
      </c>
      <c r="T916">
        <v>2</v>
      </c>
      <c r="U916" t="s">
        <v>32</v>
      </c>
      <c r="V916" t="s">
        <v>42</v>
      </c>
    </row>
    <row r="917" spans="1:23" x14ac:dyDescent="0.25">
      <c r="A917" t="s">
        <v>1470</v>
      </c>
      <c r="B917" s="1">
        <v>45984</v>
      </c>
      <c r="C917" t="s">
        <v>506</v>
      </c>
      <c r="D917" t="s">
        <v>79</v>
      </c>
      <c r="E917" t="s">
        <v>26</v>
      </c>
      <c r="F917" t="s">
        <v>27</v>
      </c>
      <c r="G917" t="s">
        <v>113</v>
      </c>
      <c r="H917">
        <v>2</v>
      </c>
      <c r="I917">
        <v>14013</v>
      </c>
      <c r="J917">
        <v>10</v>
      </c>
      <c r="K917">
        <v>2802.6</v>
      </c>
      <c r="L917">
        <v>25223.4</v>
      </c>
      <c r="M917">
        <v>17700.55</v>
      </c>
      <c r="N917">
        <v>7522.85</v>
      </c>
      <c r="O917" t="s">
        <v>49</v>
      </c>
      <c r="P917">
        <v>220.51</v>
      </c>
      <c r="Q917" t="s">
        <v>40</v>
      </c>
      <c r="R917" t="s">
        <v>41</v>
      </c>
      <c r="S917">
        <v>2</v>
      </c>
      <c r="T917">
        <v>2</v>
      </c>
      <c r="U917" t="s">
        <v>32</v>
      </c>
      <c r="V917" t="s">
        <v>33</v>
      </c>
      <c r="W917">
        <v>2</v>
      </c>
    </row>
    <row r="918" spans="1:23" x14ac:dyDescent="0.25">
      <c r="A918" t="s">
        <v>1471</v>
      </c>
      <c r="B918" s="1">
        <v>45909</v>
      </c>
      <c r="C918" t="s">
        <v>1009</v>
      </c>
      <c r="D918" t="s">
        <v>45</v>
      </c>
      <c r="E918" t="s">
        <v>26</v>
      </c>
      <c r="F918" t="s">
        <v>53</v>
      </c>
      <c r="G918" t="s">
        <v>59</v>
      </c>
      <c r="H918">
        <v>2</v>
      </c>
      <c r="I918">
        <v>96789</v>
      </c>
      <c r="J918">
        <v>0</v>
      </c>
      <c r="K918">
        <v>0</v>
      </c>
      <c r="L918">
        <v>193578</v>
      </c>
      <c r="M918">
        <v>126982.1</v>
      </c>
      <c r="N918">
        <v>66595.899999999994</v>
      </c>
      <c r="O918" t="s">
        <v>55</v>
      </c>
      <c r="P918">
        <v>1210.93</v>
      </c>
      <c r="Q918" t="s">
        <v>83</v>
      </c>
      <c r="R918" t="s">
        <v>31</v>
      </c>
      <c r="S918">
        <v>5</v>
      </c>
      <c r="T918">
        <v>5</v>
      </c>
      <c r="U918" t="s">
        <v>32</v>
      </c>
      <c r="V918" t="s">
        <v>42</v>
      </c>
    </row>
    <row r="919" spans="1:23" x14ac:dyDescent="0.25">
      <c r="A919" t="s">
        <v>1472</v>
      </c>
      <c r="B919" s="1">
        <v>45710</v>
      </c>
      <c r="C919" t="s">
        <v>241</v>
      </c>
      <c r="D919" t="s">
        <v>67</v>
      </c>
      <c r="E919" t="s">
        <v>46</v>
      </c>
      <c r="F919" t="s">
        <v>27</v>
      </c>
      <c r="G919" t="s">
        <v>76</v>
      </c>
      <c r="H919">
        <v>1</v>
      </c>
      <c r="I919">
        <v>21997</v>
      </c>
      <c r="J919">
        <v>0</v>
      </c>
      <c r="K919">
        <v>0</v>
      </c>
      <c r="L919">
        <v>21997</v>
      </c>
      <c r="M919">
        <v>14033.47</v>
      </c>
      <c r="N919">
        <v>7963.53</v>
      </c>
      <c r="O919" t="s">
        <v>49</v>
      </c>
      <c r="P919">
        <v>479.84</v>
      </c>
      <c r="Q919" t="s">
        <v>40</v>
      </c>
      <c r="R919" t="s">
        <v>31</v>
      </c>
      <c r="S919">
        <v>5</v>
      </c>
      <c r="T919">
        <v>5</v>
      </c>
      <c r="U919" t="s">
        <v>32</v>
      </c>
      <c r="V919" t="s">
        <v>33</v>
      </c>
      <c r="W919">
        <v>5</v>
      </c>
    </row>
    <row r="920" spans="1:23" x14ac:dyDescent="0.25">
      <c r="A920" t="s">
        <v>1473</v>
      </c>
      <c r="B920" s="1">
        <v>45664</v>
      </c>
      <c r="C920" t="s">
        <v>597</v>
      </c>
      <c r="D920" t="s">
        <v>79</v>
      </c>
      <c r="E920" t="s">
        <v>46</v>
      </c>
      <c r="F920" t="s">
        <v>47</v>
      </c>
      <c r="G920" t="s">
        <v>105</v>
      </c>
      <c r="H920">
        <v>1</v>
      </c>
      <c r="I920">
        <v>11938</v>
      </c>
      <c r="J920">
        <v>5</v>
      </c>
      <c r="K920">
        <v>596.9</v>
      </c>
      <c r="L920">
        <v>11341.1</v>
      </c>
      <c r="M920">
        <v>8983.41</v>
      </c>
      <c r="N920">
        <v>2357.69</v>
      </c>
      <c r="O920" t="s">
        <v>49</v>
      </c>
      <c r="P920">
        <v>483.87</v>
      </c>
      <c r="Q920" t="s">
        <v>40</v>
      </c>
      <c r="R920" t="s">
        <v>41</v>
      </c>
      <c r="S920">
        <v>2</v>
      </c>
      <c r="T920">
        <v>1</v>
      </c>
      <c r="U920" t="s">
        <v>32</v>
      </c>
      <c r="V920" t="s">
        <v>33</v>
      </c>
      <c r="W920">
        <v>5</v>
      </c>
    </row>
    <row r="921" spans="1:23" x14ac:dyDescent="0.25">
      <c r="A921" t="s">
        <v>1474</v>
      </c>
      <c r="B921" s="1">
        <v>45951</v>
      </c>
      <c r="C921" t="s">
        <v>312</v>
      </c>
      <c r="D921" t="s">
        <v>97</v>
      </c>
      <c r="E921" t="s">
        <v>46</v>
      </c>
      <c r="F921" t="s">
        <v>37</v>
      </c>
      <c r="G921" t="s">
        <v>161</v>
      </c>
      <c r="H921">
        <v>1</v>
      </c>
      <c r="I921">
        <v>36315</v>
      </c>
      <c r="J921">
        <v>5</v>
      </c>
      <c r="K921">
        <v>1815.75</v>
      </c>
      <c r="L921">
        <v>34499.25</v>
      </c>
      <c r="M921">
        <v>20479.5</v>
      </c>
      <c r="N921">
        <v>14019.75</v>
      </c>
      <c r="O921" t="s">
        <v>39</v>
      </c>
      <c r="P921">
        <v>2366.37</v>
      </c>
      <c r="Q921" t="s">
        <v>40</v>
      </c>
      <c r="R921" t="s">
        <v>41</v>
      </c>
      <c r="S921">
        <v>2</v>
      </c>
      <c r="T921">
        <v>2</v>
      </c>
      <c r="U921" t="s">
        <v>32</v>
      </c>
      <c r="V921" t="s">
        <v>33</v>
      </c>
      <c r="W921">
        <v>2</v>
      </c>
    </row>
    <row r="922" spans="1:23" x14ac:dyDescent="0.25">
      <c r="A922" t="s">
        <v>1475</v>
      </c>
      <c r="B922" s="1">
        <v>45803</v>
      </c>
      <c r="C922" t="s">
        <v>1476</v>
      </c>
      <c r="D922" t="s">
        <v>45</v>
      </c>
      <c r="E922" t="s">
        <v>26</v>
      </c>
      <c r="F922" t="s">
        <v>86</v>
      </c>
      <c r="G922" t="s">
        <v>94</v>
      </c>
      <c r="H922">
        <v>2</v>
      </c>
      <c r="I922">
        <v>82318</v>
      </c>
      <c r="J922">
        <v>0</v>
      </c>
      <c r="K922">
        <v>0</v>
      </c>
      <c r="L922">
        <v>164636</v>
      </c>
      <c r="M922">
        <v>115933.65</v>
      </c>
      <c r="N922">
        <v>48702.35</v>
      </c>
      <c r="O922" t="s">
        <v>60</v>
      </c>
      <c r="P922">
        <v>327.51</v>
      </c>
      <c r="Q922" t="s">
        <v>68</v>
      </c>
      <c r="R922" t="s">
        <v>31</v>
      </c>
      <c r="S922">
        <v>5</v>
      </c>
      <c r="T922">
        <v>7</v>
      </c>
      <c r="U922" t="s">
        <v>56</v>
      </c>
      <c r="V922" t="s">
        <v>33</v>
      </c>
      <c r="W922">
        <v>2</v>
      </c>
    </row>
    <row r="923" spans="1:23" x14ac:dyDescent="0.25">
      <c r="A923" t="s">
        <v>1477</v>
      </c>
      <c r="B923" s="1">
        <v>45898</v>
      </c>
      <c r="C923" t="s">
        <v>1478</v>
      </c>
      <c r="D923" t="s">
        <v>67</v>
      </c>
      <c r="E923" t="s">
        <v>46</v>
      </c>
      <c r="F923" t="s">
        <v>37</v>
      </c>
      <c r="G923" t="s">
        <v>100</v>
      </c>
      <c r="H923">
        <v>1</v>
      </c>
      <c r="I923">
        <v>38009</v>
      </c>
      <c r="J923">
        <v>5</v>
      </c>
      <c r="K923">
        <v>1900.45</v>
      </c>
      <c r="L923">
        <v>36108.550000000003</v>
      </c>
      <c r="M923">
        <v>21133.63</v>
      </c>
      <c r="N923">
        <v>14974.92</v>
      </c>
      <c r="O923" t="s">
        <v>49</v>
      </c>
      <c r="P923">
        <v>406.96</v>
      </c>
      <c r="Q923" t="s">
        <v>30</v>
      </c>
      <c r="R923" t="s">
        <v>31</v>
      </c>
      <c r="S923">
        <v>5</v>
      </c>
      <c r="T923">
        <v>2</v>
      </c>
      <c r="U923" t="s">
        <v>32</v>
      </c>
      <c r="V923" t="s">
        <v>33</v>
      </c>
      <c r="W923">
        <v>2</v>
      </c>
    </row>
    <row r="924" spans="1:23" x14ac:dyDescent="0.25">
      <c r="A924" t="s">
        <v>1479</v>
      </c>
      <c r="B924" s="1">
        <v>45903</v>
      </c>
      <c r="C924" t="s">
        <v>24</v>
      </c>
      <c r="D924" t="s">
        <v>154</v>
      </c>
      <c r="E924" t="s">
        <v>36</v>
      </c>
      <c r="F924" t="s">
        <v>53</v>
      </c>
      <c r="G924" t="s">
        <v>82</v>
      </c>
      <c r="H924">
        <v>1</v>
      </c>
      <c r="I924">
        <v>81641</v>
      </c>
      <c r="J924">
        <v>25</v>
      </c>
      <c r="K924">
        <v>20410.25</v>
      </c>
      <c r="L924">
        <v>61230.75</v>
      </c>
      <c r="M924">
        <v>47954.59</v>
      </c>
      <c r="N924">
        <v>13276.16</v>
      </c>
      <c r="O924" t="s">
        <v>55</v>
      </c>
      <c r="P924">
        <v>684.35</v>
      </c>
      <c r="Q924" t="s">
        <v>73</v>
      </c>
      <c r="R924" t="s">
        <v>41</v>
      </c>
      <c r="S924">
        <v>2</v>
      </c>
      <c r="T924">
        <v>2</v>
      </c>
      <c r="U924" t="s">
        <v>32</v>
      </c>
      <c r="V924" t="s">
        <v>33</v>
      </c>
      <c r="W924">
        <v>5</v>
      </c>
    </row>
    <row r="925" spans="1:23" x14ac:dyDescent="0.25">
      <c r="A925" t="s">
        <v>1480</v>
      </c>
      <c r="B925" s="1">
        <v>45883</v>
      </c>
      <c r="C925" t="s">
        <v>1481</v>
      </c>
      <c r="D925" t="s">
        <v>124</v>
      </c>
      <c r="E925" t="s">
        <v>26</v>
      </c>
      <c r="F925" t="s">
        <v>37</v>
      </c>
      <c r="G925" t="s">
        <v>313</v>
      </c>
      <c r="H925">
        <v>3</v>
      </c>
      <c r="I925">
        <v>22227</v>
      </c>
      <c r="J925">
        <v>10</v>
      </c>
      <c r="K925">
        <v>6668.1</v>
      </c>
      <c r="L925">
        <v>60012.9</v>
      </c>
      <c r="M925">
        <v>36835.769999999997</v>
      </c>
      <c r="N925">
        <v>23177.13</v>
      </c>
      <c r="O925" t="s">
        <v>49</v>
      </c>
      <c r="P925">
        <v>307.7</v>
      </c>
      <c r="Q925" t="s">
        <v>40</v>
      </c>
      <c r="R925" t="s">
        <v>31</v>
      </c>
      <c r="S925">
        <v>5</v>
      </c>
      <c r="T925">
        <v>3</v>
      </c>
      <c r="U925" t="s">
        <v>32</v>
      </c>
      <c r="V925" t="s">
        <v>33</v>
      </c>
      <c r="W925">
        <v>5</v>
      </c>
    </row>
    <row r="926" spans="1:23" x14ac:dyDescent="0.25">
      <c r="A926" t="s">
        <v>1482</v>
      </c>
      <c r="B926" s="1">
        <v>45832</v>
      </c>
      <c r="C926" t="s">
        <v>1483</v>
      </c>
      <c r="D926" t="s">
        <v>79</v>
      </c>
      <c r="E926" t="s">
        <v>36</v>
      </c>
      <c r="F926" t="s">
        <v>86</v>
      </c>
      <c r="G926" t="s">
        <v>180</v>
      </c>
      <c r="H926">
        <v>1</v>
      </c>
      <c r="I926">
        <v>80778</v>
      </c>
      <c r="J926">
        <v>0</v>
      </c>
      <c r="K926">
        <v>0</v>
      </c>
      <c r="L926">
        <v>80778</v>
      </c>
      <c r="M926">
        <v>58449.84</v>
      </c>
      <c r="N926">
        <v>22328.16</v>
      </c>
      <c r="O926" t="s">
        <v>39</v>
      </c>
      <c r="P926">
        <v>255.27</v>
      </c>
      <c r="Q926" t="s">
        <v>73</v>
      </c>
      <c r="R926" t="s">
        <v>41</v>
      </c>
      <c r="S926">
        <v>2</v>
      </c>
      <c r="T926">
        <v>4</v>
      </c>
      <c r="U926" t="s">
        <v>56</v>
      </c>
      <c r="V926" t="s">
        <v>33</v>
      </c>
      <c r="W926">
        <v>5</v>
      </c>
    </row>
    <row r="927" spans="1:23" x14ac:dyDescent="0.25">
      <c r="A927" t="s">
        <v>1484</v>
      </c>
      <c r="B927" s="1">
        <v>45752</v>
      </c>
      <c r="C927" t="s">
        <v>1485</v>
      </c>
      <c r="D927" t="s">
        <v>97</v>
      </c>
      <c r="E927" t="s">
        <v>46</v>
      </c>
      <c r="F927" t="s">
        <v>47</v>
      </c>
      <c r="G927" t="s">
        <v>105</v>
      </c>
      <c r="H927">
        <v>2</v>
      </c>
      <c r="I927">
        <v>44784</v>
      </c>
      <c r="J927">
        <v>5</v>
      </c>
      <c r="K927">
        <v>4478.3999999999996</v>
      </c>
      <c r="L927">
        <v>85089.600000000006</v>
      </c>
      <c r="M927">
        <v>62577.35</v>
      </c>
      <c r="N927">
        <v>22512.25</v>
      </c>
      <c r="O927" t="s">
        <v>91</v>
      </c>
      <c r="P927">
        <v>2425.0500000000002</v>
      </c>
      <c r="Q927" t="s">
        <v>68</v>
      </c>
      <c r="R927" t="s">
        <v>31</v>
      </c>
      <c r="S927">
        <v>5</v>
      </c>
      <c r="T927">
        <v>1</v>
      </c>
      <c r="U927" t="s">
        <v>32</v>
      </c>
      <c r="V927" t="s">
        <v>33</v>
      </c>
      <c r="W927">
        <v>5</v>
      </c>
    </row>
    <row r="928" spans="1:23" x14ac:dyDescent="0.25">
      <c r="A928" t="s">
        <v>1486</v>
      </c>
      <c r="B928" s="1">
        <v>45684</v>
      </c>
      <c r="C928" t="s">
        <v>687</v>
      </c>
      <c r="D928" t="s">
        <v>154</v>
      </c>
      <c r="E928" t="s">
        <v>46</v>
      </c>
      <c r="F928" t="s">
        <v>27</v>
      </c>
      <c r="G928" t="s">
        <v>164</v>
      </c>
      <c r="H928">
        <v>1</v>
      </c>
      <c r="I928">
        <v>16938</v>
      </c>
      <c r="J928">
        <v>0</v>
      </c>
      <c r="K928">
        <v>0</v>
      </c>
      <c r="L928">
        <v>16938</v>
      </c>
      <c r="M928">
        <v>9560.59</v>
      </c>
      <c r="N928">
        <v>7377.41</v>
      </c>
      <c r="O928" t="s">
        <v>55</v>
      </c>
      <c r="P928">
        <v>459.23</v>
      </c>
      <c r="Q928" t="s">
        <v>30</v>
      </c>
      <c r="R928" t="s">
        <v>31</v>
      </c>
      <c r="S928">
        <v>5</v>
      </c>
      <c r="T928">
        <v>0</v>
      </c>
      <c r="U928" t="s">
        <v>32</v>
      </c>
      <c r="V928" t="s">
        <v>42</v>
      </c>
    </row>
    <row r="929" spans="1:23" x14ac:dyDescent="0.25">
      <c r="A929" t="s">
        <v>1487</v>
      </c>
      <c r="B929" s="1">
        <v>45787</v>
      </c>
      <c r="C929" t="s">
        <v>1488</v>
      </c>
      <c r="D929" t="s">
        <v>90</v>
      </c>
      <c r="E929" t="s">
        <v>26</v>
      </c>
      <c r="F929" t="s">
        <v>53</v>
      </c>
      <c r="G929" t="s">
        <v>268</v>
      </c>
      <c r="H929">
        <v>1</v>
      </c>
      <c r="I929">
        <v>26824</v>
      </c>
      <c r="J929">
        <v>20</v>
      </c>
      <c r="K929">
        <v>5364.8</v>
      </c>
      <c r="L929">
        <v>21459.200000000001</v>
      </c>
      <c r="M929">
        <v>17204.88</v>
      </c>
      <c r="N929">
        <v>4254.32</v>
      </c>
      <c r="O929" t="s">
        <v>55</v>
      </c>
      <c r="P929">
        <v>875.31</v>
      </c>
      <c r="Q929" t="s">
        <v>68</v>
      </c>
      <c r="R929" t="s">
        <v>31</v>
      </c>
      <c r="S929">
        <v>5</v>
      </c>
      <c r="T929">
        <v>5</v>
      </c>
      <c r="U929" t="s">
        <v>32</v>
      </c>
      <c r="V929" t="s">
        <v>33</v>
      </c>
      <c r="W929">
        <v>1</v>
      </c>
    </row>
    <row r="930" spans="1:23" x14ac:dyDescent="0.25">
      <c r="A930" t="s">
        <v>1489</v>
      </c>
      <c r="B930" s="1">
        <v>45902</v>
      </c>
      <c r="C930" t="s">
        <v>117</v>
      </c>
      <c r="D930" t="s">
        <v>124</v>
      </c>
      <c r="E930" t="s">
        <v>46</v>
      </c>
      <c r="F930" t="s">
        <v>27</v>
      </c>
      <c r="G930" t="s">
        <v>113</v>
      </c>
      <c r="H930">
        <v>1</v>
      </c>
      <c r="I930">
        <v>28949</v>
      </c>
      <c r="J930">
        <v>0</v>
      </c>
      <c r="K930">
        <v>0</v>
      </c>
      <c r="L930">
        <v>28949</v>
      </c>
      <c r="M930">
        <v>17091.509999999998</v>
      </c>
      <c r="N930">
        <v>11857.49</v>
      </c>
      <c r="O930" t="s">
        <v>29</v>
      </c>
      <c r="P930">
        <v>407.23</v>
      </c>
      <c r="Q930" t="s">
        <v>83</v>
      </c>
      <c r="R930" t="s">
        <v>31</v>
      </c>
      <c r="S930">
        <v>5</v>
      </c>
      <c r="T930">
        <v>8</v>
      </c>
      <c r="U930" t="s">
        <v>56</v>
      </c>
      <c r="V930" t="s">
        <v>33</v>
      </c>
    </row>
    <row r="931" spans="1:23" x14ac:dyDescent="0.25">
      <c r="A931" t="s">
        <v>1490</v>
      </c>
      <c r="B931" s="1">
        <v>45716</v>
      </c>
      <c r="C931" t="s">
        <v>880</v>
      </c>
      <c r="D931" t="s">
        <v>154</v>
      </c>
      <c r="E931" t="s">
        <v>36</v>
      </c>
      <c r="F931" t="s">
        <v>37</v>
      </c>
      <c r="G931" t="s">
        <v>100</v>
      </c>
      <c r="H931">
        <v>2</v>
      </c>
      <c r="I931">
        <v>22790</v>
      </c>
      <c r="J931">
        <v>15</v>
      </c>
      <c r="K931">
        <v>6837</v>
      </c>
      <c r="L931">
        <v>38743</v>
      </c>
      <c r="M931">
        <v>22656.05</v>
      </c>
      <c r="N931">
        <v>16086.95</v>
      </c>
      <c r="O931" t="s">
        <v>39</v>
      </c>
      <c r="P931">
        <v>2147.81</v>
      </c>
      <c r="Q931" t="s">
        <v>73</v>
      </c>
      <c r="R931" t="s">
        <v>31</v>
      </c>
      <c r="S931">
        <v>5</v>
      </c>
      <c r="T931">
        <v>5</v>
      </c>
      <c r="U931" t="s">
        <v>32</v>
      </c>
      <c r="V931" t="s">
        <v>42</v>
      </c>
    </row>
    <row r="932" spans="1:23" x14ac:dyDescent="0.25">
      <c r="A932" t="s">
        <v>1491</v>
      </c>
      <c r="B932" s="1">
        <v>45691</v>
      </c>
      <c r="C932" t="s">
        <v>1492</v>
      </c>
      <c r="D932" t="s">
        <v>124</v>
      </c>
      <c r="E932" t="s">
        <v>26</v>
      </c>
      <c r="F932" t="s">
        <v>27</v>
      </c>
      <c r="G932" t="s">
        <v>164</v>
      </c>
      <c r="H932">
        <v>2</v>
      </c>
      <c r="I932">
        <v>19771</v>
      </c>
      <c r="J932">
        <v>0</v>
      </c>
      <c r="K932">
        <v>0</v>
      </c>
      <c r="L932">
        <v>39542</v>
      </c>
      <c r="M932">
        <v>24191.52</v>
      </c>
      <c r="N932">
        <v>15350.48</v>
      </c>
      <c r="O932" t="s">
        <v>49</v>
      </c>
      <c r="P932">
        <v>173.96</v>
      </c>
      <c r="Q932" t="s">
        <v>30</v>
      </c>
      <c r="R932" t="s">
        <v>31</v>
      </c>
      <c r="S932">
        <v>5</v>
      </c>
      <c r="T932">
        <v>3</v>
      </c>
      <c r="U932" t="s">
        <v>32</v>
      </c>
      <c r="V932" t="s">
        <v>33</v>
      </c>
      <c r="W932">
        <v>2</v>
      </c>
    </row>
    <row r="933" spans="1:23" x14ac:dyDescent="0.25">
      <c r="A933" t="s">
        <v>1493</v>
      </c>
      <c r="B933" s="1">
        <v>45863</v>
      </c>
      <c r="C933" t="s">
        <v>797</v>
      </c>
      <c r="D933" t="s">
        <v>97</v>
      </c>
      <c r="E933" t="s">
        <v>46</v>
      </c>
      <c r="F933" t="s">
        <v>86</v>
      </c>
      <c r="G933" t="s">
        <v>110</v>
      </c>
      <c r="H933">
        <v>2</v>
      </c>
      <c r="I933">
        <v>9544</v>
      </c>
      <c r="J933">
        <v>0</v>
      </c>
      <c r="K933">
        <v>0</v>
      </c>
      <c r="L933">
        <v>19088</v>
      </c>
      <c r="M933">
        <v>10630.57</v>
      </c>
      <c r="N933">
        <v>8457.43</v>
      </c>
      <c r="O933" t="s">
        <v>39</v>
      </c>
      <c r="P933">
        <v>483.16</v>
      </c>
      <c r="Q933" t="s">
        <v>40</v>
      </c>
      <c r="R933" t="s">
        <v>31</v>
      </c>
      <c r="S933">
        <v>5</v>
      </c>
      <c r="T933">
        <v>8</v>
      </c>
      <c r="U933" t="s">
        <v>56</v>
      </c>
      <c r="V933" t="s">
        <v>33</v>
      </c>
      <c r="W933">
        <v>4</v>
      </c>
    </row>
    <row r="934" spans="1:23" x14ac:dyDescent="0.25">
      <c r="A934" t="s">
        <v>1494</v>
      </c>
      <c r="B934" s="1">
        <v>45909</v>
      </c>
      <c r="C934" t="s">
        <v>449</v>
      </c>
      <c r="D934" t="s">
        <v>97</v>
      </c>
      <c r="E934" t="s">
        <v>46</v>
      </c>
      <c r="F934" t="s">
        <v>47</v>
      </c>
      <c r="G934" t="s">
        <v>105</v>
      </c>
      <c r="H934">
        <v>1</v>
      </c>
      <c r="I934">
        <v>11031</v>
      </c>
      <c r="J934">
        <v>15</v>
      </c>
      <c r="K934">
        <v>1654.65</v>
      </c>
      <c r="L934">
        <v>9376.35</v>
      </c>
      <c r="M934">
        <v>6235.96</v>
      </c>
      <c r="N934">
        <v>3140.39</v>
      </c>
      <c r="O934" t="s">
        <v>60</v>
      </c>
      <c r="P934">
        <v>724.86</v>
      </c>
      <c r="Q934" t="s">
        <v>68</v>
      </c>
      <c r="R934" t="s">
        <v>31</v>
      </c>
      <c r="S934">
        <v>5</v>
      </c>
      <c r="T934">
        <v>3</v>
      </c>
      <c r="U934" t="s">
        <v>32</v>
      </c>
      <c r="V934" t="s">
        <v>42</v>
      </c>
    </row>
    <row r="935" spans="1:23" x14ac:dyDescent="0.25">
      <c r="A935" t="s">
        <v>1495</v>
      </c>
      <c r="B935" s="1">
        <v>45695</v>
      </c>
      <c r="C935" t="s">
        <v>364</v>
      </c>
      <c r="D935" t="s">
        <v>25</v>
      </c>
      <c r="E935" t="s">
        <v>46</v>
      </c>
      <c r="F935" t="s">
        <v>86</v>
      </c>
      <c r="G935" t="s">
        <v>110</v>
      </c>
      <c r="H935">
        <v>3</v>
      </c>
      <c r="I935">
        <v>6993</v>
      </c>
      <c r="J935">
        <v>0</v>
      </c>
      <c r="K935">
        <v>0</v>
      </c>
      <c r="L935">
        <v>20979</v>
      </c>
      <c r="M935">
        <v>12952.82</v>
      </c>
      <c r="N935">
        <v>8026.18</v>
      </c>
      <c r="O935" t="s">
        <v>39</v>
      </c>
      <c r="P935">
        <v>1035.33</v>
      </c>
      <c r="Q935" t="s">
        <v>30</v>
      </c>
      <c r="R935" t="s">
        <v>31</v>
      </c>
      <c r="S935">
        <v>5</v>
      </c>
      <c r="T935">
        <v>1</v>
      </c>
      <c r="U935" t="s">
        <v>32</v>
      </c>
      <c r="V935" t="s">
        <v>33</v>
      </c>
      <c r="W935">
        <v>5</v>
      </c>
    </row>
    <row r="936" spans="1:23" x14ac:dyDescent="0.25">
      <c r="A936" t="s">
        <v>1496</v>
      </c>
      <c r="B936" s="1">
        <v>45953</v>
      </c>
      <c r="C936" t="s">
        <v>1497</v>
      </c>
      <c r="D936" t="s">
        <v>25</v>
      </c>
      <c r="E936" t="s">
        <v>36</v>
      </c>
      <c r="F936" t="s">
        <v>27</v>
      </c>
      <c r="G936" t="s">
        <v>28</v>
      </c>
      <c r="H936">
        <v>1</v>
      </c>
      <c r="I936">
        <v>22837</v>
      </c>
      <c r="J936">
        <v>10</v>
      </c>
      <c r="K936">
        <v>2283.6999999999998</v>
      </c>
      <c r="L936">
        <v>20553.3</v>
      </c>
      <c r="M936">
        <v>12886.13</v>
      </c>
      <c r="N936">
        <v>7667.17</v>
      </c>
      <c r="O936" t="s">
        <v>60</v>
      </c>
      <c r="P936">
        <v>1303.01</v>
      </c>
      <c r="Q936" t="s">
        <v>83</v>
      </c>
      <c r="R936" t="s">
        <v>31</v>
      </c>
      <c r="S936">
        <v>5</v>
      </c>
      <c r="T936">
        <v>5</v>
      </c>
      <c r="U936" t="s">
        <v>32</v>
      </c>
      <c r="V936" t="s">
        <v>33</v>
      </c>
      <c r="W936">
        <v>3</v>
      </c>
    </row>
    <row r="937" spans="1:23" x14ac:dyDescent="0.25">
      <c r="A937" t="s">
        <v>1498</v>
      </c>
      <c r="B937" s="1">
        <v>45980</v>
      </c>
      <c r="C937" t="s">
        <v>961</v>
      </c>
      <c r="D937" t="s">
        <v>71</v>
      </c>
      <c r="E937" t="s">
        <v>46</v>
      </c>
      <c r="F937" t="s">
        <v>47</v>
      </c>
      <c r="G937" t="s">
        <v>48</v>
      </c>
      <c r="H937">
        <v>2</v>
      </c>
      <c r="I937">
        <v>14766</v>
      </c>
      <c r="J937">
        <v>5</v>
      </c>
      <c r="K937">
        <v>1476.6</v>
      </c>
      <c r="L937">
        <v>28055.4</v>
      </c>
      <c r="M937">
        <v>15632.31</v>
      </c>
      <c r="N937">
        <v>12423.09</v>
      </c>
      <c r="O937" t="s">
        <v>55</v>
      </c>
      <c r="P937">
        <v>430.87</v>
      </c>
      <c r="Q937" t="s">
        <v>30</v>
      </c>
      <c r="R937" t="s">
        <v>41</v>
      </c>
      <c r="S937">
        <v>2</v>
      </c>
      <c r="T937">
        <v>4</v>
      </c>
      <c r="U937" t="s">
        <v>32</v>
      </c>
      <c r="V937" t="s">
        <v>50</v>
      </c>
      <c r="W937">
        <v>2</v>
      </c>
    </row>
    <row r="938" spans="1:23" x14ac:dyDescent="0.25">
      <c r="A938" t="s">
        <v>1499</v>
      </c>
      <c r="B938" s="1">
        <v>46009</v>
      </c>
      <c r="C938" t="s">
        <v>142</v>
      </c>
      <c r="D938" t="s">
        <v>154</v>
      </c>
      <c r="E938" t="s">
        <v>26</v>
      </c>
      <c r="F938" t="s">
        <v>86</v>
      </c>
      <c r="G938" t="s">
        <v>180</v>
      </c>
      <c r="H938">
        <v>1</v>
      </c>
      <c r="I938">
        <v>54004</v>
      </c>
      <c r="J938">
        <v>0</v>
      </c>
      <c r="K938">
        <v>0</v>
      </c>
      <c r="L938">
        <v>54004</v>
      </c>
      <c r="M938">
        <v>38345.1</v>
      </c>
      <c r="N938">
        <v>15658.9</v>
      </c>
      <c r="O938" t="s">
        <v>60</v>
      </c>
      <c r="P938">
        <v>339.85</v>
      </c>
      <c r="Q938" t="s">
        <v>83</v>
      </c>
      <c r="R938" t="s">
        <v>31</v>
      </c>
      <c r="S938">
        <v>5</v>
      </c>
      <c r="T938">
        <v>2</v>
      </c>
      <c r="U938" t="s">
        <v>32</v>
      </c>
      <c r="V938" t="s">
        <v>50</v>
      </c>
      <c r="W938">
        <v>5</v>
      </c>
    </row>
    <row r="939" spans="1:23" x14ac:dyDescent="0.25">
      <c r="A939" t="s">
        <v>1500</v>
      </c>
      <c r="B939" s="1">
        <v>45685</v>
      </c>
      <c r="C939" t="s">
        <v>860</v>
      </c>
      <c r="D939" t="s">
        <v>71</v>
      </c>
      <c r="E939" t="s">
        <v>46</v>
      </c>
      <c r="F939" t="s">
        <v>47</v>
      </c>
      <c r="G939" t="s">
        <v>64</v>
      </c>
      <c r="H939">
        <v>1</v>
      </c>
      <c r="I939">
        <v>22020</v>
      </c>
      <c r="J939">
        <v>10</v>
      </c>
      <c r="K939">
        <v>2202</v>
      </c>
      <c r="L939">
        <v>19818</v>
      </c>
      <c r="M939">
        <v>12832.21</v>
      </c>
      <c r="N939">
        <v>6985.79</v>
      </c>
      <c r="O939" t="s">
        <v>60</v>
      </c>
      <c r="P939">
        <v>890.54</v>
      </c>
      <c r="Q939" t="s">
        <v>30</v>
      </c>
      <c r="R939" t="s">
        <v>41</v>
      </c>
      <c r="S939">
        <v>2</v>
      </c>
      <c r="T939">
        <v>3</v>
      </c>
      <c r="U939" t="s">
        <v>32</v>
      </c>
      <c r="V939" t="s">
        <v>42</v>
      </c>
    </row>
    <row r="940" spans="1:23" x14ac:dyDescent="0.25">
      <c r="A940" t="s">
        <v>1501</v>
      </c>
      <c r="B940" s="1">
        <v>45735</v>
      </c>
      <c r="C940" t="s">
        <v>1350</v>
      </c>
      <c r="D940" t="s">
        <v>90</v>
      </c>
      <c r="E940" t="s">
        <v>26</v>
      </c>
      <c r="F940" t="s">
        <v>47</v>
      </c>
      <c r="G940" t="s">
        <v>138</v>
      </c>
      <c r="H940">
        <v>1</v>
      </c>
      <c r="I940">
        <v>41611</v>
      </c>
      <c r="J940">
        <v>15</v>
      </c>
      <c r="K940">
        <v>6241.65</v>
      </c>
      <c r="L940">
        <v>35369.35</v>
      </c>
      <c r="M940">
        <v>25146.31</v>
      </c>
      <c r="N940">
        <v>10223.040000000001</v>
      </c>
      <c r="O940" t="s">
        <v>55</v>
      </c>
      <c r="P940">
        <v>477.14</v>
      </c>
      <c r="Q940" t="s">
        <v>83</v>
      </c>
      <c r="R940" t="s">
        <v>31</v>
      </c>
      <c r="S940">
        <v>5</v>
      </c>
      <c r="T940">
        <v>5</v>
      </c>
      <c r="U940" t="s">
        <v>32</v>
      </c>
      <c r="V940" t="s">
        <v>33</v>
      </c>
      <c r="W940">
        <v>2</v>
      </c>
    </row>
    <row r="941" spans="1:23" x14ac:dyDescent="0.25">
      <c r="A941" t="s">
        <v>1502</v>
      </c>
      <c r="B941" s="1">
        <v>45734</v>
      </c>
      <c r="C941" t="s">
        <v>1378</v>
      </c>
      <c r="D941" t="s">
        <v>45</v>
      </c>
      <c r="E941" t="s">
        <v>46</v>
      </c>
      <c r="F941" t="s">
        <v>86</v>
      </c>
      <c r="G941" t="s">
        <v>87</v>
      </c>
      <c r="H941">
        <v>2</v>
      </c>
      <c r="I941">
        <v>63340</v>
      </c>
      <c r="J941">
        <v>0</v>
      </c>
      <c r="K941">
        <v>0</v>
      </c>
      <c r="L941">
        <v>126680</v>
      </c>
      <c r="M941">
        <v>72373.81</v>
      </c>
      <c r="N941">
        <v>54306.19</v>
      </c>
      <c r="O941" t="s">
        <v>60</v>
      </c>
      <c r="P941">
        <v>753.26</v>
      </c>
      <c r="Q941" t="s">
        <v>68</v>
      </c>
      <c r="R941" t="s">
        <v>31</v>
      </c>
      <c r="S941">
        <v>5</v>
      </c>
      <c r="T941">
        <v>4</v>
      </c>
      <c r="U941" t="s">
        <v>32</v>
      </c>
      <c r="V941" t="s">
        <v>42</v>
      </c>
    </row>
    <row r="942" spans="1:23" x14ac:dyDescent="0.25">
      <c r="A942" t="s">
        <v>1503</v>
      </c>
      <c r="B942" s="1">
        <v>45946</v>
      </c>
      <c r="C942" t="s">
        <v>1346</v>
      </c>
      <c r="D942" t="s">
        <v>90</v>
      </c>
      <c r="E942" t="s">
        <v>46</v>
      </c>
      <c r="F942" t="s">
        <v>27</v>
      </c>
      <c r="G942" t="s">
        <v>164</v>
      </c>
      <c r="H942">
        <v>1</v>
      </c>
      <c r="I942">
        <v>4317</v>
      </c>
      <c r="J942">
        <v>0</v>
      </c>
      <c r="K942">
        <v>0</v>
      </c>
      <c r="L942">
        <v>4317</v>
      </c>
      <c r="M942">
        <v>2433.3000000000002</v>
      </c>
      <c r="N942">
        <v>1883.7</v>
      </c>
      <c r="O942" t="s">
        <v>39</v>
      </c>
      <c r="P942">
        <v>1274.92</v>
      </c>
      <c r="Q942" t="s">
        <v>73</v>
      </c>
      <c r="R942" t="s">
        <v>41</v>
      </c>
      <c r="S942">
        <v>2</v>
      </c>
      <c r="T942">
        <v>5</v>
      </c>
      <c r="U942" t="s">
        <v>32</v>
      </c>
      <c r="V942" t="s">
        <v>42</v>
      </c>
    </row>
    <row r="943" spans="1:23" x14ac:dyDescent="0.25">
      <c r="A943" t="s">
        <v>1504</v>
      </c>
      <c r="B943" s="1">
        <v>45813</v>
      </c>
      <c r="C943" t="s">
        <v>1012</v>
      </c>
      <c r="D943" t="s">
        <v>45</v>
      </c>
      <c r="E943" t="s">
        <v>26</v>
      </c>
      <c r="F943" t="s">
        <v>53</v>
      </c>
      <c r="G943" t="s">
        <v>151</v>
      </c>
      <c r="H943">
        <v>3</v>
      </c>
      <c r="I943">
        <v>17905</v>
      </c>
      <c r="J943">
        <v>0</v>
      </c>
      <c r="K943">
        <v>0</v>
      </c>
      <c r="L943">
        <v>53715</v>
      </c>
      <c r="M943">
        <v>34112.39</v>
      </c>
      <c r="N943">
        <v>19602.61</v>
      </c>
      <c r="O943" t="s">
        <v>91</v>
      </c>
      <c r="P943">
        <v>595.88</v>
      </c>
      <c r="Q943" t="s">
        <v>73</v>
      </c>
      <c r="R943" t="s">
        <v>31</v>
      </c>
      <c r="S943">
        <v>5</v>
      </c>
      <c r="T943">
        <v>2</v>
      </c>
      <c r="U943" t="s">
        <v>32</v>
      </c>
      <c r="V943" t="s">
        <v>50</v>
      </c>
      <c r="W943">
        <v>5</v>
      </c>
    </row>
    <row r="944" spans="1:23" x14ac:dyDescent="0.25">
      <c r="A944" t="s">
        <v>1505</v>
      </c>
      <c r="B944" s="1">
        <v>45701</v>
      </c>
      <c r="C944" t="s">
        <v>1136</v>
      </c>
      <c r="D944" t="s">
        <v>90</v>
      </c>
      <c r="E944" t="s">
        <v>46</v>
      </c>
      <c r="F944" t="s">
        <v>37</v>
      </c>
      <c r="G944" t="s">
        <v>38</v>
      </c>
      <c r="H944">
        <v>2</v>
      </c>
      <c r="I944">
        <v>38680</v>
      </c>
      <c r="J944">
        <v>20</v>
      </c>
      <c r="K944">
        <v>15472</v>
      </c>
      <c r="L944">
        <v>61888</v>
      </c>
      <c r="M944">
        <v>44713.96</v>
      </c>
      <c r="N944">
        <v>17174.04</v>
      </c>
      <c r="O944" t="s">
        <v>29</v>
      </c>
      <c r="P944">
        <v>1557.73</v>
      </c>
      <c r="Q944" t="s">
        <v>83</v>
      </c>
      <c r="R944" t="s">
        <v>31</v>
      </c>
      <c r="S944">
        <v>5</v>
      </c>
      <c r="T944">
        <v>1</v>
      </c>
      <c r="U944" t="s">
        <v>32</v>
      </c>
      <c r="V944" t="s">
        <v>50</v>
      </c>
      <c r="W944">
        <v>4</v>
      </c>
    </row>
    <row r="945" spans="1:23" x14ac:dyDescent="0.25">
      <c r="A945" t="s">
        <v>1506</v>
      </c>
      <c r="B945" s="1">
        <v>45785</v>
      </c>
      <c r="C945" t="s">
        <v>478</v>
      </c>
      <c r="D945" t="s">
        <v>63</v>
      </c>
      <c r="E945" t="s">
        <v>46</v>
      </c>
      <c r="F945" t="s">
        <v>27</v>
      </c>
      <c r="G945" t="s">
        <v>113</v>
      </c>
      <c r="H945">
        <v>1</v>
      </c>
      <c r="I945">
        <v>19391</v>
      </c>
      <c r="J945">
        <v>0</v>
      </c>
      <c r="K945">
        <v>0</v>
      </c>
      <c r="L945">
        <v>19391</v>
      </c>
      <c r="M945">
        <v>13204.41</v>
      </c>
      <c r="N945">
        <v>6186.59</v>
      </c>
      <c r="O945" t="s">
        <v>55</v>
      </c>
      <c r="P945">
        <v>736.59</v>
      </c>
      <c r="Q945" t="s">
        <v>68</v>
      </c>
      <c r="R945" t="s">
        <v>41</v>
      </c>
      <c r="S945">
        <v>2</v>
      </c>
      <c r="T945">
        <v>1</v>
      </c>
      <c r="U945" t="s">
        <v>32</v>
      </c>
      <c r="V945" t="s">
        <v>42</v>
      </c>
    </row>
    <row r="946" spans="1:23" x14ac:dyDescent="0.25">
      <c r="A946" t="s">
        <v>1507</v>
      </c>
      <c r="B946" s="1">
        <v>45718</v>
      </c>
      <c r="C946" t="s">
        <v>1508</v>
      </c>
      <c r="D946" t="s">
        <v>124</v>
      </c>
      <c r="E946" t="s">
        <v>26</v>
      </c>
      <c r="F946" t="s">
        <v>86</v>
      </c>
      <c r="G946" t="s">
        <v>127</v>
      </c>
      <c r="H946">
        <v>1</v>
      </c>
      <c r="I946">
        <v>43893</v>
      </c>
      <c r="J946">
        <v>20</v>
      </c>
      <c r="K946">
        <v>8778.6</v>
      </c>
      <c r="L946">
        <v>35114.400000000001</v>
      </c>
      <c r="M946">
        <v>26964.12</v>
      </c>
      <c r="N946">
        <v>8150.28</v>
      </c>
      <c r="O946" t="s">
        <v>49</v>
      </c>
      <c r="P946">
        <v>447.54</v>
      </c>
      <c r="Q946" t="s">
        <v>68</v>
      </c>
      <c r="R946" t="s">
        <v>41</v>
      </c>
      <c r="S946">
        <v>2</v>
      </c>
      <c r="T946">
        <v>5</v>
      </c>
      <c r="U946" t="s">
        <v>56</v>
      </c>
      <c r="V946" t="s">
        <v>33</v>
      </c>
      <c r="W946">
        <v>2</v>
      </c>
    </row>
    <row r="947" spans="1:23" x14ac:dyDescent="0.25">
      <c r="A947" t="s">
        <v>1509</v>
      </c>
      <c r="B947" s="1">
        <v>45943</v>
      </c>
      <c r="C947" t="s">
        <v>445</v>
      </c>
      <c r="D947" t="s">
        <v>90</v>
      </c>
      <c r="E947" t="s">
        <v>26</v>
      </c>
      <c r="F947" t="s">
        <v>53</v>
      </c>
      <c r="G947" t="s">
        <v>268</v>
      </c>
      <c r="H947">
        <v>3</v>
      </c>
      <c r="I947">
        <v>119657</v>
      </c>
      <c r="J947">
        <v>0</v>
      </c>
      <c r="K947">
        <v>0</v>
      </c>
      <c r="L947">
        <v>358971</v>
      </c>
      <c r="M947">
        <v>278948.25</v>
      </c>
      <c r="N947">
        <v>80022.75</v>
      </c>
      <c r="O947" t="s">
        <v>29</v>
      </c>
      <c r="P947">
        <v>1719.01</v>
      </c>
      <c r="Q947" t="s">
        <v>73</v>
      </c>
      <c r="R947" t="s">
        <v>31</v>
      </c>
      <c r="S947">
        <v>5</v>
      </c>
      <c r="T947">
        <v>5</v>
      </c>
      <c r="U947" t="s">
        <v>32</v>
      </c>
      <c r="V947" t="s">
        <v>50</v>
      </c>
      <c r="W947">
        <v>5</v>
      </c>
    </row>
    <row r="948" spans="1:23" x14ac:dyDescent="0.25">
      <c r="A948" t="s">
        <v>1510</v>
      </c>
      <c r="B948" s="1">
        <v>45871</v>
      </c>
      <c r="C948" t="s">
        <v>622</v>
      </c>
      <c r="D948" t="s">
        <v>124</v>
      </c>
      <c r="E948" t="s">
        <v>26</v>
      </c>
      <c r="F948" t="s">
        <v>53</v>
      </c>
      <c r="G948" t="s">
        <v>82</v>
      </c>
      <c r="H948">
        <v>2</v>
      </c>
      <c r="I948">
        <v>83915</v>
      </c>
      <c r="J948">
        <v>0</v>
      </c>
      <c r="K948">
        <v>0</v>
      </c>
      <c r="L948">
        <v>167830</v>
      </c>
      <c r="M948">
        <v>132973.5</v>
      </c>
      <c r="N948">
        <v>34856.5</v>
      </c>
      <c r="O948" t="s">
        <v>39</v>
      </c>
      <c r="P948">
        <v>1881.2</v>
      </c>
      <c r="Q948" t="s">
        <v>40</v>
      </c>
      <c r="R948" t="s">
        <v>41</v>
      </c>
      <c r="S948">
        <v>2</v>
      </c>
      <c r="T948">
        <v>1</v>
      </c>
      <c r="U948" t="s">
        <v>32</v>
      </c>
      <c r="V948" t="s">
        <v>33</v>
      </c>
      <c r="W948">
        <v>1</v>
      </c>
    </row>
    <row r="949" spans="1:23" x14ac:dyDescent="0.25">
      <c r="A949" t="s">
        <v>1511</v>
      </c>
      <c r="B949" s="1">
        <v>45968</v>
      </c>
      <c r="C949" t="s">
        <v>174</v>
      </c>
      <c r="D949" t="s">
        <v>97</v>
      </c>
      <c r="E949" t="s">
        <v>36</v>
      </c>
      <c r="F949" t="s">
        <v>37</v>
      </c>
      <c r="G949" t="s">
        <v>38</v>
      </c>
      <c r="H949">
        <v>3</v>
      </c>
      <c r="I949">
        <v>39068</v>
      </c>
      <c r="J949">
        <v>0</v>
      </c>
      <c r="K949">
        <v>0</v>
      </c>
      <c r="L949">
        <v>117204</v>
      </c>
      <c r="M949">
        <v>69548.08</v>
      </c>
      <c r="N949">
        <v>47655.92</v>
      </c>
      <c r="O949" t="s">
        <v>55</v>
      </c>
      <c r="P949">
        <v>1400.48</v>
      </c>
      <c r="Q949" t="s">
        <v>68</v>
      </c>
      <c r="R949" t="s">
        <v>41</v>
      </c>
      <c r="S949">
        <v>2</v>
      </c>
      <c r="T949">
        <v>1</v>
      </c>
      <c r="U949" t="s">
        <v>32</v>
      </c>
      <c r="V949" t="s">
        <v>33</v>
      </c>
      <c r="W949">
        <v>3</v>
      </c>
    </row>
    <row r="950" spans="1:23" x14ac:dyDescent="0.25">
      <c r="A950" t="s">
        <v>1512</v>
      </c>
      <c r="B950" s="1">
        <v>45963</v>
      </c>
      <c r="C950" t="s">
        <v>396</v>
      </c>
      <c r="D950" t="s">
        <v>25</v>
      </c>
      <c r="E950" t="s">
        <v>36</v>
      </c>
      <c r="F950" t="s">
        <v>37</v>
      </c>
      <c r="G950" t="s">
        <v>100</v>
      </c>
      <c r="H950">
        <v>1</v>
      </c>
      <c r="I950">
        <v>7068</v>
      </c>
      <c r="J950">
        <v>15</v>
      </c>
      <c r="K950">
        <v>1060.2</v>
      </c>
      <c r="L950">
        <v>6007.8</v>
      </c>
      <c r="M950">
        <v>4073.67</v>
      </c>
      <c r="N950">
        <v>1934.13</v>
      </c>
      <c r="O950" t="s">
        <v>60</v>
      </c>
      <c r="P950">
        <v>2137.96</v>
      </c>
      <c r="Q950" t="s">
        <v>68</v>
      </c>
      <c r="R950" t="s">
        <v>31</v>
      </c>
      <c r="S950">
        <v>5</v>
      </c>
      <c r="T950">
        <v>4</v>
      </c>
      <c r="U950" t="s">
        <v>32</v>
      </c>
      <c r="V950" t="s">
        <v>33</v>
      </c>
      <c r="W950">
        <v>5</v>
      </c>
    </row>
    <row r="951" spans="1:23" x14ac:dyDescent="0.25">
      <c r="A951" t="s">
        <v>1513</v>
      </c>
      <c r="B951" s="1">
        <v>45974</v>
      </c>
      <c r="C951" t="s">
        <v>758</v>
      </c>
      <c r="D951" t="s">
        <v>63</v>
      </c>
      <c r="E951" t="s">
        <v>46</v>
      </c>
      <c r="F951" t="s">
        <v>27</v>
      </c>
      <c r="G951" t="s">
        <v>28</v>
      </c>
      <c r="H951">
        <v>2</v>
      </c>
      <c r="I951">
        <v>20241</v>
      </c>
      <c r="J951">
        <v>10</v>
      </c>
      <c r="K951">
        <v>4048.2</v>
      </c>
      <c r="L951">
        <v>36433.800000000003</v>
      </c>
      <c r="M951">
        <v>27824.31</v>
      </c>
      <c r="N951">
        <v>8609.49</v>
      </c>
      <c r="O951" t="s">
        <v>29</v>
      </c>
      <c r="P951">
        <v>2278.77</v>
      </c>
      <c r="Q951" t="s">
        <v>68</v>
      </c>
      <c r="R951" t="s">
        <v>41</v>
      </c>
      <c r="S951">
        <v>2</v>
      </c>
      <c r="T951">
        <v>4</v>
      </c>
      <c r="U951" t="s">
        <v>32</v>
      </c>
      <c r="V951" t="s">
        <v>42</v>
      </c>
    </row>
    <row r="952" spans="1:23" x14ac:dyDescent="0.25">
      <c r="A952" t="s">
        <v>1514</v>
      </c>
      <c r="B952" s="1">
        <v>45773</v>
      </c>
      <c r="C952" t="s">
        <v>766</v>
      </c>
      <c r="D952" t="s">
        <v>67</v>
      </c>
      <c r="E952" t="s">
        <v>26</v>
      </c>
      <c r="F952" t="s">
        <v>27</v>
      </c>
      <c r="G952" t="s">
        <v>113</v>
      </c>
      <c r="H952">
        <v>1</v>
      </c>
      <c r="I952">
        <v>26876</v>
      </c>
      <c r="J952">
        <v>10</v>
      </c>
      <c r="K952">
        <v>2687.6</v>
      </c>
      <c r="L952">
        <v>24188.400000000001</v>
      </c>
      <c r="M952">
        <v>19212.240000000002</v>
      </c>
      <c r="N952">
        <v>4976.16</v>
      </c>
      <c r="O952" t="s">
        <v>49</v>
      </c>
      <c r="P952">
        <v>209.57</v>
      </c>
      <c r="Q952" t="s">
        <v>83</v>
      </c>
      <c r="R952" t="s">
        <v>41</v>
      </c>
      <c r="S952">
        <v>2</v>
      </c>
      <c r="T952">
        <v>1</v>
      </c>
      <c r="U952" t="s">
        <v>32</v>
      </c>
      <c r="V952" t="s">
        <v>33</v>
      </c>
      <c r="W952">
        <v>1</v>
      </c>
    </row>
    <row r="953" spans="1:23" x14ac:dyDescent="0.25">
      <c r="A953" t="s">
        <v>1515</v>
      </c>
      <c r="B953" s="1">
        <v>45925</v>
      </c>
      <c r="C953" t="s">
        <v>156</v>
      </c>
      <c r="D953" t="s">
        <v>154</v>
      </c>
      <c r="E953" t="s">
        <v>46</v>
      </c>
      <c r="F953" t="s">
        <v>27</v>
      </c>
      <c r="G953" t="s">
        <v>28</v>
      </c>
      <c r="H953">
        <v>3</v>
      </c>
      <c r="I953">
        <v>10844</v>
      </c>
      <c r="J953">
        <v>15</v>
      </c>
      <c r="K953">
        <v>4879.8</v>
      </c>
      <c r="L953">
        <v>27652.2</v>
      </c>
      <c r="M953">
        <v>17852.03</v>
      </c>
      <c r="N953">
        <v>9800.17</v>
      </c>
      <c r="O953" t="s">
        <v>60</v>
      </c>
      <c r="P953">
        <v>873.55</v>
      </c>
      <c r="Q953" t="s">
        <v>83</v>
      </c>
      <c r="R953" t="s">
        <v>41</v>
      </c>
      <c r="S953">
        <v>2</v>
      </c>
      <c r="T953">
        <v>2</v>
      </c>
      <c r="U953" t="s">
        <v>32</v>
      </c>
      <c r="V953" t="s">
        <v>33</v>
      </c>
      <c r="W953">
        <v>2</v>
      </c>
    </row>
    <row r="954" spans="1:23" x14ac:dyDescent="0.25">
      <c r="A954" t="s">
        <v>1516</v>
      </c>
      <c r="B954" s="1">
        <v>45852</v>
      </c>
      <c r="C954" t="s">
        <v>466</v>
      </c>
      <c r="D954" t="s">
        <v>45</v>
      </c>
      <c r="E954" t="s">
        <v>46</v>
      </c>
      <c r="F954" t="s">
        <v>37</v>
      </c>
      <c r="G954" t="s">
        <v>100</v>
      </c>
      <c r="H954">
        <v>1</v>
      </c>
      <c r="I954">
        <v>21409</v>
      </c>
      <c r="J954">
        <v>20</v>
      </c>
      <c r="K954">
        <v>4281.8</v>
      </c>
      <c r="L954">
        <v>17127.2</v>
      </c>
      <c r="M954">
        <v>11786.24</v>
      </c>
      <c r="N954">
        <v>5340.96</v>
      </c>
      <c r="O954" t="s">
        <v>60</v>
      </c>
      <c r="P954">
        <v>226.72</v>
      </c>
      <c r="Q954" t="s">
        <v>40</v>
      </c>
      <c r="R954" t="s">
        <v>31</v>
      </c>
      <c r="S954">
        <v>5</v>
      </c>
      <c r="T954">
        <v>2</v>
      </c>
      <c r="U954" t="s">
        <v>32</v>
      </c>
      <c r="V954" t="s">
        <v>33</v>
      </c>
      <c r="W954">
        <v>4</v>
      </c>
    </row>
    <row r="955" spans="1:23" x14ac:dyDescent="0.25">
      <c r="A955" t="s">
        <v>1517</v>
      </c>
      <c r="B955" s="1">
        <v>45888</v>
      </c>
      <c r="C955" t="s">
        <v>1518</v>
      </c>
      <c r="D955" t="s">
        <v>154</v>
      </c>
      <c r="E955" t="s">
        <v>36</v>
      </c>
      <c r="F955" t="s">
        <v>86</v>
      </c>
      <c r="G955" t="s">
        <v>180</v>
      </c>
      <c r="H955">
        <v>1</v>
      </c>
      <c r="I955">
        <v>59297</v>
      </c>
      <c r="J955">
        <v>25</v>
      </c>
      <c r="K955">
        <v>14824.25</v>
      </c>
      <c r="L955">
        <v>44472.75</v>
      </c>
      <c r="M955">
        <v>25961.66</v>
      </c>
      <c r="N955">
        <v>18511.09</v>
      </c>
      <c r="O955" t="s">
        <v>91</v>
      </c>
      <c r="P955">
        <v>1429.63</v>
      </c>
      <c r="Q955" t="s">
        <v>40</v>
      </c>
      <c r="R955" t="s">
        <v>31</v>
      </c>
      <c r="S955">
        <v>5</v>
      </c>
      <c r="T955">
        <v>2</v>
      </c>
      <c r="U955" t="s">
        <v>32</v>
      </c>
      <c r="V955" t="s">
        <v>42</v>
      </c>
    </row>
    <row r="956" spans="1:23" x14ac:dyDescent="0.25">
      <c r="A956" t="s">
        <v>1519</v>
      </c>
      <c r="B956" s="1">
        <v>45884</v>
      </c>
      <c r="C956" t="s">
        <v>1281</v>
      </c>
      <c r="D956" t="s">
        <v>71</v>
      </c>
      <c r="E956" t="s">
        <v>36</v>
      </c>
      <c r="F956" t="s">
        <v>37</v>
      </c>
      <c r="G956" t="s">
        <v>161</v>
      </c>
      <c r="H956">
        <v>1</v>
      </c>
      <c r="I956">
        <v>8466</v>
      </c>
      <c r="J956">
        <v>15</v>
      </c>
      <c r="K956">
        <v>1269.9000000000001</v>
      </c>
      <c r="L956">
        <v>7196.1</v>
      </c>
      <c r="M956">
        <v>4000.71</v>
      </c>
      <c r="N956">
        <v>3195.39</v>
      </c>
      <c r="O956" t="s">
        <v>91</v>
      </c>
      <c r="P956">
        <v>369.86</v>
      </c>
      <c r="Q956" t="s">
        <v>83</v>
      </c>
      <c r="R956" t="s">
        <v>31</v>
      </c>
      <c r="S956">
        <v>5</v>
      </c>
      <c r="T956">
        <v>4</v>
      </c>
      <c r="U956" t="s">
        <v>32</v>
      </c>
      <c r="V956" t="s">
        <v>33</v>
      </c>
      <c r="W956">
        <v>3</v>
      </c>
    </row>
    <row r="957" spans="1:23" x14ac:dyDescent="0.25">
      <c r="A957" t="s">
        <v>1520</v>
      </c>
      <c r="B957" s="1">
        <v>45810</v>
      </c>
      <c r="C957" t="s">
        <v>1521</v>
      </c>
      <c r="D957" t="s">
        <v>45</v>
      </c>
      <c r="E957" t="s">
        <v>36</v>
      </c>
      <c r="F957" t="s">
        <v>37</v>
      </c>
      <c r="G957" t="s">
        <v>161</v>
      </c>
      <c r="H957">
        <v>4</v>
      </c>
      <c r="I957">
        <v>19246</v>
      </c>
      <c r="J957">
        <v>5</v>
      </c>
      <c r="K957">
        <v>3849.2</v>
      </c>
      <c r="L957">
        <v>73134.8</v>
      </c>
      <c r="M957">
        <v>49605.86</v>
      </c>
      <c r="N957">
        <v>23528.94</v>
      </c>
      <c r="O957" t="s">
        <v>49</v>
      </c>
      <c r="P957">
        <v>133.96</v>
      </c>
      <c r="Q957" t="s">
        <v>68</v>
      </c>
      <c r="R957" t="s">
        <v>31</v>
      </c>
      <c r="S957">
        <v>5</v>
      </c>
      <c r="T957">
        <v>7</v>
      </c>
      <c r="U957" t="s">
        <v>56</v>
      </c>
      <c r="V957" t="s">
        <v>33</v>
      </c>
      <c r="W957">
        <v>3</v>
      </c>
    </row>
    <row r="958" spans="1:23" x14ac:dyDescent="0.25">
      <c r="A958" t="s">
        <v>1522</v>
      </c>
      <c r="B958" s="1">
        <v>45959</v>
      </c>
      <c r="C958" t="s">
        <v>1523</v>
      </c>
      <c r="D958" t="s">
        <v>97</v>
      </c>
      <c r="E958" t="s">
        <v>46</v>
      </c>
      <c r="F958" t="s">
        <v>53</v>
      </c>
      <c r="G958" t="s">
        <v>59</v>
      </c>
      <c r="H958">
        <v>1</v>
      </c>
      <c r="I958">
        <v>117797</v>
      </c>
      <c r="J958">
        <v>10</v>
      </c>
      <c r="K958">
        <v>11779.7</v>
      </c>
      <c r="L958">
        <v>106017.3</v>
      </c>
      <c r="M958">
        <v>79791.66</v>
      </c>
      <c r="N958">
        <v>26225.64</v>
      </c>
      <c r="O958" t="s">
        <v>29</v>
      </c>
      <c r="P958">
        <v>486.51</v>
      </c>
      <c r="Q958" t="s">
        <v>83</v>
      </c>
      <c r="R958" t="s">
        <v>31</v>
      </c>
      <c r="S958">
        <v>5</v>
      </c>
      <c r="T958">
        <v>5</v>
      </c>
      <c r="U958" t="s">
        <v>32</v>
      </c>
      <c r="V958" t="s">
        <v>33</v>
      </c>
      <c r="W958">
        <v>3</v>
      </c>
    </row>
    <row r="959" spans="1:23" x14ac:dyDescent="0.25">
      <c r="A959" t="s">
        <v>1524</v>
      </c>
      <c r="B959" s="1">
        <v>45877</v>
      </c>
      <c r="C959" t="s">
        <v>1346</v>
      </c>
      <c r="D959" t="s">
        <v>124</v>
      </c>
      <c r="E959" t="s">
        <v>46</v>
      </c>
      <c r="F959" t="s">
        <v>27</v>
      </c>
      <c r="G959" t="s">
        <v>72</v>
      </c>
      <c r="H959">
        <v>1</v>
      </c>
      <c r="I959">
        <v>5570</v>
      </c>
      <c r="J959">
        <v>20</v>
      </c>
      <c r="K959">
        <v>1114</v>
      </c>
      <c r="L959">
        <v>4456</v>
      </c>
      <c r="M959">
        <v>3529.49</v>
      </c>
      <c r="N959">
        <v>926.51</v>
      </c>
      <c r="O959" t="s">
        <v>49</v>
      </c>
      <c r="P959">
        <v>107.05</v>
      </c>
      <c r="Q959" t="s">
        <v>73</v>
      </c>
      <c r="R959" t="s">
        <v>31</v>
      </c>
      <c r="S959">
        <v>5</v>
      </c>
      <c r="T959">
        <v>6</v>
      </c>
      <c r="U959" t="s">
        <v>32</v>
      </c>
      <c r="V959" t="s">
        <v>50</v>
      </c>
      <c r="W959">
        <v>5</v>
      </c>
    </row>
    <row r="960" spans="1:23" x14ac:dyDescent="0.25">
      <c r="A960" t="s">
        <v>1525</v>
      </c>
      <c r="B960" s="1">
        <v>45814</v>
      </c>
      <c r="C960" t="s">
        <v>109</v>
      </c>
      <c r="D960" t="s">
        <v>97</v>
      </c>
      <c r="E960" t="s">
        <v>46</v>
      </c>
      <c r="F960" t="s">
        <v>37</v>
      </c>
      <c r="G960" t="s">
        <v>38</v>
      </c>
      <c r="H960">
        <v>1</v>
      </c>
      <c r="I960">
        <v>13532</v>
      </c>
      <c r="J960">
        <v>0</v>
      </c>
      <c r="K960">
        <v>0</v>
      </c>
      <c r="L960">
        <v>13532</v>
      </c>
      <c r="M960">
        <v>8434.56</v>
      </c>
      <c r="N960">
        <v>5097.4399999999996</v>
      </c>
      <c r="O960" t="s">
        <v>49</v>
      </c>
      <c r="P960">
        <v>282.64</v>
      </c>
      <c r="Q960" t="s">
        <v>83</v>
      </c>
      <c r="R960" t="s">
        <v>41</v>
      </c>
      <c r="S960">
        <v>2</v>
      </c>
      <c r="T960">
        <v>3</v>
      </c>
      <c r="U960" t="s">
        <v>56</v>
      </c>
      <c r="V960" t="s">
        <v>33</v>
      </c>
      <c r="W960">
        <v>4</v>
      </c>
    </row>
    <row r="961" spans="1:23" x14ac:dyDescent="0.25">
      <c r="A961" t="s">
        <v>1526</v>
      </c>
      <c r="B961" s="1">
        <v>45949</v>
      </c>
      <c r="C961" t="s">
        <v>1481</v>
      </c>
      <c r="D961" t="s">
        <v>71</v>
      </c>
      <c r="E961" t="s">
        <v>46</v>
      </c>
      <c r="F961" t="s">
        <v>47</v>
      </c>
      <c r="G961" t="s">
        <v>48</v>
      </c>
      <c r="H961">
        <v>1</v>
      </c>
      <c r="I961">
        <v>47400</v>
      </c>
      <c r="J961">
        <v>15</v>
      </c>
      <c r="K961">
        <v>7110</v>
      </c>
      <c r="L961">
        <v>40290</v>
      </c>
      <c r="M961">
        <v>29736.01</v>
      </c>
      <c r="N961">
        <v>10553.99</v>
      </c>
      <c r="O961" t="s">
        <v>49</v>
      </c>
      <c r="P961">
        <v>468.64</v>
      </c>
      <c r="Q961" t="s">
        <v>30</v>
      </c>
      <c r="R961" t="s">
        <v>41</v>
      </c>
      <c r="S961">
        <v>2</v>
      </c>
      <c r="T961">
        <v>2</v>
      </c>
      <c r="U961" t="s">
        <v>32</v>
      </c>
      <c r="V961" t="s">
        <v>42</v>
      </c>
    </row>
    <row r="962" spans="1:23" x14ac:dyDescent="0.25">
      <c r="A962" t="s">
        <v>1527</v>
      </c>
      <c r="B962" s="1">
        <v>45975</v>
      </c>
      <c r="C962" t="s">
        <v>509</v>
      </c>
      <c r="D962" t="s">
        <v>25</v>
      </c>
      <c r="E962" t="s">
        <v>26</v>
      </c>
      <c r="F962" t="s">
        <v>37</v>
      </c>
      <c r="G962" t="s">
        <v>313</v>
      </c>
      <c r="H962">
        <v>4</v>
      </c>
      <c r="I962">
        <v>12134</v>
      </c>
      <c r="J962">
        <v>0</v>
      </c>
      <c r="K962">
        <v>0</v>
      </c>
      <c r="L962">
        <v>48536</v>
      </c>
      <c r="M962">
        <v>36161.410000000003</v>
      </c>
      <c r="N962">
        <v>12374.59</v>
      </c>
      <c r="O962" t="s">
        <v>39</v>
      </c>
      <c r="P962">
        <v>1781.14</v>
      </c>
      <c r="Q962" t="s">
        <v>30</v>
      </c>
      <c r="R962" t="s">
        <v>31</v>
      </c>
      <c r="S962">
        <v>5</v>
      </c>
      <c r="T962">
        <v>0</v>
      </c>
      <c r="U962" t="s">
        <v>32</v>
      </c>
      <c r="V962" t="s">
        <v>50</v>
      </c>
      <c r="W962">
        <v>5</v>
      </c>
    </row>
    <row r="963" spans="1:23" x14ac:dyDescent="0.25">
      <c r="A963" t="s">
        <v>1528</v>
      </c>
      <c r="B963" s="1">
        <v>45688</v>
      </c>
      <c r="C963" t="s">
        <v>760</v>
      </c>
      <c r="D963" t="s">
        <v>90</v>
      </c>
      <c r="E963" t="s">
        <v>46</v>
      </c>
      <c r="F963" t="s">
        <v>86</v>
      </c>
      <c r="G963" t="s">
        <v>87</v>
      </c>
      <c r="H963">
        <v>1</v>
      </c>
      <c r="I963">
        <v>14109</v>
      </c>
      <c r="J963">
        <v>25</v>
      </c>
      <c r="K963">
        <v>3527.25</v>
      </c>
      <c r="L963">
        <v>10581.75</v>
      </c>
      <c r="M963">
        <v>8127.06</v>
      </c>
      <c r="N963">
        <v>2454.69</v>
      </c>
      <c r="O963" t="s">
        <v>39</v>
      </c>
      <c r="P963">
        <v>771.67</v>
      </c>
      <c r="Q963" t="s">
        <v>68</v>
      </c>
      <c r="R963" t="s">
        <v>41</v>
      </c>
      <c r="S963">
        <v>2</v>
      </c>
      <c r="T963">
        <v>4</v>
      </c>
      <c r="U963" t="s">
        <v>56</v>
      </c>
      <c r="V963" t="s">
        <v>33</v>
      </c>
      <c r="W963">
        <v>3</v>
      </c>
    </row>
    <row r="964" spans="1:23" x14ac:dyDescent="0.25">
      <c r="A964" t="s">
        <v>1529</v>
      </c>
      <c r="B964" s="1">
        <v>45970</v>
      </c>
      <c r="C964" t="s">
        <v>633</v>
      </c>
      <c r="D964" t="s">
        <v>63</v>
      </c>
      <c r="E964" t="s">
        <v>46</v>
      </c>
      <c r="F964" t="s">
        <v>53</v>
      </c>
      <c r="G964" t="s">
        <v>82</v>
      </c>
      <c r="H964">
        <v>1</v>
      </c>
      <c r="I964">
        <v>72636</v>
      </c>
      <c r="J964">
        <v>0</v>
      </c>
      <c r="K964">
        <v>0</v>
      </c>
      <c r="L964">
        <v>72636</v>
      </c>
      <c r="M964">
        <v>45808.08</v>
      </c>
      <c r="N964">
        <v>26827.919999999998</v>
      </c>
      <c r="O964" t="s">
        <v>39</v>
      </c>
      <c r="P964">
        <v>308</v>
      </c>
      <c r="Q964" t="s">
        <v>30</v>
      </c>
      <c r="R964" t="s">
        <v>41</v>
      </c>
      <c r="S964">
        <v>2</v>
      </c>
      <c r="T964">
        <v>1</v>
      </c>
      <c r="U964" t="s">
        <v>32</v>
      </c>
      <c r="V964" t="s">
        <v>42</v>
      </c>
    </row>
    <row r="965" spans="1:23" x14ac:dyDescent="0.25">
      <c r="A965" t="s">
        <v>1530</v>
      </c>
      <c r="B965" s="1">
        <v>45708</v>
      </c>
      <c r="C965" t="s">
        <v>1363</v>
      </c>
      <c r="D965" t="s">
        <v>45</v>
      </c>
      <c r="E965" t="s">
        <v>46</v>
      </c>
      <c r="F965" t="s">
        <v>27</v>
      </c>
      <c r="G965" t="s">
        <v>72</v>
      </c>
      <c r="H965">
        <v>1</v>
      </c>
      <c r="I965">
        <v>8802</v>
      </c>
      <c r="J965">
        <v>10</v>
      </c>
      <c r="K965">
        <v>880.2</v>
      </c>
      <c r="L965">
        <v>7921.8</v>
      </c>
      <c r="M965">
        <v>5030.2</v>
      </c>
      <c r="N965">
        <v>2891.6</v>
      </c>
      <c r="O965" t="s">
        <v>60</v>
      </c>
      <c r="P965">
        <v>1219.1199999999999</v>
      </c>
      <c r="Q965" t="s">
        <v>40</v>
      </c>
      <c r="R965" t="s">
        <v>41</v>
      </c>
      <c r="S965">
        <v>2</v>
      </c>
      <c r="T965">
        <v>3</v>
      </c>
      <c r="U965" t="s">
        <v>56</v>
      </c>
      <c r="V965" t="s">
        <v>33</v>
      </c>
      <c r="W965">
        <v>5</v>
      </c>
    </row>
    <row r="966" spans="1:23" x14ac:dyDescent="0.25">
      <c r="A966" t="s">
        <v>1531</v>
      </c>
      <c r="B966" s="1">
        <v>45764</v>
      </c>
      <c r="C966" t="s">
        <v>129</v>
      </c>
      <c r="D966" t="s">
        <v>63</v>
      </c>
      <c r="E966" t="s">
        <v>36</v>
      </c>
      <c r="F966" t="s">
        <v>53</v>
      </c>
      <c r="G966" t="s">
        <v>82</v>
      </c>
      <c r="H966">
        <v>1</v>
      </c>
      <c r="I966">
        <v>75377</v>
      </c>
      <c r="J966">
        <v>5</v>
      </c>
      <c r="K966">
        <v>3768.85</v>
      </c>
      <c r="L966">
        <v>71608.149999999994</v>
      </c>
      <c r="M966">
        <v>55954.61</v>
      </c>
      <c r="N966">
        <v>15653.54</v>
      </c>
      <c r="O966" t="s">
        <v>39</v>
      </c>
      <c r="P966">
        <v>1130.2</v>
      </c>
      <c r="Q966" t="s">
        <v>30</v>
      </c>
      <c r="R966" t="s">
        <v>41</v>
      </c>
      <c r="S966">
        <v>2</v>
      </c>
      <c r="T966">
        <v>1</v>
      </c>
      <c r="U966" t="s">
        <v>32</v>
      </c>
      <c r="V966" t="s">
        <v>33</v>
      </c>
      <c r="W966">
        <v>5</v>
      </c>
    </row>
    <row r="967" spans="1:23" x14ac:dyDescent="0.25">
      <c r="A967" t="s">
        <v>1532</v>
      </c>
      <c r="B967" s="1">
        <v>45978</v>
      </c>
      <c r="C967" t="s">
        <v>1026</v>
      </c>
      <c r="D967" t="s">
        <v>25</v>
      </c>
      <c r="E967" t="s">
        <v>46</v>
      </c>
      <c r="F967" t="s">
        <v>47</v>
      </c>
      <c r="G967" t="s">
        <v>146</v>
      </c>
      <c r="H967">
        <v>1</v>
      </c>
      <c r="I967">
        <v>28889</v>
      </c>
      <c r="J967">
        <v>0</v>
      </c>
      <c r="K967">
        <v>0</v>
      </c>
      <c r="L967">
        <v>28889</v>
      </c>
      <c r="M967">
        <v>21308.35</v>
      </c>
      <c r="N967">
        <v>7580.65</v>
      </c>
      <c r="O967" t="s">
        <v>49</v>
      </c>
      <c r="P967">
        <v>134.03</v>
      </c>
      <c r="Q967" t="s">
        <v>68</v>
      </c>
      <c r="R967" t="s">
        <v>41</v>
      </c>
      <c r="S967">
        <v>2</v>
      </c>
      <c r="T967">
        <v>1</v>
      </c>
      <c r="U967" t="s">
        <v>32</v>
      </c>
      <c r="V967" t="s">
        <v>50</v>
      </c>
      <c r="W967">
        <v>5</v>
      </c>
    </row>
    <row r="968" spans="1:23" x14ac:dyDescent="0.25">
      <c r="A968" t="s">
        <v>1533</v>
      </c>
      <c r="B968" s="1">
        <v>45766</v>
      </c>
      <c r="C968" t="s">
        <v>1488</v>
      </c>
      <c r="D968" t="s">
        <v>67</v>
      </c>
      <c r="E968" t="s">
        <v>36</v>
      </c>
      <c r="F968" t="s">
        <v>47</v>
      </c>
      <c r="G968" t="s">
        <v>48</v>
      </c>
      <c r="H968">
        <v>1</v>
      </c>
      <c r="I968">
        <v>38060</v>
      </c>
      <c r="J968">
        <v>10</v>
      </c>
      <c r="K968">
        <v>3806</v>
      </c>
      <c r="L968">
        <v>34254</v>
      </c>
      <c r="M968">
        <v>24511.61</v>
      </c>
      <c r="N968">
        <v>9742.39</v>
      </c>
      <c r="O968" t="s">
        <v>60</v>
      </c>
      <c r="P968">
        <v>381.85</v>
      </c>
      <c r="Q968" t="s">
        <v>73</v>
      </c>
      <c r="R968" t="s">
        <v>31</v>
      </c>
      <c r="S968">
        <v>5</v>
      </c>
      <c r="T968">
        <v>3</v>
      </c>
      <c r="U968" t="s">
        <v>32</v>
      </c>
      <c r="V968" t="s">
        <v>33</v>
      </c>
      <c r="W968">
        <v>1</v>
      </c>
    </row>
    <row r="969" spans="1:23" x14ac:dyDescent="0.25">
      <c r="A969" t="s">
        <v>1534</v>
      </c>
      <c r="B969" s="1">
        <v>45793</v>
      </c>
      <c r="C969" t="s">
        <v>624</v>
      </c>
      <c r="D969" t="s">
        <v>97</v>
      </c>
      <c r="E969" t="s">
        <v>26</v>
      </c>
      <c r="F969" t="s">
        <v>53</v>
      </c>
      <c r="G969" t="s">
        <v>151</v>
      </c>
      <c r="H969">
        <v>1</v>
      </c>
      <c r="I969">
        <v>59888</v>
      </c>
      <c r="J969">
        <v>0</v>
      </c>
      <c r="K969">
        <v>0</v>
      </c>
      <c r="L969">
        <v>59888</v>
      </c>
      <c r="M969">
        <v>34690.36</v>
      </c>
      <c r="N969">
        <v>25197.64</v>
      </c>
      <c r="O969" t="s">
        <v>39</v>
      </c>
      <c r="P969">
        <v>1835.22</v>
      </c>
      <c r="Q969" t="s">
        <v>40</v>
      </c>
      <c r="R969" t="s">
        <v>41</v>
      </c>
      <c r="S969">
        <v>2</v>
      </c>
      <c r="T969">
        <v>3</v>
      </c>
      <c r="U969" t="s">
        <v>32</v>
      </c>
      <c r="V969" t="s">
        <v>42</v>
      </c>
    </row>
    <row r="970" spans="1:23" x14ac:dyDescent="0.25">
      <c r="A970" t="s">
        <v>1535</v>
      </c>
      <c r="B970" s="1">
        <v>45996</v>
      </c>
      <c r="C970" t="s">
        <v>1536</v>
      </c>
      <c r="E970" t="s">
        <v>26</v>
      </c>
      <c r="F970" t="s">
        <v>47</v>
      </c>
      <c r="G970" t="s">
        <v>146</v>
      </c>
      <c r="H970">
        <v>3</v>
      </c>
      <c r="I970">
        <v>7892</v>
      </c>
      <c r="J970">
        <v>15</v>
      </c>
      <c r="K970">
        <v>3551.4</v>
      </c>
      <c r="L970">
        <v>20124.599999999999</v>
      </c>
      <c r="M970">
        <v>15374.85</v>
      </c>
      <c r="N970">
        <v>4749.75</v>
      </c>
      <c r="O970" t="s">
        <v>29</v>
      </c>
      <c r="P970">
        <v>538.73</v>
      </c>
      <c r="Q970" t="s">
        <v>83</v>
      </c>
      <c r="R970" t="s">
        <v>41</v>
      </c>
      <c r="S970">
        <v>2</v>
      </c>
      <c r="T970">
        <v>1</v>
      </c>
      <c r="U970" t="s">
        <v>32</v>
      </c>
      <c r="V970" t="s">
        <v>33</v>
      </c>
      <c r="W970">
        <v>1</v>
      </c>
    </row>
    <row r="971" spans="1:23" x14ac:dyDescent="0.25">
      <c r="A971" t="s">
        <v>1537</v>
      </c>
      <c r="B971" s="1">
        <v>45699</v>
      </c>
      <c r="C971" t="s">
        <v>1538</v>
      </c>
      <c r="D971" t="s">
        <v>97</v>
      </c>
      <c r="E971" t="s">
        <v>46</v>
      </c>
      <c r="F971" t="s">
        <v>47</v>
      </c>
      <c r="G971" t="s">
        <v>138</v>
      </c>
      <c r="H971">
        <v>2</v>
      </c>
      <c r="I971">
        <v>29423</v>
      </c>
      <c r="J971">
        <v>15</v>
      </c>
      <c r="K971">
        <v>8826.9</v>
      </c>
      <c r="L971">
        <v>50019.1</v>
      </c>
      <c r="M971">
        <v>39211.35</v>
      </c>
      <c r="N971">
        <v>10807.75</v>
      </c>
      <c r="O971" t="s">
        <v>39</v>
      </c>
      <c r="P971">
        <v>1474.45</v>
      </c>
      <c r="Q971" t="s">
        <v>68</v>
      </c>
      <c r="R971" t="s">
        <v>31</v>
      </c>
      <c r="S971">
        <v>5</v>
      </c>
      <c r="T971">
        <v>3</v>
      </c>
      <c r="U971" t="s">
        <v>32</v>
      </c>
      <c r="V971" t="s">
        <v>42</v>
      </c>
    </row>
    <row r="972" spans="1:23" x14ac:dyDescent="0.25">
      <c r="A972" t="s">
        <v>1539</v>
      </c>
      <c r="B972" s="1">
        <v>45738</v>
      </c>
      <c r="C972" t="s">
        <v>1462</v>
      </c>
      <c r="D972" t="s">
        <v>154</v>
      </c>
      <c r="E972" t="s">
        <v>46</v>
      </c>
      <c r="F972" t="s">
        <v>86</v>
      </c>
      <c r="G972" t="s">
        <v>94</v>
      </c>
      <c r="H972">
        <v>2</v>
      </c>
      <c r="I972">
        <v>71989</v>
      </c>
      <c r="J972">
        <v>10</v>
      </c>
      <c r="K972">
        <v>14397.8</v>
      </c>
      <c r="L972">
        <v>129580.2</v>
      </c>
      <c r="M972">
        <v>99150.53</v>
      </c>
      <c r="N972">
        <v>30429.67</v>
      </c>
      <c r="O972" t="s">
        <v>39</v>
      </c>
      <c r="P972">
        <v>1754.39</v>
      </c>
      <c r="Q972" t="s">
        <v>30</v>
      </c>
      <c r="R972" t="s">
        <v>31</v>
      </c>
      <c r="S972">
        <v>5</v>
      </c>
      <c r="T972">
        <v>5</v>
      </c>
      <c r="U972" t="s">
        <v>32</v>
      </c>
      <c r="V972" t="s">
        <v>33</v>
      </c>
      <c r="W972">
        <v>1</v>
      </c>
    </row>
    <row r="973" spans="1:23" x14ac:dyDescent="0.25">
      <c r="A973" t="s">
        <v>1540</v>
      </c>
      <c r="B973" s="1">
        <v>45780</v>
      </c>
      <c r="C973" t="s">
        <v>610</v>
      </c>
      <c r="D973" t="s">
        <v>63</v>
      </c>
      <c r="E973" t="s">
        <v>26</v>
      </c>
      <c r="F973" t="s">
        <v>86</v>
      </c>
      <c r="G973" t="s">
        <v>94</v>
      </c>
      <c r="H973">
        <v>2</v>
      </c>
      <c r="I973">
        <v>20601</v>
      </c>
      <c r="J973">
        <v>0</v>
      </c>
      <c r="K973">
        <v>0</v>
      </c>
      <c r="L973">
        <v>41202</v>
      </c>
      <c r="M973">
        <v>33058.699999999997</v>
      </c>
      <c r="N973">
        <v>8143.3</v>
      </c>
      <c r="O973" t="s">
        <v>49</v>
      </c>
      <c r="P973">
        <v>291.77</v>
      </c>
      <c r="Q973" t="s">
        <v>30</v>
      </c>
      <c r="R973" t="s">
        <v>41</v>
      </c>
      <c r="S973">
        <v>2</v>
      </c>
      <c r="T973">
        <v>1</v>
      </c>
      <c r="U973" t="s">
        <v>32</v>
      </c>
      <c r="V973" t="s">
        <v>33</v>
      </c>
      <c r="W973">
        <v>5</v>
      </c>
    </row>
    <row r="974" spans="1:23" x14ac:dyDescent="0.25">
      <c r="A974" t="s">
        <v>1541</v>
      </c>
      <c r="B974" s="1">
        <v>45746</v>
      </c>
      <c r="C974" t="s">
        <v>129</v>
      </c>
      <c r="D974" t="s">
        <v>67</v>
      </c>
      <c r="E974" t="s">
        <v>26</v>
      </c>
      <c r="F974" t="s">
        <v>37</v>
      </c>
      <c r="G974" t="s">
        <v>224</v>
      </c>
      <c r="H974">
        <v>1</v>
      </c>
      <c r="I974">
        <v>15122</v>
      </c>
      <c r="J974">
        <v>0</v>
      </c>
      <c r="K974">
        <v>0</v>
      </c>
      <c r="L974">
        <v>15122</v>
      </c>
      <c r="M974">
        <v>9099.51</v>
      </c>
      <c r="N974">
        <v>6022.49</v>
      </c>
      <c r="O974" t="s">
        <v>60</v>
      </c>
      <c r="P974">
        <v>590.35</v>
      </c>
      <c r="Q974" t="s">
        <v>83</v>
      </c>
      <c r="R974" t="s">
        <v>41</v>
      </c>
      <c r="S974">
        <v>2</v>
      </c>
      <c r="T974">
        <v>5</v>
      </c>
      <c r="U974" t="s">
        <v>32</v>
      </c>
      <c r="V974" t="s">
        <v>42</v>
      </c>
    </row>
    <row r="975" spans="1:23" x14ac:dyDescent="0.25">
      <c r="A975" t="s">
        <v>1542</v>
      </c>
      <c r="B975" s="1">
        <v>45940</v>
      </c>
      <c r="C975" t="s">
        <v>203</v>
      </c>
      <c r="D975" t="s">
        <v>97</v>
      </c>
      <c r="E975" t="s">
        <v>36</v>
      </c>
      <c r="F975" t="s">
        <v>27</v>
      </c>
      <c r="G975" t="s">
        <v>72</v>
      </c>
      <c r="H975">
        <v>1</v>
      </c>
      <c r="I975">
        <v>4866</v>
      </c>
      <c r="J975">
        <v>10</v>
      </c>
      <c r="K975">
        <v>486.6</v>
      </c>
      <c r="L975">
        <v>4379.3999999999996</v>
      </c>
      <c r="M975">
        <v>3253.83</v>
      </c>
      <c r="N975">
        <v>1125.57</v>
      </c>
      <c r="O975" t="s">
        <v>55</v>
      </c>
      <c r="P975">
        <v>1600.43</v>
      </c>
      <c r="Q975" t="s">
        <v>68</v>
      </c>
      <c r="R975" t="s">
        <v>31</v>
      </c>
      <c r="S975">
        <v>5</v>
      </c>
      <c r="T975">
        <v>3</v>
      </c>
      <c r="U975" t="s">
        <v>32</v>
      </c>
      <c r="V975" t="s">
        <v>33</v>
      </c>
      <c r="W975">
        <v>4</v>
      </c>
    </row>
    <row r="976" spans="1:23" x14ac:dyDescent="0.25">
      <c r="A976" t="s">
        <v>1543</v>
      </c>
      <c r="B976" s="1">
        <v>45696</v>
      </c>
      <c r="C976" t="s">
        <v>1086</v>
      </c>
      <c r="D976" t="s">
        <v>154</v>
      </c>
      <c r="E976" t="s">
        <v>26</v>
      </c>
      <c r="F976" t="s">
        <v>86</v>
      </c>
      <c r="G976" t="s">
        <v>110</v>
      </c>
      <c r="H976">
        <v>1</v>
      </c>
      <c r="I976">
        <v>7548</v>
      </c>
      <c r="J976">
        <v>25</v>
      </c>
      <c r="K976">
        <v>1887</v>
      </c>
      <c r="L976">
        <v>5661</v>
      </c>
      <c r="M976">
        <v>3219.2</v>
      </c>
      <c r="N976">
        <v>2441.8000000000002</v>
      </c>
      <c r="O976" t="s">
        <v>39</v>
      </c>
      <c r="P976">
        <v>1361.86</v>
      </c>
      <c r="Q976" t="s">
        <v>40</v>
      </c>
      <c r="R976" t="s">
        <v>41</v>
      </c>
      <c r="S976">
        <v>2</v>
      </c>
      <c r="T976">
        <v>1</v>
      </c>
      <c r="U976" t="s">
        <v>32</v>
      </c>
      <c r="V976" t="s">
        <v>33</v>
      </c>
      <c r="W976">
        <v>4</v>
      </c>
    </row>
    <row r="977" spans="1:23" x14ac:dyDescent="0.25">
      <c r="A977" t="s">
        <v>1544</v>
      </c>
      <c r="B977" s="1">
        <v>45738</v>
      </c>
      <c r="C977" t="s">
        <v>1545</v>
      </c>
      <c r="D977" t="s">
        <v>154</v>
      </c>
      <c r="E977" t="s">
        <v>46</v>
      </c>
      <c r="F977" t="s">
        <v>53</v>
      </c>
      <c r="G977" t="s">
        <v>54</v>
      </c>
      <c r="H977">
        <v>3</v>
      </c>
      <c r="I977">
        <v>56115</v>
      </c>
      <c r="J977">
        <v>25</v>
      </c>
      <c r="K977">
        <v>42086.25</v>
      </c>
      <c r="L977">
        <v>126258.75</v>
      </c>
      <c r="M977">
        <v>76610.25</v>
      </c>
      <c r="N977">
        <v>49648.5</v>
      </c>
      <c r="O977" t="s">
        <v>39</v>
      </c>
      <c r="P977">
        <v>351.7</v>
      </c>
      <c r="Q977" t="s">
        <v>40</v>
      </c>
      <c r="R977" t="s">
        <v>41</v>
      </c>
      <c r="S977">
        <v>2</v>
      </c>
      <c r="T977">
        <v>5</v>
      </c>
      <c r="U977" t="s">
        <v>32</v>
      </c>
      <c r="V977" t="s">
        <v>42</v>
      </c>
    </row>
    <row r="978" spans="1:23" x14ac:dyDescent="0.25">
      <c r="A978" t="s">
        <v>1546</v>
      </c>
      <c r="B978" s="1">
        <v>45659</v>
      </c>
      <c r="C978" t="s">
        <v>129</v>
      </c>
      <c r="D978" t="s">
        <v>97</v>
      </c>
      <c r="E978" t="s">
        <v>46</v>
      </c>
      <c r="F978" t="s">
        <v>37</v>
      </c>
      <c r="G978" t="s">
        <v>161</v>
      </c>
      <c r="H978">
        <v>2</v>
      </c>
      <c r="I978">
        <v>12082</v>
      </c>
      <c r="J978">
        <v>0</v>
      </c>
      <c r="K978">
        <v>0</v>
      </c>
      <c r="L978">
        <v>24164</v>
      </c>
      <c r="M978">
        <v>16791.330000000002</v>
      </c>
      <c r="N978">
        <v>7372.67</v>
      </c>
      <c r="O978" t="s">
        <v>55</v>
      </c>
      <c r="P978">
        <v>1439.39</v>
      </c>
      <c r="Q978" t="s">
        <v>30</v>
      </c>
      <c r="R978" t="s">
        <v>41</v>
      </c>
      <c r="S978">
        <v>2</v>
      </c>
      <c r="T978">
        <v>6</v>
      </c>
      <c r="U978" t="s">
        <v>32</v>
      </c>
      <c r="V978" t="s">
        <v>42</v>
      </c>
    </row>
    <row r="979" spans="1:23" x14ac:dyDescent="0.25">
      <c r="A979" t="s">
        <v>1547</v>
      </c>
      <c r="B979" s="1">
        <v>45867</v>
      </c>
      <c r="C979" t="s">
        <v>633</v>
      </c>
      <c r="D979" t="s">
        <v>71</v>
      </c>
      <c r="E979" t="s">
        <v>26</v>
      </c>
      <c r="F979" t="s">
        <v>37</v>
      </c>
      <c r="G979" t="s">
        <v>38</v>
      </c>
      <c r="H979">
        <v>2</v>
      </c>
      <c r="I979">
        <v>24058</v>
      </c>
      <c r="J979">
        <v>10</v>
      </c>
      <c r="K979">
        <v>4811.6000000000004</v>
      </c>
      <c r="L979">
        <v>43304.4</v>
      </c>
      <c r="M979">
        <v>29444.18</v>
      </c>
      <c r="N979">
        <v>13860.22</v>
      </c>
      <c r="O979" t="s">
        <v>29</v>
      </c>
      <c r="P979">
        <v>440.7</v>
      </c>
      <c r="Q979" t="s">
        <v>30</v>
      </c>
      <c r="R979" t="s">
        <v>31</v>
      </c>
      <c r="S979">
        <v>5</v>
      </c>
      <c r="T979">
        <v>6</v>
      </c>
      <c r="U979" t="s">
        <v>32</v>
      </c>
      <c r="V979" t="s">
        <v>50</v>
      </c>
      <c r="W979">
        <v>4</v>
      </c>
    </row>
    <row r="980" spans="1:23" x14ac:dyDescent="0.25">
      <c r="A980" t="s">
        <v>1548</v>
      </c>
      <c r="B980" s="1">
        <v>45888</v>
      </c>
      <c r="C980" t="s">
        <v>1549</v>
      </c>
      <c r="D980" t="s">
        <v>124</v>
      </c>
      <c r="E980" t="s">
        <v>36</v>
      </c>
      <c r="F980" t="s">
        <v>47</v>
      </c>
      <c r="G980" t="s">
        <v>48</v>
      </c>
      <c r="H980">
        <v>3</v>
      </c>
      <c r="I980">
        <v>42418</v>
      </c>
      <c r="J980">
        <v>0</v>
      </c>
      <c r="K980">
        <v>0</v>
      </c>
      <c r="L980">
        <v>127254</v>
      </c>
      <c r="M980">
        <v>79190.91</v>
      </c>
      <c r="N980">
        <v>48063.09</v>
      </c>
      <c r="O980" t="s">
        <v>55</v>
      </c>
      <c r="P980">
        <v>1233.92</v>
      </c>
      <c r="Q980" t="s">
        <v>40</v>
      </c>
      <c r="R980" t="s">
        <v>31</v>
      </c>
      <c r="S980">
        <v>5</v>
      </c>
      <c r="T980">
        <v>1</v>
      </c>
      <c r="U980" t="s">
        <v>32</v>
      </c>
      <c r="V980" t="s">
        <v>33</v>
      </c>
      <c r="W980">
        <v>5</v>
      </c>
    </row>
    <row r="981" spans="1:23" x14ac:dyDescent="0.25">
      <c r="A981" t="s">
        <v>1550</v>
      </c>
      <c r="B981" s="1">
        <v>46010</v>
      </c>
      <c r="C981" t="s">
        <v>1003</v>
      </c>
      <c r="D981" t="s">
        <v>79</v>
      </c>
      <c r="E981" t="s">
        <v>36</v>
      </c>
      <c r="F981" t="s">
        <v>47</v>
      </c>
      <c r="G981" t="s">
        <v>146</v>
      </c>
      <c r="H981">
        <v>4</v>
      </c>
      <c r="I981">
        <v>43025</v>
      </c>
      <c r="J981">
        <v>0</v>
      </c>
      <c r="K981">
        <v>0</v>
      </c>
      <c r="L981">
        <v>172100</v>
      </c>
      <c r="M981">
        <v>138505.98000000001</v>
      </c>
      <c r="N981">
        <v>33594.019999999997</v>
      </c>
      <c r="O981" t="s">
        <v>91</v>
      </c>
      <c r="P981">
        <v>1389.29</v>
      </c>
      <c r="Q981" t="s">
        <v>40</v>
      </c>
      <c r="R981" t="s">
        <v>31</v>
      </c>
      <c r="S981">
        <v>5</v>
      </c>
      <c r="T981">
        <v>1</v>
      </c>
      <c r="U981" t="s">
        <v>32</v>
      </c>
      <c r="V981" t="s">
        <v>42</v>
      </c>
    </row>
    <row r="982" spans="1:23" x14ac:dyDescent="0.25">
      <c r="A982" t="s">
        <v>1551</v>
      </c>
      <c r="B982" s="1">
        <v>45962</v>
      </c>
      <c r="C982" t="s">
        <v>1363</v>
      </c>
      <c r="D982" t="s">
        <v>124</v>
      </c>
      <c r="E982" t="s">
        <v>46</v>
      </c>
      <c r="F982" t="s">
        <v>53</v>
      </c>
      <c r="G982" t="s">
        <v>82</v>
      </c>
      <c r="H982">
        <v>1</v>
      </c>
      <c r="I982">
        <v>24331</v>
      </c>
      <c r="J982">
        <v>0</v>
      </c>
      <c r="K982">
        <v>0</v>
      </c>
      <c r="L982">
        <v>24331</v>
      </c>
      <c r="M982">
        <v>13488.98</v>
      </c>
      <c r="N982">
        <v>10842.02</v>
      </c>
      <c r="O982" t="s">
        <v>91</v>
      </c>
      <c r="P982">
        <v>1072.6300000000001</v>
      </c>
      <c r="Q982" t="s">
        <v>83</v>
      </c>
      <c r="R982" t="s">
        <v>41</v>
      </c>
      <c r="S982">
        <v>2</v>
      </c>
      <c r="T982">
        <v>3</v>
      </c>
      <c r="U982" t="s">
        <v>32</v>
      </c>
      <c r="V982" t="s">
        <v>50</v>
      </c>
      <c r="W982">
        <v>4</v>
      </c>
    </row>
    <row r="983" spans="1:23" x14ac:dyDescent="0.25">
      <c r="A983" t="s">
        <v>1552</v>
      </c>
      <c r="B983" s="1">
        <v>45898</v>
      </c>
      <c r="C983" t="s">
        <v>472</v>
      </c>
      <c r="D983" t="s">
        <v>67</v>
      </c>
      <c r="E983" t="s">
        <v>46</v>
      </c>
      <c r="F983" t="s">
        <v>53</v>
      </c>
      <c r="G983" t="s">
        <v>82</v>
      </c>
      <c r="H983">
        <v>1</v>
      </c>
      <c r="I983">
        <v>19959</v>
      </c>
      <c r="J983">
        <v>0</v>
      </c>
      <c r="K983">
        <v>0</v>
      </c>
      <c r="L983">
        <v>19959</v>
      </c>
      <c r="M983">
        <v>12533.58</v>
      </c>
      <c r="N983">
        <v>7425.42</v>
      </c>
      <c r="O983" t="s">
        <v>49</v>
      </c>
      <c r="P983">
        <v>467.85</v>
      </c>
      <c r="Q983" t="s">
        <v>68</v>
      </c>
      <c r="R983" t="s">
        <v>31</v>
      </c>
      <c r="S983">
        <v>5</v>
      </c>
      <c r="T983">
        <v>4</v>
      </c>
      <c r="U983" t="s">
        <v>32</v>
      </c>
      <c r="V983" t="s">
        <v>50</v>
      </c>
      <c r="W983">
        <v>3</v>
      </c>
    </row>
    <row r="984" spans="1:23" x14ac:dyDescent="0.25">
      <c r="A984" t="s">
        <v>1553</v>
      </c>
      <c r="B984" s="1">
        <v>45807</v>
      </c>
      <c r="C984" t="s">
        <v>1554</v>
      </c>
      <c r="D984" t="s">
        <v>90</v>
      </c>
      <c r="E984" t="s">
        <v>46</v>
      </c>
      <c r="F984" t="s">
        <v>53</v>
      </c>
      <c r="G984" t="s">
        <v>82</v>
      </c>
      <c r="H984">
        <v>2</v>
      </c>
      <c r="I984">
        <v>109458</v>
      </c>
      <c r="J984">
        <v>10</v>
      </c>
      <c r="K984">
        <v>21891.599999999999</v>
      </c>
      <c r="L984">
        <v>197024.4</v>
      </c>
      <c r="M984">
        <v>130103.17</v>
      </c>
      <c r="N984">
        <v>66921.23</v>
      </c>
      <c r="O984" t="s">
        <v>60</v>
      </c>
      <c r="P984">
        <v>1755.45</v>
      </c>
      <c r="Q984" t="s">
        <v>83</v>
      </c>
      <c r="R984" t="s">
        <v>41</v>
      </c>
      <c r="S984">
        <v>2</v>
      </c>
      <c r="T984">
        <v>6</v>
      </c>
      <c r="U984" t="s">
        <v>32</v>
      </c>
      <c r="V984" t="s">
        <v>42</v>
      </c>
    </row>
    <row r="985" spans="1:23" x14ac:dyDescent="0.25">
      <c r="A985" t="s">
        <v>1555</v>
      </c>
      <c r="B985" s="1">
        <v>45674</v>
      </c>
      <c r="C985" t="s">
        <v>593</v>
      </c>
      <c r="D985" t="s">
        <v>90</v>
      </c>
      <c r="E985" t="s">
        <v>36</v>
      </c>
      <c r="F985" t="s">
        <v>53</v>
      </c>
      <c r="G985" t="s">
        <v>151</v>
      </c>
      <c r="H985">
        <v>1</v>
      </c>
      <c r="I985">
        <v>32904</v>
      </c>
      <c r="J985">
        <v>15</v>
      </c>
      <c r="K985">
        <v>4935.6000000000004</v>
      </c>
      <c r="L985">
        <v>27968.400000000001</v>
      </c>
      <c r="M985">
        <v>18686.650000000001</v>
      </c>
      <c r="N985">
        <v>9281.75</v>
      </c>
      <c r="O985" t="s">
        <v>60</v>
      </c>
      <c r="P985">
        <v>2276.7600000000002</v>
      </c>
      <c r="Q985" t="s">
        <v>83</v>
      </c>
      <c r="R985" t="s">
        <v>41</v>
      </c>
      <c r="S985">
        <v>2</v>
      </c>
      <c r="T985">
        <v>1</v>
      </c>
      <c r="U985" t="s">
        <v>32</v>
      </c>
      <c r="V985" t="s">
        <v>33</v>
      </c>
      <c r="W985">
        <v>1</v>
      </c>
    </row>
    <row r="986" spans="1:23" x14ac:dyDescent="0.25">
      <c r="A986" t="s">
        <v>1556</v>
      </c>
      <c r="B986" s="1">
        <v>45776</v>
      </c>
      <c r="C986" t="s">
        <v>668</v>
      </c>
      <c r="D986" t="s">
        <v>71</v>
      </c>
      <c r="E986" t="s">
        <v>46</v>
      </c>
      <c r="F986" t="s">
        <v>27</v>
      </c>
      <c r="G986" t="s">
        <v>113</v>
      </c>
      <c r="H986">
        <v>1</v>
      </c>
      <c r="I986">
        <v>13300</v>
      </c>
      <c r="J986">
        <v>0</v>
      </c>
      <c r="K986">
        <v>0</v>
      </c>
      <c r="L986">
        <v>13300</v>
      </c>
      <c r="M986">
        <v>9843.35</v>
      </c>
      <c r="N986">
        <v>3456.65</v>
      </c>
      <c r="O986" t="s">
        <v>39</v>
      </c>
      <c r="P986">
        <v>2057.85</v>
      </c>
      <c r="Q986" t="s">
        <v>40</v>
      </c>
      <c r="R986" t="s">
        <v>41</v>
      </c>
      <c r="S986">
        <v>2</v>
      </c>
      <c r="T986">
        <v>1</v>
      </c>
      <c r="U986" t="s">
        <v>32</v>
      </c>
      <c r="V986" t="s">
        <v>33</v>
      </c>
      <c r="W986">
        <v>1</v>
      </c>
    </row>
    <row r="987" spans="1:23" x14ac:dyDescent="0.25">
      <c r="A987" t="s">
        <v>1557</v>
      </c>
      <c r="B987" s="1">
        <v>45805</v>
      </c>
      <c r="C987" t="s">
        <v>1558</v>
      </c>
      <c r="D987" t="s">
        <v>45</v>
      </c>
      <c r="E987" t="s">
        <v>46</v>
      </c>
      <c r="F987" t="s">
        <v>86</v>
      </c>
      <c r="G987" t="s">
        <v>180</v>
      </c>
      <c r="H987">
        <v>2</v>
      </c>
      <c r="I987">
        <v>7971</v>
      </c>
      <c r="J987">
        <v>15</v>
      </c>
      <c r="K987">
        <v>2391.3000000000002</v>
      </c>
      <c r="L987">
        <v>13550.7</v>
      </c>
      <c r="M987">
        <v>8988.4</v>
      </c>
      <c r="N987">
        <v>4562.3</v>
      </c>
      <c r="O987" t="s">
        <v>29</v>
      </c>
      <c r="P987">
        <v>523.9</v>
      </c>
      <c r="Q987" t="s">
        <v>40</v>
      </c>
      <c r="R987" t="s">
        <v>41</v>
      </c>
      <c r="S987">
        <v>2</v>
      </c>
      <c r="T987">
        <v>1</v>
      </c>
      <c r="U987" t="s">
        <v>32</v>
      </c>
      <c r="V987" t="s">
        <v>33</v>
      </c>
      <c r="W987">
        <v>5</v>
      </c>
    </row>
    <row r="988" spans="1:23" x14ac:dyDescent="0.25">
      <c r="A988" t="s">
        <v>1559</v>
      </c>
      <c r="B988" s="1">
        <v>46019</v>
      </c>
      <c r="C988" t="s">
        <v>648</v>
      </c>
      <c r="D988" t="s">
        <v>154</v>
      </c>
      <c r="E988" t="s">
        <v>26</v>
      </c>
      <c r="F988" t="s">
        <v>37</v>
      </c>
      <c r="G988" t="s">
        <v>38</v>
      </c>
      <c r="H988">
        <v>2</v>
      </c>
      <c r="I988">
        <v>38081</v>
      </c>
      <c r="J988">
        <v>0</v>
      </c>
      <c r="K988">
        <v>0</v>
      </c>
      <c r="L988">
        <v>76162</v>
      </c>
      <c r="M988">
        <v>51605.02</v>
      </c>
      <c r="N988">
        <v>24556.98</v>
      </c>
      <c r="O988" t="s">
        <v>60</v>
      </c>
      <c r="P988">
        <v>367.09</v>
      </c>
      <c r="Q988" t="s">
        <v>83</v>
      </c>
      <c r="R988" t="s">
        <v>41</v>
      </c>
      <c r="S988">
        <v>2</v>
      </c>
      <c r="T988">
        <v>6</v>
      </c>
      <c r="U988" t="s">
        <v>32</v>
      </c>
      <c r="V988" t="s">
        <v>50</v>
      </c>
      <c r="W988">
        <v>5</v>
      </c>
    </row>
    <row r="989" spans="1:23" x14ac:dyDescent="0.25">
      <c r="A989" t="s">
        <v>1560</v>
      </c>
      <c r="B989" s="1">
        <v>45802</v>
      </c>
      <c r="C989" t="s">
        <v>774</v>
      </c>
      <c r="D989" t="s">
        <v>154</v>
      </c>
      <c r="E989" t="s">
        <v>26</v>
      </c>
      <c r="F989" t="s">
        <v>86</v>
      </c>
      <c r="G989" t="s">
        <v>110</v>
      </c>
      <c r="H989">
        <v>1</v>
      </c>
      <c r="I989">
        <v>9063</v>
      </c>
      <c r="J989">
        <v>0</v>
      </c>
      <c r="K989">
        <v>0</v>
      </c>
      <c r="L989">
        <v>9063</v>
      </c>
      <c r="M989">
        <v>5039.16</v>
      </c>
      <c r="N989">
        <v>4023.84</v>
      </c>
      <c r="O989" t="s">
        <v>39</v>
      </c>
      <c r="P989">
        <v>2226.71</v>
      </c>
      <c r="Q989" t="s">
        <v>73</v>
      </c>
      <c r="R989" t="s">
        <v>31</v>
      </c>
      <c r="S989">
        <v>5</v>
      </c>
      <c r="T989">
        <v>6</v>
      </c>
      <c r="U989" t="s">
        <v>56</v>
      </c>
      <c r="V989" t="s">
        <v>33</v>
      </c>
      <c r="W989">
        <v>4</v>
      </c>
    </row>
    <row r="990" spans="1:23" x14ac:dyDescent="0.25">
      <c r="A990" t="s">
        <v>1561</v>
      </c>
      <c r="B990" s="1">
        <v>46017</v>
      </c>
      <c r="C990" t="s">
        <v>239</v>
      </c>
      <c r="D990" t="s">
        <v>97</v>
      </c>
      <c r="E990" t="s">
        <v>46</v>
      </c>
      <c r="F990" t="s">
        <v>27</v>
      </c>
      <c r="G990" t="s">
        <v>28</v>
      </c>
      <c r="H990">
        <v>1</v>
      </c>
      <c r="I990">
        <v>28438</v>
      </c>
      <c r="J990">
        <v>0</v>
      </c>
      <c r="K990">
        <v>0</v>
      </c>
      <c r="L990">
        <v>28438</v>
      </c>
      <c r="M990">
        <v>22864.19</v>
      </c>
      <c r="N990">
        <v>5573.81</v>
      </c>
      <c r="O990" t="s">
        <v>91</v>
      </c>
      <c r="P990">
        <v>1374.14</v>
      </c>
      <c r="Q990" t="s">
        <v>83</v>
      </c>
      <c r="R990" t="s">
        <v>41</v>
      </c>
      <c r="S990">
        <v>2</v>
      </c>
      <c r="T990">
        <v>1</v>
      </c>
      <c r="U990" t="s">
        <v>32</v>
      </c>
      <c r="V990" t="s">
        <v>33</v>
      </c>
      <c r="W990">
        <v>3</v>
      </c>
    </row>
    <row r="991" spans="1:23" x14ac:dyDescent="0.25">
      <c r="A991" t="s">
        <v>1562</v>
      </c>
      <c r="B991" s="1">
        <v>45890</v>
      </c>
      <c r="C991" t="s">
        <v>792</v>
      </c>
      <c r="D991" t="s">
        <v>63</v>
      </c>
      <c r="E991" t="s">
        <v>46</v>
      </c>
      <c r="F991" t="s">
        <v>27</v>
      </c>
      <c r="G991" t="s">
        <v>113</v>
      </c>
      <c r="H991">
        <v>2</v>
      </c>
      <c r="I991">
        <v>23230</v>
      </c>
      <c r="J991">
        <v>0</v>
      </c>
      <c r="K991">
        <v>0</v>
      </c>
      <c r="L991">
        <v>46460</v>
      </c>
      <c r="M991">
        <v>26764.42</v>
      </c>
      <c r="N991">
        <v>19695.580000000002</v>
      </c>
      <c r="O991" t="s">
        <v>49</v>
      </c>
      <c r="P991">
        <v>323.85000000000002</v>
      </c>
      <c r="Q991" t="s">
        <v>40</v>
      </c>
      <c r="R991" t="s">
        <v>31</v>
      </c>
      <c r="S991">
        <v>5</v>
      </c>
      <c r="T991">
        <v>2</v>
      </c>
      <c r="U991" t="s">
        <v>32</v>
      </c>
      <c r="V991" t="s">
        <v>50</v>
      </c>
      <c r="W991">
        <v>1</v>
      </c>
    </row>
    <row r="992" spans="1:23" x14ac:dyDescent="0.25">
      <c r="A992" t="s">
        <v>1563</v>
      </c>
      <c r="B992" s="1">
        <v>45694</v>
      </c>
      <c r="C992" t="s">
        <v>1314</v>
      </c>
      <c r="D992" t="s">
        <v>63</v>
      </c>
      <c r="E992" t="s">
        <v>46</v>
      </c>
      <c r="F992" t="s">
        <v>27</v>
      </c>
      <c r="G992" t="s">
        <v>76</v>
      </c>
      <c r="H992">
        <v>2</v>
      </c>
      <c r="I992">
        <v>22755</v>
      </c>
      <c r="J992">
        <v>20</v>
      </c>
      <c r="K992">
        <v>9102</v>
      </c>
      <c r="L992">
        <v>36408</v>
      </c>
      <c r="M992">
        <v>20549.28</v>
      </c>
      <c r="N992">
        <v>15858.72</v>
      </c>
      <c r="O992" t="s">
        <v>91</v>
      </c>
      <c r="P992">
        <v>1042.82</v>
      </c>
      <c r="Q992" t="s">
        <v>68</v>
      </c>
      <c r="R992" t="s">
        <v>41</v>
      </c>
      <c r="S992">
        <v>2</v>
      </c>
      <c r="T992">
        <v>5</v>
      </c>
      <c r="U992" t="s">
        <v>32</v>
      </c>
      <c r="V992" t="s">
        <v>50</v>
      </c>
      <c r="W992">
        <v>5</v>
      </c>
    </row>
    <row r="993" spans="1:23" x14ac:dyDescent="0.25">
      <c r="A993" t="s">
        <v>1564</v>
      </c>
      <c r="B993" s="1">
        <v>46009</v>
      </c>
      <c r="C993" t="s">
        <v>197</v>
      </c>
      <c r="D993" t="s">
        <v>63</v>
      </c>
      <c r="E993" t="s">
        <v>26</v>
      </c>
      <c r="F993" t="s">
        <v>53</v>
      </c>
      <c r="G993" t="s">
        <v>82</v>
      </c>
      <c r="H993">
        <v>2</v>
      </c>
      <c r="I993">
        <v>50806</v>
      </c>
      <c r="J993">
        <v>0</v>
      </c>
      <c r="K993">
        <v>0</v>
      </c>
      <c r="L993">
        <v>101612</v>
      </c>
      <c r="M993">
        <v>59352.45</v>
      </c>
      <c r="N993">
        <v>42259.55</v>
      </c>
      <c r="O993" t="s">
        <v>39</v>
      </c>
      <c r="P993">
        <v>200.14</v>
      </c>
      <c r="Q993" t="s">
        <v>40</v>
      </c>
      <c r="R993" t="s">
        <v>41</v>
      </c>
      <c r="S993">
        <v>2</v>
      </c>
      <c r="T993">
        <v>1</v>
      </c>
      <c r="U993" t="s">
        <v>32</v>
      </c>
      <c r="V993" t="s">
        <v>33</v>
      </c>
      <c r="W993">
        <v>5</v>
      </c>
    </row>
    <row r="994" spans="1:23" x14ac:dyDescent="0.25">
      <c r="A994" t="s">
        <v>1565</v>
      </c>
      <c r="B994" s="1">
        <v>45777</v>
      </c>
      <c r="C994" t="s">
        <v>241</v>
      </c>
      <c r="D994" t="s">
        <v>71</v>
      </c>
      <c r="E994" t="s">
        <v>36</v>
      </c>
      <c r="F994" t="s">
        <v>53</v>
      </c>
      <c r="G994" t="s">
        <v>151</v>
      </c>
      <c r="H994">
        <v>3</v>
      </c>
      <c r="I994">
        <v>62740</v>
      </c>
      <c r="J994">
        <v>5</v>
      </c>
      <c r="K994">
        <v>9411</v>
      </c>
      <c r="L994">
        <v>178809</v>
      </c>
      <c r="M994">
        <v>138284.76999999999</v>
      </c>
      <c r="N994">
        <v>40524.230000000003</v>
      </c>
      <c r="O994" t="s">
        <v>91</v>
      </c>
      <c r="P994">
        <v>1357.13</v>
      </c>
      <c r="Q994" t="s">
        <v>40</v>
      </c>
      <c r="R994" t="s">
        <v>41</v>
      </c>
      <c r="S994">
        <v>2</v>
      </c>
      <c r="T994">
        <v>1</v>
      </c>
      <c r="U994" t="s">
        <v>32</v>
      </c>
      <c r="V994" t="s">
        <v>33</v>
      </c>
      <c r="W994">
        <v>2</v>
      </c>
    </row>
    <row r="995" spans="1:23" x14ac:dyDescent="0.25">
      <c r="A995" t="s">
        <v>1566</v>
      </c>
      <c r="B995" s="1">
        <v>45793</v>
      </c>
      <c r="C995" t="s">
        <v>1567</v>
      </c>
      <c r="D995" t="s">
        <v>90</v>
      </c>
      <c r="E995" t="s">
        <v>46</v>
      </c>
      <c r="F995" t="s">
        <v>37</v>
      </c>
      <c r="G995" t="s">
        <v>313</v>
      </c>
      <c r="H995">
        <v>1</v>
      </c>
      <c r="I995">
        <v>21158</v>
      </c>
      <c r="J995">
        <v>20</v>
      </c>
      <c r="K995">
        <v>4231.6000000000004</v>
      </c>
      <c r="L995">
        <v>16926.400000000001</v>
      </c>
      <c r="M995">
        <v>10408.040000000001</v>
      </c>
      <c r="N995">
        <v>6518.36</v>
      </c>
      <c r="O995" t="s">
        <v>55</v>
      </c>
      <c r="P995">
        <v>1095.82</v>
      </c>
      <c r="Q995" t="s">
        <v>40</v>
      </c>
      <c r="R995" t="s">
        <v>41</v>
      </c>
      <c r="S995">
        <v>2</v>
      </c>
      <c r="T995">
        <v>1</v>
      </c>
      <c r="U995" t="s">
        <v>32</v>
      </c>
      <c r="V995" t="s">
        <v>33</v>
      </c>
      <c r="W995">
        <v>1</v>
      </c>
    </row>
    <row r="996" spans="1:23" x14ac:dyDescent="0.25">
      <c r="A996" t="s">
        <v>1568</v>
      </c>
      <c r="B996" s="1">
        <v>45978</v>
      </c>
      <c r="C996" t="s">
        <v>943</v>
      </c>
      <c r="D996" t="s">
        <v>79</v>
      </c>
      <c r="E996" t="s">
        <v>26</v>
      </c>
      <c r="F996" t="s">
        <v>86</v>
      </c>
      <c r="G996" t="s">
        <v>180</v>
      </c>
      <c r="H996">
        <v>3</v>
      </c>
      <c r="I996">
        <v>13733</v>
      </c>
      <c r="J996">
        <v>10</v>
      </c>
      <c r="K996">
        <v>4119.8999999999996</v>
      </c>
      <c r="L996">
        <v>37079.1</v>
      </c>
      <c r="M996">
        <v>30151.82</v>
      </c>
      <c r="N996">
        <v>6927.28</v>
      </c>
      <c r="O996" t="s">
        <v>55</v>
      </c>
      <c r="P996">
        <v>1266.79</v>
      </c>
      <c r="Q996" t="s">
        <v>83</v>
      </c>
      <c r="R996" t="s">
        <v>31</v>
      </c>
      <c r="S996">
        <v>5</v>
      </c>
      <c r="T996">
        <v>6</v>
      </c>
      <c r="U996" t="s">
        <v>32</v>
      </c>
      <c r="V996" t="s">
        <v>42</v>
      </c>
    </row>
    <row r="997" spans="1:23" x14ac:dyDescent="0.25">
      <c r="A997" t="s">
        <v>1569</v>
      </c>
      <c r="B997" s="1">
        <v>45959</v>
      </c>
      <c r="C997" t="s">
        <v>228</v>
      </c>
      <c r="D997" t="s">
        <v>71</v>
      </c>
      <c r="E997" t="s">
        <v>26</v>
      </c>
      <c r="F997" t="s">
        <v>53</v>
      </c>
      <c r="G997" t="s">
        <v>59</v>
      </c>
      <c r="H997">
        <v>1</v>
      </c>
      <c r="I997">
        <v>56543</v>
      </c>
      <c r="J997">
        <v>5</v>
      </c>
      <c r="K997">
        <v>2827.15</v>
      </c>
      <c r="L997">
        <v>53715.85</v>
      </c>
      <c r="M997">
        <v>30179.69</v>
      </c>
      <c r="N997">
        <v>23536.16</v>
      </c>
      <c r="O997" t="s">
        <v>55</v>
      </c>
      <c r="P997">
        <v>1189.43</v>
      </c>
      <c r="Q997" t="s">
        <v>73</v>
      </c>
      <c r="R997" t="s">
        <v>31</v>
      </c>
      <c r="S997">
        <v>5</v>
      </c>
      <c r="T997">
        <v>4</v>
      </c>
      <c r="U997" t="s">
        <v>32</v>
      </c>
      <c r="V997" t="s">
        <v>33</v>
      </c>
      <c r="W997">
        <v>5</v>
      </c>
    </row>
    <row r="998" spans="1:23" x14ac:dyDescent="0.25">
      <c r="A998" t="s">
        <v>1570</v>
      </c>
      <c r="B998" s="1">
        <v>45996</v>
      </c>
      <c r="C998" t="s">
        <v>637</v>
      </c>
      <c r="D998" t="s">
        <v>63</v>
      </c>
      <c r="E998" t="s">
        <v>36</v>
      </c>
      <c r="F998" t="s">
        <v>53</v>
      </c>
      <c r="G998" t="s">
        <v>151</v>
      </c>
      <c r="H998">
        <v>2</v>
      </c>
      <c r="I998">
        <v>75083</v>
      </c>
      <c r="J998">
        <v>10</v>
      </c>
      <c r="K998">
        <v>15016.6</v>
      </c>
      <c r="L998">
        <v>135149.4</v>
      </c>
      <c r="M998">
        <v>82615.600000000006</v>
      </c>
      <c r="N998">
        <v>52533.8</v>
      </c>
      <c r="O998" t="s">
        <v>49</v>
      </c>
      <c r="P998">
        <v>284.86</v>
      </c>
      <c r="Q998" t="s">
        <v>30</v>
      </c>
      <c r="R998" t="s">
        <v>31</v>
      </c>
      <c r="S998">
        <v>5</v>
      </c>
      <c r="T998">
        <v>6</v>
      </c>
      <c r="U998" t="s">
        <v>32</v>
      </c>
      <c r="V998" t="s">
        <v>50</v>
      </c>
      <c r="W998">
        <v>5</v>
      </c>
    </row>
    <row r="999" spans="1:23" x14ac:dyDescent="0.25">
      <c r="A999" t="s">
        <v>1571</v>
      </c>
      <c r="B999" s="1">
        <v>45759</v>
      </c>
      <c r="C999" t="s">
        <v>109</v>
      </c>
      <c r="D999" t="s">
        <v>124</v>
      </c>
      <c r="E999" t="s">
        <v>46</v>
      </c>
      <c r="F999" t="s">
        <v>37</v>
      </c>
      <c r="G999" t="s">
        <v>38</v>
      </c>
      <c r="H999">
        <v>2</v>
      </c>
      <c r="I999">
        <v>9773</v>
      </c>
      <c r="J999">
        <v>25</v>
      </c>
      <c r="K999">
        <v>4886.5</v>
      </c>
      <c r="L999">
        <v>14659.5</v>
      </c>
      <c r="M999">
        <v>11726.69</v>
      </c>
      <c r="N999">
        <v>2932.81</v>
      </c>
      <c r="O999" t="s">
        <v>60</v>
      </c>
      <c r="P999">
        <v>914.97</v>
      </c>
      <c r="Q999" t="s">
        <v>40</v>
      </c>
      <c r="R999" t="s">
        <v>31</v>
      </c>
      <c r="S999">
        <v>5</v>
      </c>
      <c r="T999">
        <v>6</v>
      </c>
      <c r="U999" t="s">
        <v>56</v>
      </c>
      <c r="V999" t="s">
        <v>33</v>
      </c>
      <c r="W999">
        <v>5</v>
      </c>
    </row>
    <row r="1000" spans="1:23" x14ac:dyDescent="0.25">
      <c r="A1000" t="s">
        <v>1572</v>
      </c>
      <c r="B1000" s="1">
        <v>45875</v>
      </c>
      <c r="C1000" t="s">
        <v>384</v>
      </c>
      <c r="D1000" t="s">
        <v>90</v>
      </c>
      <c r="E1000" t="s">
        <v>46</v>
      </c>
      <c r="F1000" t="s">
        <v>53</v>
      </c>
      <c r="G1000" t="s">
        <v>268</v>
      </c>
      <c r="H1000">
        <v>1</v>
      </c>
      <c r="I1000">
        <v>110539</v>
      </c>
      <c r="J1000">
        <v>0</v>
      </c>
      <c r="K1000">
        <v>0</v>
      </c>
      <c r="L1000">
        <v>110539</v>
      </c>
      <c r="M1000">
        <v>74772.28</v>
      </c>
      <c r="N1000">
        <v>35766.720000000001</v>
      </c>
      <c r="O1000" t="s">
        <v>39</v>
      </c>
      <c r="P1000">
        <v>2018.54</v>
      </c>
      <c r="Q1000" t="s">
        <v>73</v>
      </c>
      <c r="R1000" t="s">
        <v>31</v>
      </c>
      <c r="S1000">
        <v>5</v>
      </c>
      <c r="T1000">
        <v>3</v>
      </c>
      <c r="U1000" t="s">
        <v>32</v>
      </c>
      <c r="V1000" t="s">
        <v>33</v>
      </c>
      <c r="W1000">
        <v>5</v>
      </c>
    </row>
    <row r="1001" spans="1:23" x14ac:dyDescent="0.25">
      <c r="A1001" t="s">
        <v>1573</v>
      </c>
      <c r="B1001" s="1">
        <v>45716</v>
      </c>
      <c r="C1001" t="s">
        <v>320</v>
      </c>
      <c r="D1001" t="s">
        <v>124</v>
      </c>
      <c r="E1001" t="s">
        <v>36</v>
      </c>
      <c r="F1001" t="s">
        <v>27</v>
      </c>
      <c r="G1001" t="s">
        <v>72</v>
      </c>
      <c r="H1001">
        <v>1</v>
      </c>
      <c r="I1001">
        <v>12445</v>
      </c>
      <c r="J1001">
        <v>15</v>
      </c>
      <c r="K1001">
        <v>1866.75</v>
      </c>
      <c r="L1001">
        <v>10578.25</v>
      </c>
      <c r="M1001">
        <v>5929.19</v>
      </c>
      <c r="N1001">
        <v>4649.0600000000004</v>
      </c>
      <c r="O1001" t="s">
        <v>39</v>
      </c>
      <c r="P1001">
        <v>1553.06</v>
      </c>
      <c r="Q1001" t="s">
        <v>68</v>
      </c>
      <c r="R1001" t="s">
        <v>41</v>
      </c>
      <c r="S1001">
        <v>2</v>
      </c>
      <c r="T1001">
        <v>3</v>
      </c>
      <c r="U1001" t="s">
        <v>56</v>
      </c>
      <c r="V1001" t="s">
        <v>33</v>
      </c>
      <c r="W1001">
        <v>2</v>
      </c>
    </row>
    <row r="1002" spans="1:23" x14ac:dyDescent="0.25">
      <c r="A1002" t="s">
        <v>1574</v>
      </c>
      <c r="B1002" s="1">
        <v>45936</v>
      </c>
      <c r="C1002" t="s">
        <v>267</v>
      </c>
      <c r="D1002" t="s">
        <v>97</v>
      </c>
      <c r="E1002" t="s">
        <v>26</v>
      </c>
      <c r="F1002" t="s">
        <v>86</v>
      </c>
      <c r="G1002" t="s">
        <v>94</v>
      </c>
      <c r="H1002">
        <v>3</v>
      </c>
      <c r="I1002">
        <v>56151</v>
      </c>
      <c r="J1002">
        <v>15</v>
      </c>
      <c r="K1002">
        <v>25267.95</v>
      </c>
      <c r="L1002">
        <v>143185.04999999999</v>
      </c>
      <c r="M1002">
        <v>114125.82</v>
      </c>
      <c r="N1002">
        <v>29059.23</v>
      </c>
      <c r="O1002" t="s">
        <v>91</v>
      </c>
      <c r="P1002">
        <v>968.18</v>
      </c>
      <c r="Q1002" t="s">
        <v>30</v>
      </c>
      <c r="R1002" t="s">
        <v>31</v>
      </c>
      <c r="S1002">
        <v>5</v>
      </c>
      <c r="T1002">
        <v>2</v>
      </c>
      <c r="U1002" t="s">
        <v>32</v>
      </c>
      <c r="V1002" t="s">
        <v>42</v>
      </c>
    </row>
    <row r="1003" spans="1:23" x14ac:dyDescent="0.25">
      <c r="A1003" t="s">
        <v>1575</v>
      </c>
      <c r="B1003" s="1">
        <v>45773</v>
      </c>
      <c r="C1003" t="s">
        <v>349</v>
      </c>
      <c r="D1003" t="s">
        <v>71</v>
      </c>
      <c r="E1003" t="s">
        <v>46</v>
      </c>
      <c r="F1003" t="s">
        <v>27</v>
      </c>
      <c r="G1003" t="s">
        <v>72</v>
      </c>
      <c r="H1003">
        <v>1</v>
      </c>
      <c r="I1003">
        <v>8725</v>
      </c>
      <c r="J1003">
        <v>0</v>
      </c>
      <c r="K1003">
        <v>0</v>
      </c>
      <c r="L1003">
        <v>8725</v>
      </c>
      <c r="M1003">
        <v>6516.53</v>
      </c>
      <c r="N1003">
        <v>2208.4699999999998</v>
      </c>
      <c r="O1003" t="s">
        <v>39</v>
      </c>
      <c r="P1003">
        <v>2354.91</v>
      </c>
      <c r="Q1003" t="s">
        <v>73</v>
      </c>
      <c r="R1003" t="s">
        <v>31</v>
      </c>
      <c r="S1003">
        <v>5</v>
      </c>
      <c r="T1003">
        <v>6</v>
      </c>
      <c r="U1003" t="s">
        <v>56</v>
      </c>
      <c r="V1003" t="s">
        <v>33</v>
      </c>
      <c r="W1003">
        <v>5</v>
      </c>
    </row>
    <row r="1004" spans="1:23" x14ac:dyDescent="0.25">
      <c r="A1004" t="s">
        <v>1576</v>
      </c>
      <c r="B1004" s="1">
        <v>45989</v>
      </c>
      <c r="C1004" t="s">
        <v>954</v>
      </c>
      <c r="D1004" t="s">
        <v>63</v>
      </c>
      <c r="E1004" t="s">
        <v>46</v>
      </c>
      <c r="F1004" t="s">
        <v>53</v>
      </c>
      <c r="G1004" t="s">
        <v>151</v>
      </c>
      <c r="H1004">
        <v>4</v>
      </c>
      <c r="I1004">
        <v>22332</v>
      </c>
      <c r="J1004">
        <v>20</v>
      </c>
      <c r="K1004">
        <v>17865.599999999999</v>
      </c>
      <c r="L1004">
        <v>71462.399999999994</v>
      </c>
      <c r="M1004">
        <v>54333.25</v>
      </c>
      <c r="N1004">
        <v>17129.150000000001</v>
      </c>
      <c r="O1004" t="s">
        <v>49</v>
      </c>
      <c r="P1004">
        <v>493.83</v>
      </c>
      <c r="Q1004" t="s">
        <v>83</v>
      </c>
      <c r="R1004" t="s">
        <v>31</v>
      </c>
      <c r="S1004">
        <v>5</v>
      </c>
      <c r="T1004">
        <v>5</v>
      </c>
      <c r="U1004" t="s">
        <v>32</v>
      </c>
      <c r="V1004" t="s">
        <v>33</v>
      </c>
      <c r="W1004">
        <v>5</v>
      </c>
    </row>
    <row r="1005" spans="1:23" x14ac:dyDescent="0.25">
      <c r="A1005" t="s">
        <v>1577</v>
      </c>
      <c r="B1005" s="1">
        <v>45734</v>
      </c>
      <c r="C1005" t="s">
        <v>388</v>
      </c>
      <c r="D1005" t="s">
        <v>67</v>
      </c>
      <c r="E1005" t="s">
        <v>46</v>
      </c>
      <c r="F1005" t="s">
        <v>47</v>
      </c>
      <c r="G1005" t="s">
        <v>48</v>
      </c>
      <c r="H1005">
        <v>2</v>
      </c>
      <c r="I1005">
        <v>18022</v>
      </c>
      <c r="J1005">
        <v>5</v>
      </c>
      <c r="K1005">
        <v>1802.2</v>
      </c>
      <c r="L1005">
        <v>34241.800000000003</v>
      </c>
      <c r="M1005">
        <v>21746.43</v>
      </c>
      <c r="N1005">
        <v>12495.37</v>
      </c>
      <c r="O1005" t="s">
        <v>49</v>
      </c>
      <c r="P1005">
        <v>129.71</v>
      </c>
      <c r="Q1005" t="s">
        <v>83</v>
      </c>
      <c r="R1005" t="s">
        <v>31</v>
      </c>
      <c r="S1005">
        <v>5</v>
      </c>
      <c r="T1005">
        <v>3</v>
      </c>
      <c r="U1005" t="s">
        <v>32</v>
      </c>
      <c r="V1005" t="s">
        <v>33</v>
      </c>
      <c r="W1005">
        <v>5</v>
      </c>
    </row>
    <row r="1006" spans="1:23" x14ac:dyDescent="0.25">
      <c r="A1006" t="s">
        <v>1578</v>
      </c>
      <c r="B1006" s="1">
        <v>45794</v>
      </c>
      <c r="C1006" t="s">
        <v>1082</v>
      </c>
      <c r="D1006" t="s">
        <v>67</v>
      </c>
      <c r="E1006" t="s">
        <v>26</v>
      </c>
      <c r="F1006" t="s">
        <v>53</v>
      </c>
      <c r="G1006" t="s">
        <v>268</v>
      </c>
      <c r="H1006">
        <v>3</v>
      </c>
      <c r="I1006">
        <v>55837</v>
      </c>
      <c r="J1006">
        <v>0</v>
      </c>
      <c r="K1006">
        <v>0</v>
      </c>
      <c r="L1006">
        <v>167511</v>
      </c>
      <c r="M1006">
        <v>95701.34</v>
      </c>
      <c r="N1006">
        <v>71809.66</v>
      </c>
      <c r="O1006" t="s">
        <v>39</v>
      </c>
      <c r="P1006">
        <v>2184.4899999999998</v>
      </c>
      <c r="Q1006" t="s">
        <v>68</v>
      </c>
      <c r="R1006" t="s">
        <v>41</v>
      </c>
      <c r="S1006">
        <v>2</v>
      </c>
      <c r="T1006">
        <v>3</v>
      </c>
      <c r="U1006" t="s">
        <v>56</v>
      </c>
      <c r="V1006" t="s">
        <v>33</v>
      </c>
      <c r="W1006">
        <v>2</v>
      </c>
    </row>
    <row r="1007" spans="1:23" x14ac:dyDescent="0.25">
      <c r="A1007" t="s">
        <v>1579</v>
      </c>
      <c r="B1007" s="1">
        <v>45730</v>
      </c>
      <c r="C1007" t="s">
        <v>835</v>
      </c>
      <c r="D1007" t="s">
        <v>67</v>
      </c>
      <c r="E1007" t="s">
        <v>36</v>
      </c>
      <c r="F1007" t="s">
        <v>86</v>
      </c>
      <c r="G1007" t="s">
        <v>110</v>
      </c>
      <c r="H1007">
        <v>1</v>
      </c>
      <c r="I1007">
        <v>11744</v>
      </c>
      <c r="J1007">
        <v>20</v>
      </c>
      <c r="K1007">
        <v>2348.8000000000002</v>
      </c>
      <c r="L1007">
        <v>9395.2000000000007</v>
      </c>
      <c r="M1007">
        <v>6953.67</v>
      </c>
      <c r="N1007">
        <v>2441.5300000000002</v>
      </c>
      <c r="O1007" t="s">
        <v>49</v>
      </c>
      <c r="P1007">
        <v>297.83999999999997</v>
      </c>
      <c r="Q1007" t="s">
        <v>73</v>
      </c>
      <c r="R1007" t="s">
        <v>41</v>
      </c>
      <c r="S1007">
        <v>2</v>
      </c>
      <c r="T1007">
        <v>2</v>
      </c>
      <c r="U1007" t="s">
        <v>32</v>
      </c>
      <c r="V1007" t="s">
        <v>33</v>
      </c>
      <c r="W1007">
        <v>5</v>
      </c>
    </row>
    <row r="1008" spans="1:23" x14ac:dyDescent="0.25">
      <c r="A1008" t="s">
        <v>1580</v>
      </c>
      <c r="B1008" s="1">
        <v>45694</v>
      </c>
      <c r="C1008" t="s">
        <v>675</v>
      </c>
      <c r="D1008" t="s">
        <v>124</v>
      </c>
      <c r="E1008" t="s">
        <v>26</v>
      </c>
      <c r="F1008" t="s">
        <v>37</v>
      </c>
      <c r="G1008" t="s">
        <v>313</v>
      </c>
      <c r="H1008">
        <v>1</v>
      </c>
      <c r="I1008">
        <v>18170</v>
      </c>
      <c r="J1008">
        <v>10</v>
      </c>
      <c r="K1008">
        <v>1817</v>
      </c>
      <c r="L1008">
        <v>16353</v>
      </c>
      <c r="M1008">
        <v>12406.57</v>
      </c>
      <c r="N1008">
        <v>3946.43</v>
      </c>
      <c r="O1008" t="s">
        <v>49</v>
      </c>
      <c r="P1008">
        <v>453.77</v>
      </c>
      <c r="Q1008" t="s">
        <v>83</v>
      </c>
      <c r="R1008" t="s">
        <v>31</v>
      </c>
      <c r="S1008">
        <v>5</v>
      </c>
      <c r="T1008">
        <v>6</v>
      </c>
      <c r="U1008" t="s">
        <v>56</v>
      </c>
      <c r="V1008" t="s">
        <v>33</v>
      </c>
      <c r="W1008">
        <v>5</v>
      </c>
    </row>
    <row r="1009" spans="1:23" x14ac:dyDescent="0.25">
      <c r="A1009" t="s">
        <v>1581</v>
      </c>
      <c r="B1009" s="1">
        <v>45688</v>
      </c>
      <c r="C1009" t="s">
        <v>540</v>
      </c>
      <c r="D1009" t="s">
        <v>154</v>
      </c>
      <c r="E1009" t="s">
        <v>36</v>
      </c>
      <c r="F1009" t="s">
        <v>53</v>
      </c>
      <c r="G1009" t="s">
        <v>59</v>
      </c>
      <c r="H1009">
        <v>1</v>
      </c>
      <c r="I1009">
        <v>75385</v>
      </c>
      <c r="J1009">
        <v>25</v>
      </c>
      <c r="K1009">
        <v>18846.25</v>
      </c>
      <c r="L1009">
        <v>56538.75</v>
      </c>
      <c r="M1009">
        <v>35674.300000000003</v>
      </c>
      <c r="N1009">
        <v>20864.45</v>
      </c>
      <c r="O1009" t="s">
        <v>55</v>
      </c>
      <c r="P1009">
        <v>2478.12</v>
      </c>
      <c r="Q1009" t="s">
        <v>73</v>
      </c>
      <c r="R1009" t="s">
        <v>31</v>
      </c>
      <c r="S1009">
        <v>5</v>
      </c>
      <c r="T1009">
        <v>1</v>
      </c>
      <c r="U1009" t="s">
        <v>32</v>
      </c>
      <c r="V1009" t="s">
        <v>42</v>
      </c>
    </row>
    <row r="1010" spans="1:23" x14ac:dyDescent="0.25">
      <c r="A1010" t="s">
        <v>1582</v>
      </c>
      <c r="B1010" s="1">
        <v>45742</v>
      </c>
      <c r="C1010" t="s">
        <v>714</v>
      </c>
      <c r="D1010" t="s">
        <v>97</v>
      </c>
      <c r="E1010" t="s">
        <v>46</v>
      </c>
      <c r="F1010" t="s">
        <v>37</v>
      </c>
      <c r="G1010" t="s">
        <v>38</v>
      </c>
      <c r="H1010">
        <v>2</v>
      </c>
      <c r="I1010">
        <v>13601</v>
      </c>
      <c r="J1010">
        <v>0</v>
      </c>
      <c r="K1010">
        <v>0</v>
      </c>
      <c r="L1010">
        <v>27202</v>
      </c>
      <c r="M1010">
        <v>17615.02</v>
      </c>
      <c r="N1010">
        <v>9586.98</v>
      </c>
      <c r="O1010" t="s">
        <v>39</v>
      </c>
      <c r="P1010">
        <v>1137.3800000000001</v>
      </c>
      <c r="Q1010" t="s">
        <v>30</v>
      </c>
      <c r="R1010" t="s">
        <v>31</v>
      </c>
      <c r="S1010">
        <v>5</v>
      </c>
      <c r="T1010">
        <v>7</v>
      </c>
      <c r="U1010" t="s">
        <v>56</v>
      </c>
      <c r="V1010" t="s">
        <v>33</v>
      </c>
      <c r="W1010">
        <v>1</v>
      </c>
    </row>
    <row r="1011" spans="1:23" x14ac:dyDescent="0.25">
      <c r="A1011" t="s">
        <v>1583</v>
      </c>
      <c r="B1011" s="1">
        <v>45815</v>
      </c>
      <c r="C1011" t="s">
        <v>645</v>
      </c>
      <c r="D1011" t="s">
        <v>90</v>
      </c>
      <c r="E1011" t="s">
        <v>26</v>
      </c>
      <c r="F1011" t="s">
        <v>37</v>
      </c>
      <c r="G1011" t="s">
        <v>38</v>
      </c>
      <c r="H1011">
        <v>3</v>
      </c>
      <c r="I1011">
        <v>39830</v>
      </c>
      <c r="J1011">
        <v>15</v>
      </c>
      <c r="K1011">
        <v>17923.5</v>
      </c>
      <c r="L1011">
        <v>101566.5</v>
      </c>
      <c r="M1011">
        <v>75527.37</v>
      </c>
      <c r="N1011">
        <v>26039.13</v>
      </c>
      <c r="O1011" t="s">
        <v>60</v>
      </c>
      <c r="P1011">
        <v>1990.08</v>
      </c>
      <c r="Q1011" t="s">
        <v>68</v>
      </c>
      <c r="R1011" t="s">
        <v>41</v>
      </c>
      <c r="S1011">
        <v>2</v>
      </c>
      <c r="T1011">
        <v>1</v>
      </c>
      <c r="U1011" t="s">
        <v>32</v>
      </c>
      <c r="V1011" t="s">
        <v>33</v>
      </c>
      <c r="W1011">
        <v>1</v>
      </c>
    </row>
    <row r="1012" spans="1:23" x14ac:dyDescent="0.25">
      <c r="A1012" t="s">
        <v>1584</v>
      </c>
      <c r="B1012" s="1">
        <v>45962</v>
      </c>
      <c r="C1012" t="s">
        <v>237</v>
      </c>
      <c r="D1012" t="s">
        <v>154</v>
      </c>
      <c r="E1012" t="s">
        <v>36</v>
      </c>
      <c r="F1012" t="s">
        <v>27</v>
      </c>
      <c r="G1012" t="s">
        <v>28</v>
      </c>
      <c r="H1012">
        <v>1</v>
      </c>
      <c r="I1012">
        <v>13551</v>
      </c>
      <c r="J1012">
        <v>5</v>
      </c>
      <c r="K1012">
        <v>677.55</v>
      </c>
      <c r="L1012">
        <v>12873.45</v>
      </c>
      <c r="M1012">
        <v>7151.69</v>
      </c>
      <c r="N1012">
        <v>5721.76</v>
      </c>
      <c r="O1012" t="s">
        <v>49</v>
      </c>
      <c r="P1012">
        <v>219.64</v>
      </c>
      <c r="Q1012" t="s">
        <v>68</v>
      </c>
      <c r="R1012" t="s">
        <v>41</v>
      </c>
      <c r="S1012">
        <v>2</v>
      </c>
      <c r="T1012">
        <v>4</v>
      </c>
      <c r="U1012" t="s">
        <v>56</v>
      </c>
      <c r="V1012" t="s">
        <v>33</v>
      </c>
      <c r="W1012">
        <v>4</v>
      </c>
    </row>
    <row r="1013" spans="1:23" x14ac:dyDescent="0.25">
      <c r="A1013" t="s">
        <v>1585</v>
      </c>
      <c r="B1013" s="1">
        <v>45949</v>
      </c>
      <c r="C1013" t="s">
        <v>546</v>
      </c>
      <c r="D1013" t="s">
        <v>124</v>
      </c>
      <c r="E1013" t="s">
        <v>26</v>
      </c>
      <c r="F1013" t="s">
        <v>86</v>
      </c>
      <c r="G1013" t="s">
        <v>94</v>
      </c>
      <c r="H1013">
        <v>2</v>
      </c>
      <c r="I1013">
        <v>33854</v>
      </c>
      <c r="J1013">
        <v>10</v>
      </c>
      <c r="K1013">
        <v>6770.8</v>
      </c>
      <c r="L1013">
        <v>60937.2</v>
      </c>
      <c r="M1013">
        <v>35654.49</v>
      </c>
      <c r="N1013">
        <v>25282.71</v>
      </c>
      <c r="O1013" t="s">
        <v>91</v>
      </c>
      <c r="P1013">
        <v>443.27</v>
      </c>
      <c r="Q1013" t="s">
        <v>40</v>
      </c>
      <c r="R1013" t="s">
        <v>31</v>
      </c>
      <c r="S1013">
        <v>5</v>
      </c>
      <c r="T1013">
        <v>5</v>
      </c>
      <c r="U1013" t="s">
        <v>32</v>
      </c>
      <c r="V1013" t="s">
        <v>33</v>
      </c>
      <c r="W1013">
        <v>3</v>
      </c>
    </row>
    <row r="1014" spans="1:23" x14ac:dyDescent="0.25">
      <c r="A1014" t="s">
        <v>1586</v>
      </c>
      <c r="B1014" s="1">
        <v>45805</v>
      </c>
      <c r="C1014" t="s">
        <v>409</v>
      </c>
      <c r="D1014" t="s">
        <v>90</v>
      </c>
      <c r="E1014" t="s">
        <v>46</v>
      </c>
      <c r="F1014" t="s">
        <v>86</v>
      </c>
      <c r="G1014" t="s">
        <v>87</v>
      </c>
      <c r="H1014">
        <v>3</v>
      </c>
      <c r="I1014">
        <v>34683</v>
      </c>
      <c r="J1014">
        <v>10</v>
      </c>
      <c r="K1014">
        <v>10404.9</v>
      </c>
      <c r="L1014">
        <v>93644.1</v>
      </c>
      <c r="M1014">
        <v>59873.99</v>
      </c>
      <c r="N1014">
        <v>33770.11</v>
      </c>
      <c r="O1014" t="s">
        <v>49</v>
      </c>
      <c r="P1014">
        <v>381.75</v>
      </c>
      <c r="Q1014" t="s">
        <v>83</v>
      </c>
      <c r="R1014" t="s">
        <v>31</v>
      </c>
      <c r="S1014">
        <v>5</v>
      </c>
      <c r="T1014">
        <v>9</v>
      </c>
      <c r="U1014" t="s">
        <v>56</v>
      </c>
      <c r="V1014" t="s">
        <v>33</v>
      </c>
      <c r="W1014">
        <v>1</v>
      </c>
    </row>
    <row r="1015" spans="1:23" x14ac:dyDescent="0.25">
      <c r="A1015" t="s">
        <v>1587</v>
      </c>
      <c r="B1015" s="1">
        <v>45882</v>
      </c>
      <c r="C1015" t="s">
        <v>1252</v>
      </c>
      <c r="D1015" t="s">
        <v>90</v>
      </c>
      <c r="E1015" t="s">
        <v>46</v>
      </c>
      <c r="F1015" t="s">
        <v>37</v>
      </c>
      <c r="G1015" t="s">
        <v>224</v>
      </c>
      <c r="H1015">
        <v>2</v>
      </c>
      <c r="I1015">
        <v>20598</v>
      </c>
      <c r="J1015">
        <v>5</v>
      </c>
      <c r="K1015">
        <v>2059.8000000000002</v>
      </c>
      <c r="L1015">
        <v>39136.199999999997</v>
      </c>
      <c r="M1015">
        <v>21672.26</v>
      </c>
      <c r="N1015">
        <v>17463.939999999999</v>
      </c>
      <c r="O1015" t="s">
        <v>39</v>
      </c>
      <c r="P1015">
        <v>1102.94</v>
      </c>
      <c r="Q1015" t="s">
        <v>68</v>
      </c>
      <c r="R1015" t="s">
        <v>31</v>
      </c>
      <c r="S1015">
        <v>5</v>
      </c>
      <c r="T1015">
        <v>3</v>
      </c>
      <c r="U1015" t="s">
        <v>32</v>
      </c>
      <c r="V1015" t="s">
        <v>33</v>
      </c>
      <c r="W1015">
        <v>4</v>
      </c>
    </row>
    <row r="1016" spans="1:23" x14ac:dyDescent="0.25">
      <c r="A1016" t="s">
        <v>1588</v>
      </c>
      <c r="B1016" s="1">
        <v>45721</v>
      </c>
      <c r="C1016" t="s">
        <v>404</v>
      </c>
      <c r="D1016" t="s">
        <v>63</v>
      </c>
      <c r="E1016" t="s">
        <v>46</v>
      </c>
      <c r="F1016" t="s">
        <v>47</v>
      </c>
      <c r="G1016" t="s">
        <v>64</v>
      </c>
      <c r="H1016">
        <v>4</v>
      </c>
      <c r="I1016">
        <v>28894</v>
      </c>
      <c r="J1016">
        <v>20</v>
      </c>
      <c r="K1016">
        <v>23115.200000000001</v>
      </c>
      <c r="L1016">
        <v>92460.800000000003</v>
      </c>
      <c r="M1016">
        <v>58923.88</v>
      </c>
      <c r="N1016">
        <v>33536.92</v>
      </c>
      <c r="O1016" t="s">
        <v>49</v>
      </c>
      <c r="P1016">
        <v>126.95</v>
      </c>
      <c r="Q1016" t="s">
        <v>40</v>
      </c>
      <c r="R1016" t="s">
        <v>31</v>
      </c>
      <c r="S1016">
        <v>5</v>
      </c>
      <c r="T1016">
        <v>0</v>
      </c>
      <c r="U1016" t="s">
        <v>32</v>
      </c>
      <c r="V1016" t="s">
        <v>42</v>
      </c>
    </row>
    <row r="1017" spans="1:23" x14ac:dyDescent="0.25">
      <c r="A1017" t="s">
        <v>1589</v>
      </c>
      <c r="B1017" s="1">
        <v>45897</v>
      </c>
      <c r="C1017" t="s">
        <v>1468</v>
      </c>
      <c r="D1017" t="s">
        <v>71</v>
      </c>
      <c r="E1017" t="s">
        <v>46</v>
      </c>
      <c r="F1017" t="s">
        <v>27</v>
      </c>
      <c r="G1017" t="s">
        <v>72</v>
      </c>
      <c r="H1017">
        <v>2</v>
      </c>
      <c r="I1017">
        <v>29627</v>
      </c>
      <c r="J1017">
        <v>0</v>
      </c>
      <c r="K1017">
        <v>0</v>
      </c>
      <c r="L1017">
        <v>59254</v>
      </c>
      <c r="M1017">
        <v>39910.22</v>
      </c>
      <c r="N1017">
        <v>19343.78</v>
      </c>
      <c r="O1017" t="s">
        <v>55</v>
      </c>
      <c r="P1017">
        <v>788.42</v>
      </c>
      <c r="Q1017" t="s">
        <v>30</v>
      </c>
      <c r="R1017" t="s">
        <v>31</v>
      </c>
      <c r="S1017">
        <v>5</v>
      </c>
      <c r="T1017">
        <v>5</v>
      </c>
      <c r="U1017" t="s">
        <v>32</v>
      </c>
      <c r="V1017" t="s">
        <v>33</v>
      </c>
      <c r="W1017">
        <v>1</v>
      </c>
    </row>
    <row r="1018" spans="1:23" x14ac:dyDescent="0.25">
      <c r="A1018" t="s">
        <v>1590</v>
      </c>
      <c r="B1018" s="1">
        <v>46010</v>
      </c>
      <c r="C1018" t="s">
        <v>1591</v>
      </c>
      <c r="D1018" t="s">
        <v>90</v>
      </c>
      <c r="E1018" t="s">
        <v>46</v>
      </c>
      <c r="F1018" t="s">
        <v>53</v>
      </c>
      <c r="G1018" t="s">
        <v>82</v>
      </c>
      <c r="H1018">
        <v>2</v>
      </c>
      <c r="I1018">
        <v>119343</v>
      </c>
      <c r="J1018">
        <v>0</v>
      </c>
      <c r="K1018">
        <v>0</v>
      </c>
      <c r="L1018">
        <v>238686</v>
      </c>
      <c r="M1018">
        <v>143460.35</v>
      </c>
      <c r="N1018">
        <v>95225.65</v>
      </c>
      <c r="O1018" t="s">
        <v>60</v>
      </c>
      <c r="P1018">
        <v>2029.1</v>
      </c>
      <c r="Q1018" t="s">
        <v>68</v>
      </c>
      <c r="R1018" t="s">
        <v>31</v>
      </c>
      <c r="S1018">
        <v>5</v>
      </c>
      <c r="T1018">
        <v>0</v>
      </c>
      <c r="U1018" t="s">
        <v>32</v>
      </c>
      <c r="V1018" t="s">
        <v>50</v>
      </c>
      <c r="W1018">
        <v>5</v>
      </c>
    </row>
    <row r="1019" spans="1:23" x14ac:dyDescent="0.25">
      <c r="A1019" t="s">
        <v>1592</v>
      </c>
      <c r="B1019" s="1">
        <v>45813</v>
      </c>
      <c r="C1019" t="s">
        <v>880</v>
      </c>
      <c r="D1019" t="s">
        <v>79</v>
      </c>
      <c r="E1019" t="s">
        <v>26</v>
      </c>
      <c r="F1019" t="s">
        <v>53</v>
      </c>
      <c r="G1019" t="s">
        <v>59</v>
      </c>
      <c r="H1019">
        <v>1</v>
      </c>
      <c r="I1019">
        <v>9560</v>
      </c>
      <c r="J1019">
        <v>15</v>
      </c>
      <c r="K1019">
        <v>1434</v>
      </c>
      <c r="L1019">
        <v>8126</v>
      </c>
      <c r="M1019">
        <v>4702.78</v>
      </c>
      <c r="N1019">
        <v>3423.22</v>
      </c>
      <c r="O1019" t="s">
        <v>29</v>
      </c>
      <c r="P1019">
        <v>1431.72</v>
      </c>
      <c r="Q1019" t="s">
        <v>73</v>
      </c>
      <c r="R1019" t="s">
        <v>41</v>
      </c>
      <c r="S1019">
        <v>2</v>
      </c>
      <c r="T1019">
        <v>1</v>
      </c>
      <c r="U1019" t="s">
        <v>32</v>
      </c>
      <c r="V1019" t="s">
        <v>33</v>
      </c>
      <c r="W1019">
        <v>2</v>
      </c>
    </row>
    <row r="1020" spans="1:23" x14ac:dyDescent="0.25">
      <c r="A1020" t="s">
        <v>1593</v>
      </c>
      <c r="B1020" s="1">
        <v>46016</v>
      </c>
      <c r="C1020" t="s">
        <v>44</v>
      </c>
      <c r="D1020" t="s">
        <v>45</v>
      </c>
      <c r="E1020" t="s">
        <v>26</v>
      </c>
      <c r="F1020" t="s">
        <v>37</v>
      </c>
      <c r="G1020" t="s">
        <v>38</v>
      </c>
      <c r="H1020">
        <v>1</v>
      </c>
      <c r="I1020">
        <v>37866</v>
      </c>
      <c r="J1020">
        <v>0</v>
      </c>
      <c r="K1020">
        <v>0</v>
      </c>
      <c r="L1020">
        <v>37866</v>
      </c>
      <c r="M1020">
        <v>28073.25</v>
      </c>
      <c r="N1020">
        <v>9792.75</v>
      </c>
      <c r="O1020" t="s">
        <v>39</v>
      </c>
      <c r="P1020">
        <v>1430.45</v>
      </c>
      <c r="Q1020" t="s">
        <v>40</v>
      </c>
      <c r="R1020" t="s">
        <v>31</v>
      </c>
      <c r="S1020">
        <v>5</v>
      </c>
      <c r="T1020">
        <v>4</v>
      </c>
      <c r="U1020" t="s">
        <v>32</v>
      </c>
      <c r="V1020" t="s">
        <v>33</v>
      </c>
      <c r="W1020">
        <v>4</v>
      </c>
    </row>
    <row r="1021" spans="1:23" x14ac:dyDescent="0.25">
      <c r="A1021" t="s">
        <v>1594</v>
      </c>
      <c r="B1021" s="1">
        <v>45864</v>
      </c>
      <c r="C1021" t="s">
        <v>1595</v>
      </c>
      <c r="D1021" t="s">
        <v>71</v>
      </c>
      <c r="E1021" t="s">
        <v>36</v>
      </c>
      <c r="F1021" t="s">
        <v>47</v>
      </c>
      <c r="G1021" t="s">
        <v>138</v>
      </c>
      <c r="H1021">
        <v>1</v>
      </c>
      <c r="I1021">
        <v>38430</v>
      </c>
      <c r="J1021">
        <v>10</v>
      </c>
      <c r="K1021">
        <v>3843</v>
      </c>
      <c r="L1021">
        <v>34587</v>
      </c>
      <c r="M1021">
        <v>22120.42</v>
      </c>
      <c r="N1021">
        <v>12466.58</v>
      </c>
      <c r="O1021" t="s">
        <v>29</v>
      </c>
      <c r="P1021">
        <v>420.74</v>
      </c>
      <c r="Q1021" t="s">
        <v>40</v>
      </c>
      <c r="R1021" t="s">
        <v>31</v>
      </c>
      <c r="S1021">
        <v>5</v>
      </c>
      <c r="T1021">
        <v>5</v>
      </c>
      <c r="U1021" t="s">
        <v>32</v>
      </c>
      <c r="V1021" t="s">
        <v>33</v>
      </c>
      <c r="W1021">
        <v>5</v>
      </c>
    </row>
    <row r="1022" spans="1:23" x14ac:dyDescent="0.25">
      <c r="A1022" t="s">
        <v>1596</v>
      </c>
      <c r="B1022" s="1">
        <v>45797</v>
      </c>
      <c r="C1022" t="s">
        <v>1597</v>
      </c>
      <c r="D1022" t="s">
        <v>154</v>
      </c>
      <c r="E1022" t="s">
        <v>46</v>
      </c>
      <c r="F1022" t="s">
        <v>47</v>
      </c>
      <c r="G1022" t="s">
        <v>146</v>
      </c>
      <c r="H1022">
        <v>2</v>
      </c>
      <c r="I1022">
        <v>26303</v>
      </c>
      <c r="J1022">
        <v>0</v>
      </c>
      <c r="K1022">
        <v>0</v>
      </c>
      <c r="L1022">
        <v>52606</v>
      </c>
      <c r="M1022">
        <v>38342.99</v>
      </c>
      <c r="N1022">
        <v>14263.01</v>
      </c>
      <c r="O1022" t="s">
        <v>55</v>
      </c>
      <c r="P1022">
        <v>403.97</v>
      </c>
      <c r="Q1022" t="s">
        <v>73</v>
      </c>
      <c r="R1022" t="s">
        <v>31</v>
      </c>
      <c r="S1022">
        <v>5</v>
      </c>
      <c r="T1022">
        <v>6</v>
      </c>
      <c r="U1022" t="s">
        <v>56</v>
      </c>
      <c r="V1022" t="s">
        <v>33</v>
      </c>
      <c r="W1022">
        <v>3</v>
      </c>
    </row>
    <row r="1023" spans="1:23" x14ac:dyDescent="0.25">
      <c r="A1023" t="s">
        <v>1598</v>
      </c>
      <c r="B1023" s="1">
        <v>45914</v>
      </c>
      <c r="C1023" t="s">
        <v>490</v>
      </c>
      <c r="D1023" t="s">
        <v>154</v>
      </c>
      <c r="E1023" t="s">
        <v>36</v>
      </c>
      <c r="F1023" t="s">
        <v>27</v>
      </c>
      <c r="G1023" t="s">
        <v>72</v>
      </c>
      <c r="H1023">
        <v>2</v>
      </c>
      <c r="I1023">
        <v>22416</v>
      </c>
      <c r="J1023">
        <v>0</v>
      </c>
      <c r="K1023">
        <v>0</v>
      </c>
      <c r="L1023">
        <v>44832</v>
      </c>
      <c r="M1023">
        <v>32805.550000000003</v>
      </c>
      <c r="N1023">
        <v>12026.45</v>
      </c>
      <c r="O1023" t="s">
        <v>49</v>
      </c>
      <c r="P1023">
        <v>335.32</v>
      </c>
      <c r="Q1023" t="s">
        <v>83</v>
      </c>
      <c r="R1023" t="s">
        <v>31</v>
      </c>
      <c r="S1023">
        <v>5</v>
      </c>
      <c r="T1023">
        <v>1</v>
      </c>
      <c r="U1023" t="s">
        <v>32</v>
      </c>
      <c r="V1023" t="s">
        <v>50</v>
      </c>
      <c r="W1023">
        <v>1</v>
      </c>
    </row>
    <row r="1024" spans="1:23" x14ac:dyDescent="0.25">
      <c r="A1024" t="s">
        <v>1599</v>
      </c>
      <c r="B1024" s="1">
        <v>45934</v>
      </c>
      <c r="C1024" t="s">
        <v>884</v>
      </c>
      <c r="D1024" t="s">
        <v>154</v>
      </c>
      <c r="E1024" t="s">
        <v>26</v>
      </c>
      <c r="F1024" t="s">
        <v>86</v>
      </c>
      <c r="G1024" t="s">
        <v>87</v>
      </c>
      <c r="H1024">
        <v>1</v>
      </c>
      <c r="I1024">
        <v>19531</v>
      </c>
      <c r="J1024">
        <v>5</v>
      </c>
      <c r="K1024">
        <v>976.55</v>
      </c>
      <c r="L1024">
        <v>18554.45</v>
      </c>
      <c r="M1024">
        <v>10412.49</v>
      </c>
      <c r="N1024">
        <v>8141.96</v>
      </c>
      <c r="O1024" t="s">
        <v>91</v>
      </c>
      <c r="P1024">
        <v>971.57</v>
      </c>
      <c r="Q1024" t="s">
        <v>83</v>
      </c>
      <c r="R1024" t="s">
        <v>31</v>
      </c>
      <c r="S1024">
        <v>5</v>
      </c>
      <c r="T1024">
        <v>4</v>
      </c>
      <c r="U1024" t="s">
        <v>32</v>
      </c>
      <c r="V1024" t="s">
        <v>33</v>
      </c>
      <c r="W1024">
        <v>4</v>
      </c>
    </row>
    <row r="1025" spans="1:23" x14ac:dyDescent="0.25">
      <c r="A1025" t="s">
        <v>1600</v>
      </c>
      <c r="B1025" s="1">
        <v>45910</v>
      </c>
      <c r="C1025" t="s">
        <v>1601</v>
      </c>
      <c r="D1025" t="s">
        <v>124</v>
      </c>
      <c r="E1025" t="s">
        <v>26</v>
      </c>
      <c r="F1025" t="s">
        <v>27</v>
      </c>
      <c r="G1025" t="s">
        <v>72</v>
      </c>
      <c r="H1025">
        <v>2</v>
      </c>
      <c r="I1025">
        <v>11063</v>
      </c>
      <c r="J1025">
        <v>20</v>
      </c>
      <c r="K1025">
        <v>4425.2</v>
      </c>
      <c r="L1025">
        <v>17700.8</v>
      </c>
      <c r="M1025">
        <v>11931.96</v>
      </c>
      <c r="N1025">
        <v>5768.84</v>
      </c>
      <c r="O1025" t="s">
        <v>55</v>
      </c>
      <c r="P1025">
        <v>1435.72</v>
      </c>
      <c r="Q1025" t="s">
        <v>68</v>
      </c>
      <c r="R1025" t="s">
        <v>31</v>
      </c>
      <c r="S1025">
        <v>5</v>
      </c>
      <c r="T1025">
        <v>9</v>
      </c>
      <c r="U1025" t="s">
        <v>56</v>
      </c>
      <c r="V1025" t="s">
        <v>33</v>
      </c>
      <c r="W1025">
        <v>5</v>
      </c>
    </row>
    <row r="1026" spans="1:23" x14ac:dyDescent="0.25">
      <c r="A1026" t="s">
        <v>1602</v>
      </c>
      <c r="B1026" s="1">
        <v>45882</v>
      </c>
      <c r="C1026" t="s">
        <v>1052</v>
      </c>
      <c r="D1026" t="s">
        <v>45</v>
      </c>
      <c r="E1026" t="s">
        <v>46</v>
      </c>
      <c r="F1026" t="s">
        <v>53</v>
      </c>
      <c r="G1026" t="s">
        <v>151</v>
      </c>
      <c r="H1026">
        <v>3</v>
      </c>
      <c r="I1026">
        <v>98887</v>
      </c>
      <c r="J1026">
        <v>0</v>
      </c>
      <c r="K1026">
        <v>0</v>
      </c>
      <c r="L1026">
        <v>296661</v>
      </c>
      <c r="M1026">
        <v>232096.34</v>
      </c>
      <c r="N1026">
        <v>64564.66</v>
      </c>
      <c r="O1026" t="s">
        <v>55</v>
      </c>
      <c r="P1026">
        <v>2371.46</v>
      </c>
      <c r="Q1026" t="s">
        <v>83</v>
      </c>
      <c r="R1026" t="s">
        <v>31</v>
      </c>
      <c r="S1026">
        <v>5</v>
      </c>
      <c r="T1026">
        <v>8</v>
      </c>
      <c r="U1026" t="s">
        <v>56</v>
      </c>
      <c r="V1026" t="s">
        <v>33</v>
      </c>
      <c r="W1026">
        <v>1</v>
      </c>
    </row>
    <row r="1027" spans="1:23" x14ac:dyDescent="0.25">
      <c r="A1027" t="s">
        <v>1603</v>
      </c>
      <c r="B1027" s="1">
        <v>45699</v>
      </c>
      <c r="C1027" t="s">
        <v>267</v>
      </c>
      <c r="D1027" t="s">
        <v>63</v>
      </c>
      <c r="E1027" t="s">
        <v>26</v>
      </c>
      <c r="F1027" t="s">
        <v>86</v>
      </c>
      <c r="G1027" t="s">
        <v>87</v>
      </c>
      <c r="H1027">
        <v>1</v>
      </c>
      <c r="I1027">
        <v>16637</v>
      </c>
      <c r="J1027">
        <v>0</v>
      </c>
      <c r="K1027">
        <v>0</v>
      </c>
      <c r="L1027">
        <v>16637</v>
      </c>
      <c r="M1027">
        <v>11036.09</v>
      </c>
      <c r="N1027">
        <v>5600.91</v>
      </c>
      <c r="O1027" t="s">
        <v>55</v>
      </c>
      <c r="P1027">
        <v>1133.48</v>
      </c>
      <c r="Q1027" t="s">
        <v>73</v>
      </c>
      <c r="R1027" t="s">
        <v>31</v>
      </c>
      <c r="S1027">
        <v>5</v>
      </c>
      <c r="T1027">
        <v>5</v>
      </c>
      <c r="U1027" t="s">
        <v>32</v>
      </c>
      <c r="V1027" t="s">
        <v>33</v>
      </c>
      <c r="W1027">
        <v>3</v>
      </c>
    </row>
    <row r="1028" spans="1:23" x14ac:dyDescent="0.25">
      <c r="A1028" t="s">
        <v>1604</v>
      </c>
      <c r="B1028" s="1">
        <v>45964</v>
      </c>
      <c r="C1028" t="s">
        <v>1483</v>
      </c>
      <c r="D1028" t="s">
        <v>90</v>
      </c>
      <c r="E1028" t="s">
        <v>46</v>
      </c>
      <c r="F1028" t="s">
        <v>27</v>
      </c>
      <c r="G1028" t="s">
        <v>113</v>
      </c>
      <c r="H1028">
        <v>1</v>
      </c>
      <c r="I1028">
        <v>20281</v>
      </c>
      <c r="J1028">
        <v>10</v>
      </c>
      <c r="K1028">
        <v>2028.1</v>
      </c>
      <c r="L1028">
        <v>18252.900000000001</v>
      </c>
      <c r="M1028">
        <v>11821.51</v>
      </c>
      <c r="N1028">
        <v>6431.39</v>
      </c>
      <c r="O1028" t="s">
        <v>60</v>
      </c>
      <c r="P1028">
        <v>1955.05</v>
      </c>
      <c r="Q1028" t="s">
        <v>73</v>
      </c>
      <c r="R1028" t="s">
        <v>41</v>
      </c>
      <c r="S1028">
        <v>2</v>
      </c>
      <c r="T1028">
        <v>2</v>
      </c>
      <c r="U1028" t="s">
        <v>32</v>
      </c>
      <c r="V1028" t="s">
        <v>33</v>
      </c>
      <c r="W1028">
        <v>5</v>
      </c>
    </row>
    <row r="1029" spans="1:23" x14ac:dyDescent="0.25">
      <c r="A1029" t="s">
        <v>1605</v>
      </c>
      <c r="B1029" s="1">
        <v>45678</v>
      </c>
      <c r="C1029" t="s">
        <v>137</v>
      </c>
      <c r="D1029" t="s">
        <v>71</v>
      </c>
      <c r="E1029" t="s">
        <v>36</v>
      </c>
      <c r="F1029" t="s">
        <v>86</v>
      </c>
      <c r="G1029" t="s">
        <v>180</v>
      </c>
      <c r="H1029">
        <v>2</v>
      </c>
      <c r="I1029">
        <v>35454</v>
      </c>
      <c r="J1029">
        <v>10</v>
      </c>
      <c r="K1029">
        <v>7090.8</v>
      </c>
      <c r="L1029">
        <v>63817.2</v>
      </c>
      <c r="M1029">
        <v>35246.54</v>
      </c>
      <c r="N1029">
        <v>28570.66</v>
      </c>
      <c r="O1029" t="s">
        <v>60</v>
      </c>
      <c r="P1029">
        <v>636.48</v>
      </c>
      <c r="Q1029" t="s">
        <v>68</v>
      </c>
      <c r="R1029" t="s">
        <v>41</v>
      </c>
      <c r="S1029">
        <v>2</v>
      </c>
      <c r="T1029">
        <v>1</v>
      </c>
      <c r="U1029" t="s">
        <v>32</v>
      </c>
      <c r="V1029" t="s">
        <v>50</v>
      </c>
      <c r="W1029">
        <v>4</v>
      </c>
    </row>
    <row r="1030" spans="1:23" x14ac:dyDescent="0.25">
      <c r="A1030" t="s">
        <v>1606</v>
      </c>
      <c r="B1030" s="1">
        <v>45879</v>
      </c>
      <c r="C1030" t="s">
        <v>193</v>
      </c>
      <c r="D1030" t="s">
        <v>79</v>
      </c>
      <c r="E1030" t="s">
        <v>46</v>
      </c>
      <c r="F1030" t="s">
        <v>27</v>
      </c>
      <c r="G1030" t="s">
        <v>76</v>
      </c>
      <c r="H1030">
        <v>1</v>
      </c>
      <c r="I1030">
        <v>27710</v>
      </c>
      <c r="J1030">
        <v>25</v>
      </c>
      <c r="K1030">
        <v>6927.5</v>
      </c>
      <c r="L1030">
        <v>20782.5</v>
      </c>
      <c r="M1030">
        <v>15332.6</v>
      </c>
      <c r="N1030">
        <v>5449.9</v>
      </c>
      <c r="O1030" t="s">
        <v>55</v>
      </c>
      <c r="P1030">
        <v>1762.11</v>
      </c>
      <c r="Q1030" t="s">
        <v>40</v>
      </c>
      <c r="R1030" t="s">
        <v>31</v>
      </c>
      <c r="S1030">
        <v>5</v>
      </c>
      <c r="T1030">
        <v>6</v>
      </c>
      <c r="U1030" t="s">
        <v>56</v>
      </c>
      <c r="V1030" t="s">
        <v>33</v>
      </c>
      <c r="W1030">
        <v>1</v>
      </c>
    </row>
    <row r="1031" spans="1:23" x14ac:dyDescent="0.25">
      <c r="A1031" t="s">
        <v>1607</v>
      </c>
      <c r="B1031" s="1">
        <v>45823</v>
      </c>
      <c r="C1031" t="s">
        <v>1133</v>
      </c>
      <c r="D1031" t="s">
        <v>45</v>
      </c>
      <c r="E1031" t="s">
        <v>26</v>
      </c>
      <c r="F1031" t="s">
        <v>53</v>
      </c>
      <c r="G1031" t="s">
        <v>82</v>
      </c>
      <c r="H1031">
        <v>2</v>
      </c>
      <c r="I1031">
        <v>62420</v>
      </c>
      <c r="J1031">
        <v>0</v>
      </c>
      <c r="K1031">
        <v>0</v>
      </c>
      <c r="L1031">
        <v>124840</v>
      </c>
      <c r="M1031">
        <v>90841.58</v>
      </c>
      <c r="N1031">
        <v>33998.42</v>
      </c>
      <c r="O1031" t="s">
        <v>49</v>
      </c>
      <c r="P1031">
        <v>149.27000000000001</v>
      </c>
      <c r="Q1031" t="s">
        <v>40</v>
      </c>
      <c r="R1031" t="s">
        <v>41</v>
      </c>
      <c r="S1031">
        <v>2</v>
      </c>
      <c r="T1031">
        <v>2</v>
      </c>
      <c r="U1031" t="s">
        <v>32</v>
      </c>
      <c r="V1031" t="s">
        <v>42</v>
      </c>
    </row>
    <row r="1032" spans="1:23" x14ac:dyDescent="0.25">
      <c r="A1032" t="s">
        <v>1608</v>
      </c>
      <c r="B1032" s="1">
        <v>45967</v>
      </c>
      <c r="C1032" t="s">
        <v>394</v>
      </c>
      <c r="D1032" t="s">
        <v>63</v>
      </c>
      <c r="E1032" t="s">
        <v>36</v>
      </c>
      <c r="F1032" t="s">
        <v>86</v>
      </c>
      <c r="G1032" t="s">
        <v>87</v>
      </c>
      <c r="H1032">
        <v>1</v>
      </c>
      <c r="I1032">
        <v>13550</v>
      </c>
      <c r="J1032">
        <v>5</v>
      </c>
      <c r="K1032">
        <v>677.5</v>
      </c>
      <c r="L1032">
        <v>12872.5</v>
      </c>
      <c r="M1032">
        <v>7861.58</v>
      </c>
      <c r="N1032">
        <v>5010.92</v>
      </c>
      <c r="O1032" t="s">
        <v>60</v>
      </c>
      <c r="P1032">
        <v>279.89</v>
      </c>
      <c r="Q1032" t="s">
        <v>68</v>
      </c>
      <c r="R1032" t="s">
        <v>31</v>
      </c>
      <c r="S1032">
        <v>5</v>
      </c>
      <c r="T1032">
        <v>4</v>
      </c>
      <c r="U1032" t="s">
        <v>32</v>
      </c>
      <c r="V1032" t="s">
        <v>33</v>
      </c>
      <c r="W1032">
        <v>5</v>
      </c>
    </row>
    <row r="1033" spans="1:23" x14ac:dyDescent="0.25">
      <c r="A1033" t="s">
        <v>1609</v>
      </c>
      <c r="B1033" s="1">
        <v>45786</v>
      </c>
      <c r="C1033" t="s">
        <v>447</v>
      </c>
      <c r="D1033" t="s">
        <v>97</v>
      </c>
      <c r="E1033" t="s">
        <v>46</v>
      </c>
      <c r="F1033" t="s">
        <v>53</v>
      </c>
      <c r="G1033" t="s">
        <v>151</v>
      </c>
      <c r="H1033">
        <v>1</v>
      </c>
      <c r="I1033">
        <v>103210</v>
      </c>
      <c r="J1033">
        <v>10</v>
      </c>
      <c r="K1033">
        <v>10321</v>
      </c>
      <c r="L1033">
        <v>92889</v>
      </c>
      <c r="M1033">
        <v>63613.4</v>
      </c>
      <c r="N1033">
        <v>29275.599999999999</v>
      </c>
      <c r="O1033" t="s">
        <v>60</v>
      </c>
      <c r="P1033">
        <v>1837.84</v>
      </c>
      <c r="Q1033" t="s">
        <v>73</v>
      </c>
      <c r="R1033" t="s">
        <v>41</v>
      </c>
      <c r="S1033">
        <v>2</v>
      </c>
      <c r="T1033">
        <v>1</v>
      </c>
      <c r="U1033" t="s">
        <v>32</v>
      </c>
      <c r="V1033" t="s">
        <v>33</v>
      </c>
      <c r="W1033">
        <v>5</v>
      </c>
    </row>
    <row r="1034" spans="1:23" x14ac:dyDescent="0.25">
      <c r="A1034" t="s">
        <v>1610</v>
      </c>
      <c r="B1034" s="1">
        <v>45671</v>
      </c>
      <c r="C1034" t="s">
        <v>81</v>
      </c>
      <c r="D1034" t="s">
        <v>124</v>
      </c>
      <c r="E1034" t="s">
        <v>46</v>
      </c>
      <c r="F1034" t="s">
        <v>86</v>
      </c>
      <c r="G1034" t="s">
        <v>87</v>
      </c>
      <c r="H1034">
        <v>1</v>
      </c>
      <c r="I1034">
        <v>56680</v>
      </c>
      <c r="J1034">
        <v>15</v>
      </c>
      <c r="K1034">
        <v>8502</v>
      </c>
      <c r="L1034">
        <v>48178</v>
      </c>
      <c r="M1034">
        <v>39015.230000000003</v>
      </c>
      <c r="N1034">
        <v>9162.77</v>
      </c>
      <c r="O1034" t="s">
        <v>60</v>
      </c>
      <c r="P1034">
        <v>2283.67</v>
      </c>
      <c r="Q1034" t="s">
        <v>68</v>
      </c>
      <c r="R1034" t="s">
        <v>41</v>
      </c>
      <c r="S1034">
        <v>2</v>
      </c>
      <c r="T1034">
        <v>2</v>
      </c>
      <c r="U1034" t="s">
        <v>32</v>
      </c>
      <c r="V1034" t="s">
        <v>33</v>
      </c>
      <c r="W1034">
        <v>2</v>
      </c>
    </row>
    <row r="1035" spans="1:23" x14ac:dyDescent="0.25">
      <c r="A1035" t="s">
        <v>1611</v>
      </c>
      <c r="B1035" s="1">
        <v>45704</v>
      </c>
      <c r="C1035" t="s">
        <v>245</v>
      </c>
      <c r="D1035" t="s">
        <v>63</v>
      </c>
      <c r="E1035" t="s">
        <v>46</v>
      </c>
      <c r="F1035" t="s">
        <v>53</v>
      </c>
      <c r="G1035" t="s">
        <v>268</v>
      </c>
      <c r="H1035">
        <v>2</v>
      </c>
      <c r="I1035">
        <v>10038</v>
      </c>
      <c r="J1035">
        <v>25</v>
      </c>
      <c r="K1035">
        <v>5019</v>
      </c>
      <c r="L1035">
        <v>15057</v>
      </c>
      <c r="M1035">
        <v>8637.23</v>
      </c>
      <c r="N1035">
        <v>6419.77</v>
      </c>
      <c r="O1035" t="s">
        <v>39</v>
      </c>
      <c r="P1035">
        <v>1117.93</v>
      </c>
      <c r="Q1035" t="s">
        <v>68</v>
      </c>
      <c r="R1035" t="s">
        <v>31</v>
      </c>
      <c r="S1035">
        <v>5</v>
      </c>
      <c r="T1035">
        <v>6</v>
      </c>
      <c r="U1035" t="s">
        <v>56</v>
      </c>
      <c r="V1035" t="s">
        <v>33</v>
      </c>
      <c r="W1035">
        <v>5</v>
      </c>
    </row>
    <row r="1036" spans="1:23" x14ac:dyDescent="0.25">
      <c r="A1036" t="s">
        <v>1612</v>
      </c>
      <c r="B1036" s="1">
        <v>45775</v>
      </c>
      <c r="C1036" t="s">
        <v>1028</v>
      </c>
      <c r="D1036" t="s">
        <v>71</v>
      </c>
      <c r="E1036" t="s">
        <v>46</v>
      </c>
      <c r="F1036" t="s">
        <v>86</v>
      </c>
      <c r="G1036" t="s">
        <v>94</v>
      </c>
      <c r="H1036">
        <v>1</v>
      </c>
      <c r="I1036">
        <v>7775</v>
      </c>
      <c r="J1036">
        <v>0</v>
      </c>
      <c r="K1036">
        <v>0</v>
      </c>
      <c r="L1036">
        <v>7775</v>
      </c>
      <c r="M1036">
        <v>4779.22</v>
      </c>
      <c r="N1036">
        <v>2995.78</v>
      </c>
      <c r="O1036" t="s">
        <v>60</v>
      </c>
      <c r="P1036">
        <v>1085.05</v>
      </c>
      <c r="Q1036" t="s">
        <v>73</v>
      </c>
      <c r="R1036" t="s">
        <v>31</v>
      </c>
      <c r="S1036">
        <v>5</v>
      </c>
      <c r="T1036">
        <v>2</v>
      </c>
      <c r="U1036" t="s">
        <v>32</v>
      </c>
      <c r="V1036" t="s">
        <v>50</v>
      </c>
      <c r="W1036">
        <v>2</v>
      </c>
    </row>
    <row r="1037" spans="1:23" x14ac:dyDescent="0.25">
      <c r="A1037" t="s">
        <v>1613</v>
      </c>
      <c r="B1037" s="1">
        <v>46003</v>
      </c>
      <c r="C1037" t="s">
        <v>170</v>
      </c>
      <c r="D1037" t="s">
        <v>45</v>
      </c>
      <c r="E1037" t="s">
        <v>46</v>
      </c>
      <c r="F1037" t="s">
        <v>53</v>
      </c>
      <c r="G1037" t="s">
        <v>59</v>
      </c>
      <c r="H1037">
        <v>3</v>
      </c>
      <c r="I1037">
        <v>63454</v>
      </c>
      <c r="J1037">
        <v>10</v>
      </c>
      <c r="K1037">
        <v>19036.2</v>
      </c>
      <c r="L1037">
        <v>171325.8</v>
      </c>
      <c r="M1037">
        <v>104104.85</v>
      </c>
      <c r="N1037">
        <v>67220.95</v>
      </c>
      <c r="O1037" t="s">
        <v>91</v>
      </c>
      <c r="P1037">
        <v>1149.0899999999999</v>
      </c>
      <c r="Q1037" t="s">
        <v>30</v>
      </c>
      <c r="R1037" t="s">
        <v>41</v>
      </c>
      <c r="S1037">
        <v>2</v>
      </c>
      <c r="T1037">
        <v>5</v>
      </c>
      <c r="U1037" t="s">
        <v>56</v>
      </c>
      <c r="V1037" t="s">
        <v>33</v>
      </c>
      <c r="W1037">
        <v>5</v>
      </c>
    </row>
    <row r="1038" spans="1:23" x14ac:dyDescent="0.25">
      <c r="A1038" t="s">
        <v>1614</v>
      </c>
      <c r="B1038" s="1">
        <v>45952</v>
      </c>
      <c r="C1038" t="s">
        <v>1615</v>
      </c>
      <c r="D1038" t="s">
        <v>90</v>
      </c>
      <c r="E1038" t="s">
        <v>26</v>
      </c>
      <c r="F1038" t="s">
        <v>47</v>
      </c>
      <c r="G1038" t="s">
        <v>138</v>
      </c>
      <c r="H1038">
        <v>2</v>
      </c>
      <c r="I1038">
        <v>41788</v>
      </c>
      <c r="J1038">
        <v>0</v>
      </c>
      <c r="K1038">
        <v>0</v>
      </c>
      <c r="L1038">
        <v>83576</v>
      </c>
      <c r="M1038">
        <v>47758.52</v>
      </c>
      <c r="N1038">
        <v>35817.480000000003</v>
      </c>
      <c r="O1038" t="s">
        <v>29</v>
      </c>
      <c r="P1038">
        <v>845.96</v>
      </c>
      <c r="Q1038" t="s">
        <v>68</v>
      </c>
      <c r="R1038" t="s">
        <v>41</v>
      </c>
      <c r="S1038">
        <v>2</v>
      </c>
      <c r="T1038">
        <v>0</v>
      </c>
      <c r="U1038" t="s">
        <v>32</v>
      </c>
      <c r="V1038" t="s">
        <v>50</v>
      </c>
      <c r="W1038">
        <v>5</v>
      </c>
    </row>
    <row r="1039" spans="1:23" x14ac:dyDescent="0.25">
      <c r="A1039" t="s">
        <v>1616</v>
      </c>
      <c r="B1039" s="1">
        <v>45958</v>
      </c>
      <c r="C1039" t="s">
        <v>1567</v>
      </c>
      <c r="D1039" t="s">
        <v>154</v>
      </c>
      <c r="E1039" t="s">
        <v>36</v>
      </c>
      <c r="F1039" t="s">
        <v>47</v>
      </c>
      <c r="G1039" t="s">
        <v>48</v>
      </c>
      <c r="H1039">
        <v>1</v>
      </c>
      <c r="I1039">
        <v>24023</v>
      </c>
      <c r="J1039">
        <v>0</v>
      </c>
      <c r="K1039">
        <v>0</v>
      </c>
      <c r="L1039">
        <v>24023</v>
      </c>
      <c r="M1039">
        <v>13941.89</v>
      </c>
      <c r="N1039">
        <v>10081.11</v>
      </c>
      <c r="O1039" t="s">
        <v>60</v>
      </c>
      <c r="P1039">
        <v>1690.64</v>
      </c>
      <c r="Q1039" t="s">
        <v>83</v>
      </c>
      <c r="R1039" t="s">
        <v>31</v>
      </c>
      <c r="S1039">
        <v>5</v>
      </c>
      <c r="T1039">
        <v>2</v>
      </c>
      <c r="U1039" t="s">
        <v>32</v>
      </c>
      <c r="V1039" t="s">
        <v>33</v>
      </c>
      <c r="W1039">
        <v>5</v>
      </c>
    </row>
    <row r="1040" spans="1:23" x14ac:dyDescent="0.25">
      <c r="A1040" t="s">
        <v>1617</v>
      </c>
      <c r="B1040" s="1">
        <v>45668</v>
      </c>
      <c r="C1040" t="s">
        <v>1618</v>
      </c>
      <c r="D1040" t="s">
        <v>154</v>
      </c>
      <c r="E1040" t="s">
        <v>36</v>
      </c>
      <c r="F1040" t="s">
        <v>37</v>
      </c>
      <c r="G1040" t="s">
        <v>100</v>
      </c>
      <c r="H1040">
        <v>1</v>
      </c>
      <c r="I1040">
        <v>25228</v>
      </c>
      <c r="J1040">
        <v>15</v>
      </c>
      <c r="K1040">
        <v>3784.2</v>
      </c>
      <c r="L1040">
        <v>21443.8</v>
      </c>
      <c r="M1040">
        <v>12884.32</v>
      </c>
      <c r="N1040">
        <v>8559.48</v>
      </c>
      <c r="O1040" t="s">
        <v>91</v>
      </c>
      <c r="P1040">
        <v>840.91</v>
      </c>
      <c r="Q1040" t="s">
        <v>83</v>
      </c>
      <c r="R1040" t="s">
        <v>31</v>
      </c>
      <c r="S1040">
        <v>5</v>
      </c>
      <c r="T1040">
        <v>5</v>
      </c>
      <c r="U1040" t="s">
        <v>32</v>
      </c>
      <c r="V1040" t="s">
        <v>33</v>
      </c>
      <c r="W1040">
        <v>1</v>
      </c>
    </row>
    <row r="1041" spans="1:23" x14ac:dyDescent="0.25">
      <c r="A1041" t="s">
        <v>1619</v>
      </c>
      <c r="B1041" s="1">
        <v>46002</v>
      </c>
      <c r="C1041" t="s">
        <v>255</v>
      </c>
      <c r="D1041" t="s">
        <v>67</v>
      </c>
      <c r="E1041" t="s">
        <v>46</v>
      </c>
      <c r="F1041" t="s">
        <v>53</v>
      </c>
      <c r="G1041" t="s">
        <v>59</v>
      </c>
      <c r="H1041">
        <v>3</v>
      </c>
      <c r="I1041">
        <v>57167</v>
      </c>
      <c r="J1041">
        <v>0</v>
      </c>
      <c r="K1041">
        <v>0</v>
      </c>
      <c r="L1041">
        <v>171501</v>
      </c>
      <c r="M1041">
        <v>95497.87</v>
      </c>
      <c r="N1041">
        <v>76003.13</v>
      </c>
      <c r="O1041" t="s">
        <v>29</v>
      </c>
      <c r="P1041">
        <v>1769.56</v>
      </c>
      <c r="Q1041" t="s">
        <v>68</v>
      </c>
      <c r="R1041" t="s">
        <v>41</v>
      </c>
      <c r="S1041">
        <v>2</v>
      </c>
      <c r="T1041">
        <v>4</v>
      </c>
      <c r="U1041" t="s">
        <v>56</v>
      </c>
      <c r="V1041" t="s">
        <v>33</v>
      </c>
      <c r="W1041">
        <v>5</v>
      </c>
    </row>
    <row r="1042" spans="1:23" x14ac:dyDescent="0.25">
      <c r="A1042" t="s">
        <v>1620</v>
      </c>
      <c r="B1042" s="1">
        <v>45795</v>
      </c>
      <c r="C1042" t="s">
        <v>228</v>
      </c>
      <c r="D1042" t="s">
        <v>25</v>
      </c>
      <c r="E1042" t="s">
        <v>26</v>
      </c>
      <c r="F1042" t="s">
        <v>53</v>
      </c>
      <c r="G1042" t="s">
        <v>59</v>
      </c>
      <c r="H1042">
        <v>3</v>
      </c>
      <c r="I1042">
        <v>24717</v>
      </c>
      <c r="J1042">
        <v>5</v>
      </c>
      <c r="K1042">
        <v>3707.55</v>
      </c>
      <c r="L1042">
        <v>70443.45</v>
      </c>
      <c r="M1042">
        <v>57148.52</v>
      </c>
      <c r="N1042">
        <v>13294.93</v>
      </c>
      <c r="O1042" t="s">
        <v>60</v>
      </c>
      <c r="P1042">
        <v>1955.05</v>
      </c>
      <c r="Q1042" t="s">
        <v>40</v>
      </c>
      <c r="R1042" t="s">
        <v>31</v>
      </c>
      <c r="S1042">
        <v>5</v>
      </c>
      <c r="T1042">
        <v>6</v>
      </c>
      <c r="U1042" t="s">
        <v>32</v>
      </c>
      <c r="V1042" t="s">
        <v>50</v>
      </c>
      <c r="W1042">
        <v>2</v>
      </c>
    </row>
    <row r="1043" spans="1:23" x14ac:dyDescent="0.25">
      <c r="A1043" t="s">
        <v>1621</v>
      </c>
      <c r="B1043" s="1">
        <v>45953</v>
      </c>
      <c r="C1043" t="s">
        <v>274</v>
      </c>
      <c r="D1043" t="s">
        <v>90</v>
      </c>
      <c r="E1043" t="s">
        <v>46</v>
      </c>
      <c r="F1043" t="s">
        <v>53</v>
      </c>
      <c r="G1043" t="s">
        <v>54</v>
      </c>
      <c r="H1043">
        <v>1</v>
      </c>
      <c r="I1043">
        <v>54332</v>
      </c>
      <c r="J1043">
        <v>0</v>
      </c>
      <c r="K1043">
        <v>0</v>
      </c>
      <c r="L1043">
        <v>54332</v>
      </c>
      <c r="M1043">
        <v>43180.4</v>
      </c>
      <c r="N1043">
        <v>11151.6</v>
      </c>
      <c r="O1043" t="s">
        <v>91</v>
      </c>
      <c r="P1043">
        <v>1870.39</v>
      </c>
      <c r="Q1043" t="s">
        <v>30</v>
      </c>
      <c r="R1043" t="s">
        <v>31</v>
      </c>
      <c r="S1043">
        <v>5</v>
      </c>
      <c r="T1043">
        <v>4</v>
      </c>
      <c r="U1043" t="s">
        <v>32</v>
      </c>
      <c r="V1043" t="s">
        <v>33</v>
      </c>
      <c r="W1043">
        <v>5</v>
      </c>
    </row>
    <row r="1044" spans="1:23" x14ac:dyDescent="0.25">
      <c r="A1044" t="s">
        <v>1622</v>
      </c>
      <c r="B1044" s="1">
        <v>45678</v>
      </c>
      <c r="C1044" t="s">
        <v>1623</v>
      </c>
      <c r="D1044" t="s">
        <v>25</v>
      </c>
      <c r="E1044" t="s">
        <v>46</v>
      </c>
      <c r="F1044" t="s">
        <v>47</v>
      </c>
      <c r="G1044" t="s">
        <v>48</v>
      </c>
      <c r="H1044">
        <v>3</v>
      </c>
      <c r="I1044">
        <v>51753</v>
      </c>
      <c r="J1044">
        <v>0</v>
      </c>
      <c r="K1044">
        <v>0</v>
      </c>
      <c r="L1044">
        <v>155259</v>
      </c>
      <c r="M1044">
        <v>91712.98</v>
      </c>
      <c r="N1044">
        <v>63546.02</v>
      </c>
      <c r="O1044" t="s">
        <v>29</v>
      </c>
      <c r="P1044">
        <v>1616.68</v>
      </c>
      <c r="Q1044" t="s">
        <v>40</v>
      </c>
      <c r="R1044" t="s">
        <v>41</v>
      </c>
      <c r="S1044">
        <v>2</v>
      </c>
      <c r="T1044">
        <v>1</v>
      </c>
      <c r="U1044" t="s">
        <v>32</v>
      </c>
      <c r="V1044" t="s">
        <v>50</v>
      </c>
      <c r="W1044">
        <v>5</v>
      </c>
    </row>
    <row r="1045" spans="1:23" x14ac:dyDescent="0.25">
      <c r="A1045" t="s">
        <v>1624</v>
      </c>
      <c r="B1045" s="1">
        <v>45747</v>
      </c>
      <c r="C1045" t="s">
        <v>714</v>
      </c>
      <c r="D1045" t="s">
        <v>90</v>
      </c>
      <c r="E1045" t="s">
        <v>46</v>
      </c>
      <c r="F1045" t="s">
        <v>37</v>
      </c>
      <c r="G1045" t="s">
        <v>38</v>
      </c>
      <c r="H1045">
        <v>1</v>
      </c>
      <c r="I1045">
        <v>12467</v>
      </c>
      <c r="J1045">
        <v>5</v>
      </c>
      <c r="K1045">
        <v>623.35</v>
      </c>
      <c r="L1045">
        <v>11843.65</v>
      </c>
      <c r="M1045">
        <v>7867.4</v>
      </c>
      <c r="N1045">
        <v>3976.25</v>
      </c>
      <c r="O1045" t="s">
        <v>39</v>
      </c>
      <c r="P1045">
        <v>1279.95</v>
      </c>
      <c r="Q1045" t="s">
        <v>83</v>
      </c>
      <c r="R1045" t="s">
        <v>41</v>
      </c>
      <c r="S1045">
        <v>2</v>
      </c>
      <c r="T1045">
        <v>1</v>
      </c>
      <c r="U1045" t="s">
        <v>32</v>
      </c>
      <c r="V1045" t="s">
        <v>33</v>
      </c>
      <c r="W1045">
        <v>1</v>
      </c>
    </row>
    <row r="1046" spans="1:23" x14ac:dyDescent="0.25">
      <c r="A1046" t="s">
        <v>1625</v>
      </c>
      <c r="B1046" s="1">
        <v>45898</v>
      </c>
      <c r="C1046" t="s">
        <v>140</v>
      </c>
      <c r="D1046" t="s">
        <v>90</v>
      </c>
      <c r="E1046" t="s">
        <v>46</v>
      </c>
      <c r="F1046" t="s">
        <v>53</v>
      </c>
      <c r="G1046" t="s">
        <v>82</v>
      </c>
      <c r="H1046">
        <v>2</v>
      </c>
      <c r="I1046">
        <v>112273</v>
      </c>
      <c r="J1046">
        <v>5</v>
      </c>
      <c r="K1046">
        <v>11227.3</v>
      </c>
      <c r="L1046">
        <v>213318.7</v>
      </c>
      <c r="M1046">
        <v>139277.04</v>
      </c>
      <c r="N1046">
        <v>74041.66</v>
      </c>
      <c r="O1046" t="s">
        <v>29</v>
      </c>
      <c r="P1046">
        <v>486.77</v>
      </c>
      <c r="Q1046" t="s">
        <v>30</v>
      </c>
      <c r="R1046" t="s">
        <v>31</v>
      </c>
      <c r="S1046">
        <v>5</v>
      </c>
      <c r="T1046">
        <v>4</v>
      </c>
      <c r="U1046" t="s">
        <v>32</v>
      </c>
      <c r="V1046" t="s">
        <v>33</v>
      </c>
      <c r="W1046">
        <v>4</v>
      </c>
    </row>
    <row r="1047" spans="1:23" x14ac:dyDescent="0.25">
      <c r="A1047" t="s">
        <v>1626</v>
      </c>
      <c r="B1047" s="1">
        <v>45923</v>
      </c>
      <c r="C1047" t="s">
        <v>265</v>
      </c>
      <c r="D1047" t="s">
        <v>124</v>
      </c>
      <c r="E1047" t="s">
        <v>26</v>
      </c>
      <c r="F1047" t="s">
        <v>53</v>
      </c>
      <c r="G1047" t="s">
        <v>59</v>
      </c>
      <c r="H1047">
        <v>2</v>
      </c>
      <c r="I1047">
        <v>32971</v>
      </c>
      <c r="J1047">
        <v>10</v>
      </c>
      <c r="K1047">
        <v>6594.2</v>
      </c>
      <c r="L1047">
        <v>59347.8</v>
      </c>
      <c r="M1047">
        <v>41200.18</v>
      </c>
      <c r="N1047">
        <v>18147.62</v>
      </c>
      <c r="O1047" t="s">
        <v>29</v>
      </c>
      <c r="P1047">
        <v>660.7</v>
      </c>
      <c r="Q1047" t="s">
        <v>30</v>
      </c>
      <c r="R1047" t="s">
        <v>41</v>
      </c>
      <c r="S1047">
        <v>2</v>
      </c>
      <c r="T1047">
        <v>3</v>
      </c>
      <c r="U1047" t="s">
        <v>56</v>
      </c>
      <c r="V1047" t="s">
        <v>33</v>
      </c>
      <c r="W1047">
        <v>4</v>
      </c>
    </row>
    <row r="1048" spans="1:23" x14ac:dyDescent="0.25">
      <c r="A1048" t="s">
        <v>1627</v>
      </c>
      <c r="B1048" s="1">
        <v>45991</v>
      </c>
      <c r="C1048" t="s">
        <v>500</v>
      </c>
      <c r="D1048" t="s">
        <v>124</v>
      </c>
      <c r="E1048" t="s">
        <v>36</v>
      </c>
      <c r="F1048" t="s">
        <v>86</v>
      </c>
      <c r="G1048" t="s">
        <v>87</v>
      </c>
      <c r="H1048">
        <v>4</v>
      </c>
      <c r="I1048">
        <v>72631</v>
      </c>
      <c r="J1048">
        <v>10</v>
      </c>
      <c r="K1048">
        <v>29052.400000000001</v>
      </c>
      <c r="L1048">
        <v>261471.6</v>
      </c>
      <c r="M1048">
        <v>161723.9</v>
      </c>
      <c r="N1048">
        <v>99747.7</v>
      </c>
      <c r="O1048" t="s">
        <v>91</v>
      </c>
      <c r="P1048">
        <v>2477.9</v>
      </c>
      <c r="Q1048" t="s">
        <v>40</v>
      </c>
      <c r="R1048" t="s">
        <v>41</v>
      </c>
      <c r="S1048">
        <v>2</v>
      </c>
      <c r="T1048">
        <v>3</v>
      </c>
      <c r="U1048" t="s">
        <v>56</v>
      </c>
      <c r="V1048" t="s">
        <v>33</v>
      </c>
      <c r="W1048">
        <v>5</v>
      </c>
    </row>
    <row r="1049" spans="1:23" x14ac:dyDescent="0.25">
      <c r="A1049" t="s">
        <v>1628</v>
      </c>
      <c r="B1049" s="1">
        <v>45884</v>
      </c>
      <c r="C1049" t="s">
        <v>1097</v>
      </c>
      <c r="D1049" t="s">
        <v>25</v>
      </c>
      <c r="E1049" t="s">
        <v>46</v>
      </c>
      <c r="F1049" t="s">
        <v>47</v>
      </c>
      <c r="G1049" t="s">
        <v>146</v>
      </c>
      <c r="H1049">
        <v>1</v>
      </c>
      <c r="I1049">
        <v>29120</v>
      </c>
      <c r="J1049">
        <v>15</v>
      </c>
      <c r="K1049">
        <v>4368</v>
      </c>
      <c r="L1049">
        <v>24752</v>
      </c>
      <c r="M1049">
        <v>15232.52</v>
      </c>
      <c r="N1049">
        <v>9519.48</v>
      </c>
      <c r="O1049" t="s">
        <v>60</v>
      </c>
      <c r="P1049">
        <v>762.68</v>
      </c>
      <c r="Q1049" t="s">
        <v>83</v>
      </c>
      <c r="R1049" t="s">
        <v>41</v>
      </c>
      <c r="S1049">
        <v>2</v>
      </c>
      <c r="T1049">
        <v>6</v>
      </c>
      <c r="U1049" t="s">
        <v>32</v>
      </c>
      <c r="V1049" t="s">
        <v>50</v>
      </c>
      <c r="W1049">
        <v>5</v>
      </c>
    </row>
    <row r="1050" spans="1:23" x14ac:dyDescent="0.25">
      <c r="A1050" t="s">
        <v>1629</v>
      </c>
      <c r="B1050" s="1">
        <v>45800</v>
      </c>
      <c r="C1050" t="s">
        <v>451</v>
      </c>
      <c r="D1050" t="s">
        <v>71</v>
      </c>
      <c r="E1050" t="s">
        <v>26</v>
      </c>
      <c r="F1050" t="s">
        <v>37</v>
      </c>
      <c r="G1050" t="s">
        <v>224</v>
      </c>
      <c r="H1050">
        <v>1</v>
      </c>
      <c r="I1050">
        <v>24660</v>
      </c>
      <c r="J1050">
        <v>5</v>
      </c>
      <c r="K1050">
        <v>1233</v>
      </c>
      <c r="L1050">
        <v>23427</v>
      </c>
      <c r="M1050">
        <v>18304.18</v>
      </c>
      <c r="N1050">
        <v>5122.82</v>
      </c>
      <c r="O1050" t="s">
        <v>49</v>
      </c>
      <c r="P1050">
        <v>302.76</v>
      </c>
      <c r="Q1050" t="s">
        <v>68</v>
      </c>
      <c r="R1050" t="s">
        <v>31</v>
      </c>
      <c r="S1050">
        <v>5</v>
      </c>
      <c r="T1050">
        <v>7</v>
      </c>
      <c r="U1050" t="s">
        <v>56</v>
      </c>
      <c r="V1050" t="s">
        <v>33</v>
      </c>
      <c r="W1050">
        <v>5</v>
      </c>
    </row>
    <row r="1051" spans="1:23" x14ac:dyDescent="0.25">
      <c r="A1051" t="s">
        <v>1630</v>
      </c>
      <c r="B1051" s="1">
        <v>45750</v>
      </c>
      <c r="C1051" t="s">
        <v>584</v>
      </c>
      <c r="D1051" t="s">
        <v>71</v>
      </c>
      <c r="E1051" t="s">
        <v>46</v>
      </c>
      <c r="F1051" t="s">
        <v>53</v>
      </c>
      <c r="G1051" t="s">
        <v>151</v>
      </c>
      <c r="H1051">
        <v>1</v>
      </c>
      <c r="I1051">
        <v>111831</v>
      </c>
      <c r="J1051">
        <v>10</v>
      </c>
      <c r="K1051">
        <v>11183.1</v>
      </c>
      <c r="L1051">
        <v>100647.9</v>
      </c>
      <c r="M1051">
        <v>65849.03</v>
      </c>
      <c r="N1051">
        <v>34798.870000000003</v>
      </c>
      <c r="O1051" t="s">
        <v>91</v>
      </c>
      <c r="P1051">
        <v>1295.1300000000001</v>
      </c>
      <c r="Q1051" t="s">
        <v>73</v>
      </c>
      <c r="R1051" t="s">
        <v>41</v>
      </c>
      <c r="S1051">
        <v>2</v>
      </c>
      <c r="T1051">
        <v>4</v>
      </c>
      <c r="U1051" t="s">
        <v>56</v>
      </c>
      <c r="V1051" t="s">
        <v>33</v>
      </c>
      <c r="W1051">
        <v>5</v>
      </c>
    </row>
    <row r="1052" spans="1:23" x14ac:dyDescent="0.25">
      <c r="A1052" t="s">
        <v>1631</v>
      </c>
      <c r="B1052" s="1">
        <v>45957</v>
      </c>
      <c r="C1052" t="s">
        <v>804</v>
      </c>
      <c r="D1052" t="s">
        <v>79</v>
      </c>
      <c r="E1052" t="s">
        <v>36</v>
      </c>
      <c r="F1052" t="s">
        <v>86</v>
      </c>
      <c r="G1052" t="s">
        <v>94</v>
      </c>
      <c r="H1052">
        <v>2</v>
      </c>
      <c r="I1052">
        <v>62114</v>
      </c>
      <c r="J1052">
        <v>0</v>
      </c>
      <c r="K1052">
        <v>0</v>
      </c>
      <c r="L1052">
        <v>124228</v>
      </c>
      <c r="M1052">
        <v>70924.639999999999</v>
      </c>
      <c r="N1052">
        <v>53303.360000000001</v>
      </c>
      <c r="O1052" t="s">
        <v>91</v>
      </c>
      <c r="P1052">
        <v>824.72</v>
      </c>
      <c r="Q1052" t="s">
        <v>40</v>
      </c>
      <c r="R1052" t="s">
        <v>41</v>
      </c>
      <c r="S1052">
        <v>2</v>
      </c>
      <c r="T1052">
        <v>2</v>
      </c>
      <c r="U1052" t="s">
        <v>32</v>
      </c>
      <c r="V1052" t="s">
        <v>50</v>
      </c>
      <c r="W1052">
        <v>4</v>
      </c>
    </row>
    <row r="1053" spans="1:23" x14ac:dyDescent="0.25">
      <c r="A1053" t="s">
        <v>1632</v>
      </c>
      <c r="B1053" s="1">
        <v>45881</v>
      </c>
      <c r="C1053" t="s">
        <v>299</v>
      </c>
      <c r="D1053" t="s">
        <v>45</v>
      </c>
      <c r="E1053" t="s">
        <v>26</v>
      </c>
      <c r="F1053" t="s">
        <v>53</v>
      </c>
      <c r="G1053" t="s">
        <v>82</v>
      </c>
      <c r="H1053">
        <v>1</v>
      </c>
      <c r="I1053">
        <v>74097</v>
      </c>
      <c r="J1053">
        <v>0</v>
      </c>
      <c r="K1053">
        <v>0</v>
      </c>
      <c r="L1053">
        <v>74097</v>
      </c>
      <c r="M1053">
        <v>56982.44</v>
      </c>
      <c r="N1053">
        <v>17114.560000000001</v>
      </c>
      <c r="O1053" t="s">
        <v>91</v>
      </c>
      <c r="P1053">
        <v>1199.57</v>
      </c>
      <c r="Q1053" t="s">
        <v>68</v>
      </c>
      <c r="R1053" t="s">
        <v>41</v>
      </c>
      <c r="S1053">
        <v>2</v>
      </c>
      <c r="T1053">
        <v>2</v>
      </c>
      <c r="U1053" t="s">
        <v>32</v>
      </c>
      <c r="V1053" t="s">
        <v>33</v>
      </c>
      <c r="W1053">
        <v>2</v>
      </c>
    </row>
    <row r="1054" spans="1:23" x14ac:dyDescent="0.25">
      <c r="A1054" t="s">
        <v>1633</v>
      </c>
      <c r="B1054" s="1">
        <v>45983</v>
      </c>
      <c r="C1054" t="s">
        <v>1634</v>
      </c>
      <c r="D1054" t="s">
        <v>79</v>
      </c>
      <c r="E1054" t="s">
        <v>26</v>
      </c>
      <c r="F1054" t="s">
        <v>53</v>
      </c>
      <c r="G1054" t="s">
        <v>151</v>
      </c>
      <c r="H1054">
        <v>1</v>
      </c>
      <c r="I1054">
        <v>49302</v>
      </c>
      <c r="J1054">
        <v>15</v>
      </c>
      <c r="K1054">
        <v>7395.3</v>
      </c>
      <c r="L1054">
        <v>41906.699999999997</v>
      </c>
      <c r="M1054">
        <v>33299.19</v>
      </c>
      <c r="N1054">
        <v>8607.51</v>
      </c>
      <c r="O1054" t="s">
        <v>91</v>
      </c>
      <c r="P1054">
        <v>1423.55</v>
      </c>
      <c r="Q1054" t="s">
        <v>30</v>
      </c>
      <c r="R1054" t="s">
        <v>41</v>
      </c>
      <c r="S1054">
        <v>2</v>
      </c>
      <c r="T1054">
        <v>3</v>
      </c>
      <c r="U1054" t="s">
        <v>32</v>
      </c>
      <c r="V1054" t="s">
        <v>42</v>
      </c>
    </row>
    <row r="1055" spans="1:23" x14ac:dyDescent="0.25">
      <c r="A1055" t="s">
        <v>1635</v>
      </c>
      <c r="B1055" s="1">
        <v>45909</v>
      </c>
      <c r="C1055" t="s">
        <v>1177</v>
      </c>
      <c r="D1055" t="s">
        <v>97</v>
      </c>
      <c r="E1055" t="s">
        <v>46</v>
      </c>
      <c r="F1055" t="s">
        <v>27</v>
      </c>
      <c r="G1055" t="s">
        <v>164</v>
      </c>
      <c r="H1055">
        <v>1</v>
      </c>
      <c r="I1055">
        <v>6118</v>
      </c>
      <c r="J1055">
        <v>0</v>
      </c>
      <c r="K1055">
        <v>0</v>
      </c>
      <c r="L1055">
        <v>6118</v>
      </c>
      <c r="M1055">
        <v>4088.17</v>
      </c>
      <c r="N1055">
        <v>2029.83</v>
      </c>
      <c r="O1055" t="s">
        <v>60</v>
      </c>
      <c r="P1055">
        <v>2406.0300000000002</v>
      </c>
      <c r="Q1055" t="s">
        <v>40</v>
      </c>
      <c r="R1055" t="s">
        <v>31</v>
      </c>
      <c r="S1055">
        <v>5</v>
      </c>
      <c r="T1055">
        <v>5</v>
      </c>
      <c r="U1055" t="s">
        <v>32</v>
      </c>
      <c r="V1055" t="s">
        <v>33</v>
      </c>
      <c r="W1055">
        <v>4</v>
      </c>
    </row>
    <row r="1056" spans="1:23" x14ac:dyDescent="0.25">
      <c r="A1056" t="s">
        <v>1636</v>
      </c>
      <c r="B1056" s="1">
        <v>45704</v>
      </c>
      <c r="C1056" t="s">
        <v>1637</v>
      </c>
      <c r="D1056" t="s">
        <v>97</v>
      </c>
      <c r="E1056" t="s">
        <v>46</v>
      </c>
      <c r="F1056" t="s">
        <v>37</v>
      </c>
      <c r="G1056" t="s">
        <v>38</v>
      </c>
      <c r="H1056">
        <v>2</v>
      </c>
      <c r="I1056">
        <v>24235</v>
      </c>
      <c r="J1056">
        <v>5</v>
      </c>
      <c r="K1056">
        <v>2423.5</v>
      </c>
      <c r="L1056">
        <v>46046.5</v>
      </c>
      <c r="M1056">
        <v>26758.9</v>
      </c>
      <c r="N1056">
        <v>19287.599999999999</v>
      </c>
      <c r="O1056" t="s">
        <v>60</v>
      </c>
      <c r="P1056">
        <v>910.16</v>
      </c>
      <c r="Q1056" t="s">
        <v>83</v>
      </c>
      <c r="R1056" t="s">
        <v>41</v>
      </c>
      <c r="S1056">
        <v>2</v>
      </c>
      <c r="T1056">
        <v>1</v>
      </c>
      <c r="U1056" t="s">
        <v>32</v>
      </c>
      <c r="V1056" t="s">
        <v>33</v>
      </c>
      <c r="W1056">
        <v>3</v>
      </c>
    </row>
    <row r="1057" spans="1:23" x14ac:dyDescent="0.25">
      <c r="A1057" t="s">
        <v>1638</v>
      </c>
      <c r="B1057" s="1">
        <v>45898</v>
      </c>
      <c r="C1057" t="s">
        <v>591</v>
      </c>
      <c r="D1057" t="s">
        <v>154</v>
      </c>
      <c r="E1057" t="s">
        <v>46</v>
      </c>
      <c r="F1057" t="s">
        <v>37</v>
      </c>
      <c r="G1057" t="s">
        <v>38</v>
      </c>
      <c r="H1057">
        <v>1</v>
      </c>
      <c r="I1057">
        <v>5541</v>
      </c>
      <c r="J1057">
        <v>10</v>
      </c>
      <c r="K1057">
        <v>554.1</v>
      </c>
      <c r="L1057">
        <v>4986.8999999999996</v>
      </c>
      <c r="M1057">
        <v>3397.57</v>
      </c>
      <c r="N1057">
        <v>1589.33</v>
      </c>
      <c r="O1057" t="s">
        <v>91</v>
      </c>
      <c r="P1057">
        <v>1494.99</v>
      </c>
      <c r="Q1057" t="s">
        <v>30</v>
      </c>
      <c r="R1057" t="s">
        <v>41</v>
      </c>
      <c r="S1057">
        <v>2</v>
      </c>
      <c r="T1057">
        <v>1</v>
      </c>
      <c r="U1057" t="s">
        <v>32</v>
      </c>
      <c r="V1057" t="s">
        <v>33</v>
      </c>
      <c r="W1057">
        <v>3</v>
      </c>
    </row>
    <row r="1058" spans="1:23" x14ac:dyDescent="0.25">
      <c r="A1058" t="s">
        <v>1639</v>
      </c>
      <c r="B1058" s="1">
        <v>45836</v>
      </c>
      <c r="C1058" t="s">
        <v>587</v>
      </c>
      <c r="D1058" t="s">
        <v>90</v>
      </c>
      <c r="E1058" t="s">
        <v>46</v>
      </c>
      <c r="F1058" t="s">
        <v>86</v>
      </c>
      <c r="G1058" t="s">
        <v>127</v>
      </c>
      <c r="H1058">
        <v>3</v>
      </c>
      <c r="I1058">
        <v>46130</v>
      </c>
      <c r="J1058">
        <v>15</v>
      </c>
      <c r="K1058">
        <v>20758.5</v>
      </c>
      <c r="L1058">
        <v>117631.5</v>
      </c>
      <c r="M1058">
        <v>80463.61</v>
      </c>
      <c r="N1058">
        <v>37167.89</v>
      </c>
      <c r="O1058" t="s">
        <v>55</v>
      </c>
      <c r="P1058">
        <v>1235.32</v>
      </c>
      <c r="Q1058" t="s">
        <v>73</v>
      </c>
      <c r="R1058" t="s">
        <v>41</v>
      </c>
      <c r="S1058">
        <v>2</v>
      </c>
      <c r="T1058">
        <v>1</v>
      </c>
      <c r="U1058" t="s">
        <v>32</v>
      </c>
      <c r="V1058" t="s">
        <v>33</v>
      </c>
      <c r="W1058">
        <v>5</v>
      </c>
    </row>
    <row r="1059" spans="1:23" x14ac:dyDescent="0.25">
      <c r="A1059" t="s">
        <v>1640</v>
      </c>
      <c r="B1059" s="1">
        <v>45867</v>
      </c>
      <c r="C1059" t="s">
        <v>89</v>
      </c>
      <c r="D1059" t="s">
        <v>71</v>
      </c>
      <c r="E1059" t="s">
        <v>46</v>
      </c>
      <c r="F1059" t="s">
        <v>53</v>
      </c>
      <c r="G1059" t="s">
        <v>54</v>
      </c>
      <c r="H1059">
        <v>4</v>
      </c>
      <c r="I1059">
        <v>42676</v>
      </c>
      <c r="J1059">
        <v>5</v>
      </c>
      <c r="K1059">
        <v>8535.2000000000007</v>
      </c>
      <c r="L1059">
        <v>162168.79999999999</v>
      </c>
      <c r="M1059">
        <v>104649.29</v>
      </c>
      <c r="N1059">
        <v>57519.51</v>
      </c>
      <c r="O1059" t="s">
        <v>39</v>
      </c>
      <c r="P1059">
        <v>286.56</v>
      </c>
      <c r="Q1059" t="s">
        <v>30</v>
      </c>
      <c r="R1059" t="s">
        <v>31</v>
      </c>
      <c r="S1059">
        <v>5</v>
      </c>
      <c r="T1059">
        <v>3</v>
      </c>
      <c r="U1059" t="s">
        <v>32</v>
      </c>
      <c r="V1059" t="s">
        <v>50</v>
      </c>
      <c r="W1059">
        <v>2</v>
      </c>
    </row>
    <row r="1060" spans="1:23" x14ac:dyDescent="0.25">
      <c r="A1060" t="s">
        <v>1641</v>
      </c>
      <c r="B1060" s="1">
        <v>45828</v>
      </c>
      <c r="C1060" t="s">
        <v>282</v>
      </c>
      <c r="D1060" t="s">
        <v>45</v>
      </c>
      <c r="E1060" t="s">
        <v>36</v>
      </c>
      <c r="F1060" t="s">
        <v>86</v>
      </c>
      <c r="G1060" t="s">
        <v>110</v>
      </c>
      <c r="H1060">
        <v>1</v>
      </c>
      <c r="I1060">
        <v>80112</v>
      </c>
      <c r="J1060">
        <v>0</v>
      </c>
      <c r="K1060">
        <v>0</v>
      </c>
      <c r="L1060">
        <v>80112</v>
      </c>
      <c r="M1060">
        <v>56375.91</v>
      </c>
      <c r="N1060">
        <v>23736.09</v>
      </c>
      <c r="O1060" t="s">
        <v>91</v>
      </c>
      <c r="P1060">
        <v>673.54</v>
      </c>
      <c r="Q1060" t="s">
        <v>73</v>
      </c>
      <c r="R1060" t="s">
        <v>31</v>
      </c>
      <c r="S1060">
        <v>5</v>
      </c>
      <c r="T1060">
        <v>6</v>
      </c>
      <c r="U1060" t="s">
        <v>56</v>
      </c>
      <c r="V1060" t="s">
        <v>33</v>
      </c>
      <c r="W1060">
        <v>3</v>
      </c>
    </row>
    <row r="1061" spans="1:23" x14ac:dyDescent="0.25">
      <c r="A1061" t="s">
        <v>1642</v>
      </c>
      <c r="B1061" s="1">
        <v>45822</v>
      </c>
      <c r="C1061" t="s">
        <v>546</v>
      </c>
      <c r="D1061" t="s">
        <v>154</v>
      </c>
      <c r="E1061" t="s">
        <v>46</v>
      </c>
      <c r="F1061" t="s">
        <v>37</v>
      </c>
      <c r="G1061" t="s">
        <v>100</v>
      </c>
      <c r="H1061">
        <v>1</v>
      </c>
      <c r="I1061">
        <v>17524</v>
      </c>
      <c r="J1061">
        <v>15</v>
      </c>
      <c r="K1061">
        <v>2628.6</v>
      </c>
      <c r="L1061">
        <v>14895.4</v>
      </c>
      <c r="M1061">
        <v>9397.83</v>
      </c>
      <c r="N1061">
        <v>5497.57</v>
      </c>
      <c r="O1061" t="s">
        <v>39</v>
      </c>
      <c r="P1061">
        <v>866.96</v>
      </c>
      <c r="Q1061" t="s">
        <v>40</v>
      </c>
      <c r="R1061" t="s">
        <v>41</v>
      </c>
      <c r="S1061">
        <v>2</v>
      </c>
      <c r="T1061">
        <v>1</v>
      </c>
      <c r="U1061" t="s">
        <v>32</v>
      </c>
      <c r="V1061" t="s">
        <v>33</v>
      </c>
      <c r="W1061">
        <v>5</v>
      </c>
    </row>
    <row r="1062" spans="1:23" x14ac:dyDescent="0.25">
      <c r="A1062" t="s">
        <v>1643</v>
      </c>
      <c r="B1062" s="1">
        <v>46001</v>
      </c>
      <c r="C1062" t="s">
        <v>185</v>
      </c>
      <c r="D1062" t="s">
        <v>25</v>
      </c>
      <c r="E1062" t="s">
        <v>46</v>
      </c>
      <c r="F1062" t="s">
        <v>37</v>
      </c>
      <c r="G1062" t="s">
        <v>38</v>
      </c>
      <c r="H1062">
        <v>3</v>
      </c>
      <c r="I1062">
        <v>23564</v>
      </c>
      <c r="J1062">
        <v>10</v>
      </c>
      <c r="K1062">
        <v>7069.2</v>
      </c>
      <c r="L1062">
        <v>63622.8</v>
      </c>
      <c r="M1062">
        <v>47940.05</v>
      </c>
      <c r="N1062">
        <v>15682.75</v>
      </c>
      <c r="O1062" t="s">
        <v>29</v>
      </c>
      <c r="P1062">
        <v>1830.78</v>
      </c>
      <c r="Q1062" t="s">
        <v>83</v>
      </c>
      <c r="R1062" t="s">
        <v>31</v>
      </c>
      <c r="S1062">
        <v>5</v>
      </c>
      <c r="T1062">
        <v>6</v>
      </c>
      <c r="U1062" t="s">
        <v>56</v>
      </c>
      <c r="V1062" t="s">
        <v>33</v>
      </c>
      <c r="W1062">
        <v>3</v>
      </c>
    </row>
    <row r="1063" spans="1:23" x14ac:dyDescent="0.25">
      <c r="A1063" t="s">
        <v>1644</v>
      </c>
      <c r="B1063" s="1">
        <v>45711</v>
      </c>
      <c r="C1063" t="s">
        <v>1358</v>
      </c>
      <c r="D1063" t="s">
        <v>71</v>
      </c>
      <c r="E1063" t="s">
        <v>36</v>
      </c>
      <c r="F1063" t="s">
        <v>86</v>
      </c>
      <c r="G1063" t="s">
        <v>110</v>
      </c>
      <c r="H1063">
        <v>2</v>
      </c>
      <c r="I1063">
        <v>37779</v>
      </c>
      <c r="J1063">
        <v>10</v>
      </c>
      <c r="K1063">
        <v>7555.8</v>
      </c>
      <c r="L1063">
        <v>68002.2</v>
      </c>
      <c r="M1063">
        <v>48019.5</v>
      </c>
      <c r="N1063">
        <v>19982.7</v>
      </c>
      <c r="O1063" t="s">
        <v>29</v>
      </c>
      <c r="P1063">
        <v>2226.11</v>
      </c>
      <c r="Q1063" t="s">
        <v>30</v>
      </c>
      <c r="R1063" t="s">
        <v>31</v>
      </c>
      <c r="S1063">
        <v>5</v>
      </c>
      <c r="T1063">
        <v>1</v>
      </c>
      <c r="U1063" t="s">
        <v>32</v>
      </c>
      <c r="V1063" t="s">
        <v>33</v>
      </c>
      <c r="W1063">
        <v>5</v>
      </c>
    </row>
    <row r="1064" spans="1:23" x14ac:dyDescent="0.25">
      <c r="A1064" t="s">
        <v>1645</v>
      </c>
      <c r="B1064" s="1">
        <v>45740</v>
      </c>
      <c r="C1064" t="s">
        <v>1411</v>
      </c>
      <c r="D1064" t="s">
        <v>97</v>
      </c>
      <c r="E1064" t="s">
        <v>46</v>
      </c>
      <c r="F1064" t="s">
        <v>86</v>
      </c>
      <c r="G1064" t="s">
        <v>180</v>
      </c>
      <c r="H1064">
        <v>1</v>
      </c>
      <c r="I1064">
        <v>61067</v>
      </c>
      <c r="J1064">
        <v>5</v>
      </c>
      <c r="K1064">
        <v>3053.35</v>
      </c>
      <c r="L1064">
        <v>58013.65</v>
      </c>
      <c r="M1064">
        <v>47388.35</v>
      </c>
      <c r="N1064">
        <v>10625.3</v>
      </c>
      <c r="O1064" t="s">
        <v>91</v>
      </c>
      <c r="P1064">
        <v>562.69000000000005</v>
      </c>
      <c r="Q1064" t="s">
        <v>83</v>
      </c>
      <c r="R1064" t="s">
        <v>41</v>
      </c>
      <c r="S1064">
        <v>2</v>
      </c>
      <c r="T1064">
        <v>0</v>
      </c>
      <c r="U1064" t="s">
        <v>32</v>
      </c>
      <c r="V1064" t="s">
        <v>50</v>
      </c>
      <c r="W1064">
        <v>2</v>
      </c>
    </row>
    <row r="1065" spans="1:23" x14ac:dyDescent="0.25">
      <c r="A1065" t="s">
        <v>1646</v>
      </c>
      <c r="B1065" s="1">
        <v>45826</v>
      </c>
      <c r="C1065" t="s">
        <v>990</v>
      </c>
      <c r="D1065" t="s">
        <v>90</v>
      </c>
      <c r="E1065" t="s">
        <v>46</v>
      </c>
      <c r="F1065" t="s">
        <v>37</v>
      </c>
      <c r="G1065" t="s">
        <v>100</v>
      </c>
      <c r="H1065">
        <v>3</v>
      </c>
      <c r="I1065">
        <v>23749</v>
      </c>
      <c r="J1065">
        <v>25</v>
      </c>
      <c r="K1065">
        <v>17811.75</v>
      </c>
      <c r="L1065">
        <v>53435.25</v>
      </c>
      <c r="M1065">
        <v>34406.519999999997</v>
      </c>
      <c r="N1065">
        <v>19028.73</v>
      </c>
      <c r="O1065" t="s">
        <v>49</v>
      </c>
      <c r="P1065">
        <v>201.51</v>
      </c>
      <c r="Q1065" t="s">
        <v>40</v>
      </c>
      <c r="R1065" t="s">
        <v>41</v>
      </c>
      <c r="S1065">
        <v>2</v>
      </c>
      <c r="T1065">
        <v>1</v>
      </c>
      <c r="U1065" t="s">
        <v>32</v>
      </c>
      <c r="V1065" t="s">
        <v>33</v>
      </c>
      <c r="W1065">
        <v>3</v>
      </c>
    </row>
    <row r="1066" spans="1:23" x14ac:dyDescent="0.25">
      <c r="A1066" t="s">
        <v>1647</v>
      </c>
      <c r="B1066" s="1">
        <v>45868</v>
      </c>
      <c r="C1066" t="s">
        <v>1648</v>
      </c>
      <c r="D1066" t="s">
        <v>124</v>
      </c>
      <c r="E1066" t="s">
        <v>46</v>
      </c>
      <c r="F1066" t="s">
        <v>47</v>
      </c>
      <c r="G1066" t="s">
        <v>146</v>
      </c>
      <c r="H1066">
        <v>1</v>
      </c>
      <c r="I1066">
        <v>26948</v>
      </c>
      <c r="J1066">
        <v>5</v>
      </c>
      <c r="K1066">
        <v>1347.4</v>
      </c>
      <c r="L1066">
        <v>25600.6</v>
      </c>
      <c r="M1066">
        <v>17996.580000000002</v>
      </c>
      <c r="N1066">
        <v>7604.02</v>
      </c>
      <c r="O1066" t="s">
        <v>55</v>
      </c>
      <c r="P1066">
        <v>2211.6799999999998</v>
      </c>
      <c r="Q1066" t="s">
        <v>83</v>
      </c>
      <c r="R1066" t="s">
        <v>31</v>
      </c>
      <c r="S1066">
        <v>5</v>
      </c>
      <c r="T1066">
        <v>4</v>
      </c>
      <c r="U1066" t="s">
        <v>32</v>
      </c>
      <c r="V1066" t="s">
        <v>33</v>
      </c>
      <c r="W1066">
        <v>5</v>
      </c>
    </row>
    <row r="1067" spans="1:23" x14ac:dyDescent="0.25">
      <c r="A1067" t="s">
        <v>1649</v>
      </c>
      <c r="B1067" s="1">
        <v>46013</v>
      </c>
      <c r="C1067" t="s">
        <v>1538</v>
      </c>
      <c r="D1067" t="s">
        <v>67</v>
      </c>
      <c r="E1067" t="s">
        <v>36</v>
      </c>
      <c r="F1067" t="s">
        <v>47</v>
      </c>
      <c r="G1067" t="s">
        <v>138</v>
      </c>
      <c r="H1067">
        <v>3</v>
      </c>
      <c r="I1067">
        <v>53332</v>
      </c>
      <c r="J1067">
        <v>10</v>
      </c>
      <c r="K1067">
        <v>15999.6</v>
      </c>
      <c r="L1067">
        <v>143996.4</v>
      </c>
      <c r="M1067">
        <v>101839.23</v>
      </c>
      <c r="N1067">
        <v>42157.17</v>
      </c>
      <c r="O1067" t="s">
        <v>39</v>
      </c>
      <c r="P1067">
        <v>2361.8200000000002</v>
      </c>
      <c r="Q1067" t="s">
        <v>83</v>
      </c>
      <c r="R1067" t="s">
        <v>41</v>
      </c>
      <c r="S1067">
        <v>2</v>
      </c>
      <c r="T1067">
        <v>0</v>
      </c>
      <c r="U1067" t="s">
        <v>32</v>
      </c>
      <c r="V1067" t="s">
        <v>50</v>
      </c>
      <c r="W1067">
        <v>5</v>
      </c>
    </row>
    <row r="1068" spans="1:23" x14ac:dyDescent="0.25">
      <c r="A1068" t="s">
        <v>1650</v>
      </c>
      <c r="B1068" s="1">
        <v>45911</v>
      </c>
      <c r="C1068" t="s">
        <v>233</v>
      </c>
      <c r="D1068" t="s">
        <v>79</v>
      </c>
      <c r="E1068" t="s">
        <v>26</v>
      </c>
      <c r="F1068" t="s">
        <v>37</v>
      </c>
      <c r="G1068" t="s">
        <v>38</v>
      </c>
      <c r="H1068">
        <v>2</v>
      </c>
      <c r="I1068">
        <v>29420</v>
      </c>
      <c r="J1068">
        <v>5</v>
      </c>
      <c r="K1068">
        <v>2942</v>
      </c>
      <c r="L1068">
        <v>55898</v>
      </c>
      <c r="M1068">
        <v>32021.360000000001</v>
      </c>
      <c r="N1068">
        <v>23876.639999999999</v>
      </c>
      <c r="O1068" t="s">
        <v>39</v>
      </c>
      <c r="P1068">
        <v>2235.54</v>
      </c>
      <c r="Q1068" t="s">
        <v>73</v>
      </c>
      <c r="R1068" t="s">
        <v>41</v>
      </c>
      <c r="S1068">
        <v>2</v>
      </c>
      <c r="T1068">
        <v>1</v>
      </c>
      <c r="U1068" t="s">
        <v>32</v>
      </c>
      <c r="V1068" t="s">
        <v>33</v>
      </c>
      <c r="W1068">
        <v>1</v>
      </c>
    </row>
    <row r="1069" spans="1:23" x14ac:dyDescent="0.25">
      <c r="A1069" t="s">
        <v>1651</v>
      </c>
      <c r="B1069" s="1">
        <v>45805</v>
      </c>
      <c r="C1069" t="s">
        <v>1195</v>
      </c>
      <c r="D1069" t="s">
        <v>154</v>
      </c>
      <c r="E1069" t="s">
        <v>26</v>
      </c>
      <c r="F1069" t="s">
        <v>47</v>
      </c>
      <c r="G1069" t="s">
        <v>146</v>
      </c>
      <c r="H1069">
        <v>1</v>
      </c>
      <c r="I1069">
        <v>19773</v>
      </c>
      <c r="J1069">
        <v>0</v>
      </c>
      <c r="K1069">
        <v>0</v>
      </c>
      <c r="L1069">
        <v>19773</v>
      </c>
      <c r="M1069">
        <v>12290.57</v>
      </c>
      <c r="N1069">
        <v>7482.43</v>
      </c>
      <c r="O1069" t="s">
        <v>49</v>
      </c>
      <c r="P1069">
        <v>185.57</v>
      </c>
      <c r="Q1069" t="s">
        <v>30</v>
      </c>
      <c r="R1069" t="s">
        <v>31</v>
      </c>
      <c r="S1069">
        <v>5</v>
      </c>
      <c r="T1069">
        <v>7</v>
      </c>
      <c r="U1069" t="s">
        <v>56</v>
      </c>
      <c r="V1069" t="s">
        <v>33</v>
      </c>
      <c r="W1069">
        <v>1</v>
      </c>
    </row>
    <row r="1070" spans="1:23" x14ac:dyDescent="0.25">
      <c r="A1070" t="s">
        <v>1652</v>
      </c>
      <c r="B1070" s="1">
        <v>45997</v>
      </c>
      <c r="C1070" t="s">
        <v>341</v>
      </c>
      <c r="D1070" t="s">
        <v>71</v>
      </c>
      <c r="E1070" t="s">
        <v>36</v>
      </c>
      <c r="F1070" t="s">
        <v>37</v>
      </c>
      <c r="G1070" t="s">
        <v>100</v>
      </c>
      <c r="H1070">
        <v>1</v>
      </c>
      <c r="I1070">
        <v>13231</v>
      </c>
      <c r="J1070">
        <v>10</v>
      </c>
      <c r="K1070">
        <v>1323.1</v>
      </c>
      <c r="L1070">
        <v>11907.9</v>
      </c>
      <c r="M1070">
        <v>7775.69</v>
      </c>
      <c r="N1070">
        <v>4132.21</v>
      </c>
      <c r="O1070" t="s">
        <v>29</v>
      </c>
      <c r="P1070">
        <v>2238.08</v>
      </c>
      <c r="Q1070" t="s">
        <v>83</v>
      </c>
      <c r="R1070" t="s">
        <v>31</v>
      </c>
      <c r="S1070">
        <v>5</v>
      </c>
      <c r="T1070">
        <v>1</v>
      </c>
      <c r="U1070" t="s">
        <v>32</v>
      </c>
      <c r="V1070" t="s">
        <v>42</v>
      </c>
    </row>
    <row r="1071" spans="1:23" x14ac:dyDescent="0.25">
      <c r="A1071" t="s">
        <v>1653</v>
      </c>
      <c r="B1071" s="1">
        <v>45863</v>
      </c>
      <c r="C1071" t="s">
        <v>1654</v>
      </c>
      <c r="D1071" t="s">
        <v>79</v>
      </c>
      <c r="E1071" t="s">
        <v>46</v>
      </c>
      <c r="F1071" t="s">
        <v>27</v>
      </c>
      <c r="G1071" t="s">
        <v>113</v>
      </c>
      <c r="H1071">
        <v>4</v>
      </c>
      <c r="I1071">
        <v>5415</v>
      </c>
      <c r="J1071">
        <v>5</v>
      </c>
      <c r="K1071">
        <v>1083</v>
      </c>
      <c r="L1071">
        <v>20577</v>
      </c>
      <c r="M1071">
        <v>14298.37</v>
      </c>
      <c r="N1071">
        <v>6278.63</v>
      </c>
      <c r="O1071" t="s">
        <v>60</v>
      </c>
      <c r="P1071">
        <v>572.57000000000005</v>
      </c>
      <c r="Q1071" t="s">
        <v>40</v>
      </c>
      <c r="R1071" t="s">
        <v>31</v>
      </c>
      <c r="S1071">
        <v>5</v>
      </c>
      <c r="T1071">
        <v>5</v>
      </c>
      <c r="U1071" t="s">
        <v>32</v>
      </c>
      <c r="V1071" t="s">
        <v>33</v>
      </c>
      <c r="W1071">
        <v>2</v>
      </c>
    </row>
    <row r="1072" spans="1:23" x14ac:dyDescent="0.25">
      <c r="A1072" t="s">
        <v>1655</v>
      </c>
      <c r="B1072" s="1">
        <v>45939</v>
      </c>
      <c r="C1072" t="s">
        <v>706</v>
      </c>
      <c r="D1072" t="s">
        <v>71</v>
      </c>
      <c r="E1072" t="s">
        <v>46</v>
      </c>
      <c r="F1072" t="s">
        <v>37</v>
      </c>
      <c r="G1072" t="s">
        <v>313</v>
      </c>
      <c r="H1072">
        <v>2</v>
      </c>
      <c r="I1072">
        <v>12747</v>
      </c>
      <c r="J1072">
        <v>25</v>
      </c>
      <c r="K1072">
        <v>6373.5</v>
      </c>
      <c r="L1072">
        <v>19120.5</v>
      </c>
      <c r="M1072">
        <v>15647.92</v>
      </c>
      <c r="N1072">
        <v>3472.58</v>
      </c>
      <c r="O1072" t="s">
        <v>39</v>
      </c>
      <c r="P1072">
        <v>513.47</v>
      </c>
      <c r="Q1072" t="s">
        <v>68</v>
      </c>
      <c r="R1072" t="s">
        <v>31</v>
      </c>
      <c r="S1072">
        <v>5</v>
      </c>
      <c r="T1072">
        <v>0</v>
      </c>
      <c r="U1072" t="s">
        <v>32</v>
      </c>
      <c r="V1072" t="s">
        <v>42</v>
      </c>
    </row>
    <row r="1073" spans="1:23" x14ac:dyDescent="0.25">
      <c r="A1073" t="s">
        <v>1656</v>
      </c>
      <c r="B1073" s="1">
        <v>45676</v>
      </c>
      <c r="C1073" t="s">
        <v>993</v>
      </c>
      <c r="D1073" t="s">
        <v>79</v>
      </c>
      <c r="E1073" t="s">
        <v>46</v>
      </c>
      <c r="F1073" t="s">
        <v>86</v>
      </c>
      <c r="G1073" t="s">
        <v>127</v>
      </c>
      <c r="H1073">
        <v>1</v>
      </c>
      <c r="I1073">
        <v>31856</v>
      </c>
      <c r="J1073">
        <v>20</v>
      </c>
      <c r="K1073">
        <v>6371.2</v>
      </c>
      <c r="L1073">
        <v>25484.799999999999</v>
      </c>
      <c r="M1073">
        <v>17050.93</v>
      </c>
      <c r="N1073">
        <v>8433.8700000000008</v>
      </c>
      <c r="O1073" t="s">
        <v>91</v>
      </c>
      <c r="P1073">
        <v>2001.62</v>
      </c>
      <c r="Q1073" t="s">
        <v>73</v>
      </c>
      <c r="R1073" t="s">
        <v>31</v>
      </c>
      <c r="S1073">
        <v>5</v>
      </c>
      <c r="T1073">
        <v>5</v>
      </c>
      <c r="U1073" t="s">
        <v>32</v>
      </c>
      <c r="V1073" t="s">
        <v>50</v>
      </c>
      <c r="W1073">
        <v>4</v>
      </c>
    </row>
    <row r="1074" spans="1:23" x14ac:dyDescent="0.25">
      <c r="A1074" t="s">
        <v>1657</v>
      </c>
      <c r="B1074" s="1">
        <v>45890</v>
      </c>
      <c r="C1074" t="s">
        <v>1332</v>
      </c>
      <c r="D1074" t="s">
        <v>154</v>
      </c>
      <c r="E1074" t="s">
        <v>26</v>
      </c>
      <c r="F1074" t="s">
        <v>53</v>
      </c>
      <c r="G1074" t="s">
        <v>54</v>
      </c>
      <c r="H1074">
        <v>1</v>
      </c>
      <c r="I1074">
        <v>115670</v>
      </c>
      <c r="J1074">
        <v>0</v>
      </c>
      <c r="K1074">
        <v>0</v>
      </c>
      <c r="L1074">
        <v>115670</v>
      </c>
      <c r="M1074">
        <v>72300.5</v>
      </c>
      <c r="N1074">
        <v>43369.5</v>
      </c>
      <c r="O1074" t="s">
        <v>60</v>
      </c>
      <c r="P1074">
        <v>379.96</v>
      </c>
      <c r="Q1074" t="s">
        <v>68</v>
      </c>
      <c r="R1074" t="s">
        <v>31</v>
      </c>
      <c r="S1074">
        <v>5</v>
      </c>
      <c r="T1074">
        <v>5</v>
      </c>
      <c r="U1074" t="s">
        <v>32</v>
      </c>
      <c r="V1074" t="s">
        <v>33</v>
      </c>
      <c r="W1074">
        <v>1</v>
      </c>
    </row>
    <row r="1075" spans="1:23" x14ac:dyDescent="0.25">
      <c r="A1075" t="s">
        <v>1658</v>
      </c>
      <c r="B1075" s="1">
        <v>45703</v>
      </c>
      <c r="C1075" t="s">
        <v>478</v>
      </c>
      <c r="D1075" t="s">
        <v>63</v>
      </c>
      <c r="E1075" t="s">
        <v>46</v>
      </c>
      <c r="F1075" t="s">
        <v>47</v>
      </c>
      <c r="G1075" t="s">
        <v>64</v>
      </c>
      <c r="H1075">
        <v>1</v>
      </c>
      <c r="I1075">
        <v>53972</v>
      </c>
      <c r="J1075">
        <v>25</v>
      </c>
      <c r="K1075">
        <v>13493</v>
      </c>
      <c r="L1075">
        <v>40479</v>
      </c>
      <c r="M1075">
        <v>25498.59</v>
      </c>
      <c r="N1075">
        <v>14980.41</v>
      </c>
      <c r="O1075" t="s">
        <v>60</v>
      </c>
      <c r="P1075">
        <v>1244.7</v>
      </c>
      <c r="Q1075" t="s">
        <v>68</v>
      </c>
      <c r="R1075" t="s">
        <v>31</v>
      </c>
      <c r="S1075">
        <v>5</v>
      </c>
      <c r="T1075">
        <v>2</v>
      </c>
      <c r="U1075" t="s">
        <v>32</v>
      </c>
      <c r="V1075" t="s">
        <v>33</v>
      </c>
      <c r="W1075">
        <v>1</v>
      </c>
    </row>
    <row r="1076" spans="1:23" x14ac:dyDescent="0.25">
      <c r="A1076" t="s">
        <v>1659</v>
      </c>
      <c r="B1076" s="1">
        <v>45819</v>
      </c>
      <c r="C1076" t="s">
        <v>717</v>
      </c>
      <c r="D1076" t="s">
        <v>90</v>
      </c>
      <c r="E1076" t="s">
        <v>46</v>
      </c>
      <c r="F1076" t="s">
        <v>47</v>
      </c>
      <c r="G1076" t="s">
        <v>146</v>
      </c>
      <c r="H1076">
        <v>2</v>
      </c>
      <c r="I1076">
        <v>34104</v>
      </c>
      <c r="J1076">
        <v>20</v>
      </c>
      <c r="K1076">
        <v>13641.6</v>
      </c>
      <c r="L1076">
        <v>54566.400000000001</v>
      </c>
      <c r="M1076">
        <v>40761.360000000001</v>
      </c>
      <c r="N1076">
        <v>13805.04</v>
      </c>
      <c r="O1076" t="s">
        <v>39</v>
      </c>
      <c r="P1076">
        <v>1662.94</v>
      </c>
      <c r="Q1076" t="s">
        <v>30</v>
      </c>
      <c r="R1076" t="s">
        <v>41</v>
      </c>
      <c r="S1076">
        <v>2</v>
      </c>
      <c r="T1076">
        <v>3</v>
      </c>
      <c r="U1076" t="s">
        <v>56</v>
      </c>
      <c r="V1076" t="s">
        <v>33</v>
      </c>
      <c r="W1076">
        <v>5</v>
      </c>
    </row>
    <row r="1077" spans="1:23" x14ac:dyDescent="0.25">
      <c r="A1077" t="s">
        <v>1660</v>
      </c>
      <c r="B1077" s="1">
        <v>45787</v>
      </c>
      <c r="C1077" t="s">
        <v>487</v>
      </c>
      <c r="D1077" t="s">
        <v>79</v>
      </c>
      <c r="E1077" t="s">
        <v>26</v>
      </c>
      <c r="F1077" t="s">
        <v>86</v>
      </c>
      <c r="G1077" t="s">
        <v>94</v>
      </c>
      <c r="H1077">
        <v>2</v>
      </c>
      <c r="I1077">
        <v>12559</v>
      </c>
      <c r="J1077">
        <v>25</v>
      </c>
      <c r="K1077">
        <v>6279.5</v>
      </c>
      <c r="L1077">
        <v>18838.5</v>
      </c>
      <c r="M1077">
        <v>11517.77</v>
      </c>
      <c r="N1077">
        <v>7320.73</v>
      </c>
      <c r="O1077" t="s">
        <v>29</v>
      </c>
      <c r="P1077">
        <v>1758.57</v>
      </c>
      <c r="Q1077" t="s">
        <v>68</v>
      </c>
      <c r="R1077" t="s">
        <v>31</v>
      </c>
      <c r="S1077">
        <v>5</v>
      </c>
      <c r="T1077">
        <v>4</v>
      </c>
      <c r="U1077" t="s">
        <v>32</v>
      </c>
      <c r="V1077" t="s">
        <v>33</v>
      </c>
      <c r="W1077">
        <v>5</v>
      </c>
    </row>
    <row r="1078" spans="1:23" x14ac:dyDescent="0.25">
      <c r="A1078" t="s">
        <v>1661</v>
      </c>
      <c r="B1078" s="1">
        <v>45823</v>
      </c>
      <c r="C1078" t="s">
        <v>1451</v>
      </c>
      <c r="D1078" t="s">
        <v>154</v>
      </c>
      <c r="E1078" t="s">
        <v>46</v>
      </c>
      <c r="F1078" t="s">
        <v>86</v>
      </c>
      <c r="G1078" t="s">
        <v>110</v>
      </c>
      <c r="H1078">
        <v>1</v>
      </c>
      <c r="I1078">
        <v>50989</v>
      </c>
      <c r="J1078">
        <v>25</v>
      </c>
      <c r="K1078">
        <v>12747.25</v>
      </c>
      <c r="L1078">
        <v>38241.75</v>
      </c>
      <c r="M1078">
        <v>23942.080000000002</v>
      </c>
      <c r="N1078">
        <v>14299.67</v>
      </c>
      <c r="O1078" t="s">
        <v>91</v>
      </c>
      <c r="P1078">
        <v>1316.58</v>
      </c>
      <c r="Q1078" t="s">
        <v>68</v>
      </c>
      <c r="R1078" t="s">
        <v>31</v>
      </c>
      <c r="S1078">
        <v>5</v>
      </c>
      <c r="T1078">
        <v>1</v>
      </c>
      <c r="U1078" t="s">
        <v>32</v>
      </c>
      <c r="V1078" t="s">
        <v>33</v>
      </c>
      <c r="W1078">
        <v>2</v>
      </c>
    </row>
    <row r="1079" spans="1:23" x14ac:dyDescent="0.25">
      <c r="A1079" t="s">
        <v>1662</v>
      </c>
      <c r="B1079" s="1">
        <v>45717</v>
      </c>
      <c r="C1079" t="s">
        <v>1663</v>
      </c>
      <c r="D1079" t="s">
        <v>154</v>
      </c>
      <c r="E1079" t="s">
        <v>46</v>
      </c>
      <c r="F1079" t="s">
        <v>27</v>
      </c>
      <c r="G1079" t="s">
        <v>28</v>
      </c>
      <c r="H1079">
        <v>1</v>
      </c>
      <c r="I1079">
        <v>18504</v>
      </c>
      <c r="J1079">
        <v>0</v>
      </c>
      <c r="K1079">
        <v>0</v>
      </c>
      <c r="L1079">
        <v>18504</v>
      </c>
      <c r="M1079">
        <v>11354.81</v>
      </c>
      <c r="N1079">
        <v>7149.19</v>
      </c>
      <c r="O1079" t="s">
        <v>55</v>
      </c>
      <c r="P1079">
        <v>2311.89</v>
      </c>
      <c r="Q1079" t="s">
        <v>40</v>
      </c>
      <c r="R1079" t="s">
        <v>41</v>
      </c>
      <c r="S1079">
        <v>2</v>
      </c>
      <c r="T1079">
        <v>1</v>
      </c>
      <c r="U1079" t="s">
        <v>32</v>
      </c>
      <c r="V1079" t="s">
        <v>33</v>
      </c>
      <c r="W1079">
        <v>5</v>
      </c>
    </row>
    <row r="1080" spans="1:23" x14ac:dyDescent="0.25">
      <c r="A1080" t="s">
        <v>1664</v>
      </c>
      <c r="B1080" s="1">
        <v>45864</v>
      </c>
      <c r="C1080" t="s">
        <v>595</v>
      </c>
      <c r="D1080" t="s">
        <v>90</v>
      </c>
      <c r="E1080" t="s">
        <v>46</v>
      </c>
      <c r="F1080" t="s">
        <v>53</v>
      </c>
      <c r="G1080" t="s">
        <v>151</v>
      </c>
      <c r="H1080">
        <v>1</v>
      </c>
      <c r="I1080">
        <v>91480</v>
      </c>
      <c r="J1080">
        <v>0</v>
      </c>
      <c r="K1080">
        <v>0</v>
      </c>
      <c r="L1080">
        <v>91480</v>
      </c>
      <c r="M1080">
        <v>64831.360000000001</v>
      </c>
      <c r="N1080">
        <v>26648.639999999999</v>
      </c>
      <c r="O1080" t="s">
        <v>60</v>
      </c>
      <c r="P1080">
        <v>1016.41</v>
      </c>
      <c r="Q1080" t="s">
        <v>40</v>
      </c>
      <c r="R1080" t="s">
        <v>41</v>
      </c>
      <c r="S1080">
        <v>2</v>
      </c>
      <c r="T1080">
        <v>5</v>
      </c>
      <c r="U1080" t="s">
        <v>32</v>
      </c>
      <c r="V1080" t="s">
        <v>42</v>
      </c>
    </row>
    <row r="1081" spans="1:23" x14ac:dyDescent="0.25">
      <c r="A1081" t="s">
        <v>1665</v>
      </c>
      <c r="B1081" s="1">
        <v>45921</v>
      </c>
      <c r="C1081" t="s">
        <v>954</v>
      </c>
      <c r="E1081" t="s">
        <v>46</v>
      </c>
      <c r="F1081" t="s">
        <v>86</v>
      </c>
      <c r="G1081" t="s">
        <v>180</v>
      </c>
      <c r="H1081">
        <v>3</v>
      </c>
      <c r="I1081">
        <v>38738</v>
      </c>
      <c r="J1081">
        <v>0</v>
      </c>
      <c r="K1081">
        <v>0</v>
      </c>
      <c r="L1081">
        <v>116214</v>
      </c>
      <c r="M1081">
        <v>69049.53</v>
      </c>
      <c r="N1081">
        <v>47164.47</v>
      </c>
      <c r="O1081" t="s">
        <v>91</v>
      </c>
      <c r="P1081">
        <v>531.99</v>
      </c>
      <c r="Q1081" t="s">
        <v>30</v>
      </c>
      <c r="R1081" t="s">
        <v>41</v>
      </c>
      <c r="S1081">
        <v>2</v>
      </c>
      <c r="T1081">
        <v>3</v>
      </c>
      <c r="U1081" t="s">
        <v>56</v>
      </c>
      <c r="V1081" t="s">
        <v>33</v>
      </c>
      <c r="W1081">
        <v>2</v>
      </c>
    </row>
    <row r="1082" spans="1:23" x14ac:dyDescent="0.25">
      <c r="A1082" t="s">
        <v>1666</v>
      </c>
      <c r="B1082" s="1">
        <v>45658</v>
      </c>
      <c r="C1082" t="s">
        <v>1523</v>
      </c>
      <c r="D1082" t="s">
        <v>63</v>
      </c>
      <c r="E1082" t="s">
        <v>36</v>
      </c>
      <c r="F1082" t="s">
        <v>47</v>
      </c>
      <c r="G1082" t="s">
        <v>105</v>
      </c>
      <c r="H1082">
        <v>1</v>
      </c>
      <c r="I1082">
        <v>19799</v>
      </c>
      <c r="J1082">
        <v>5</v>
      </c>
      <c r="K1082">
        <v>989.95</v>
      </c>
      <c r="L1082">
        <v>18809.05</v>
      </c>
      <c r="M1082">
        <v>11372.63</v>
      </c>
      <c r="N1082">
        <v>7436.42</v>
      </c>
      <c r="O1082" t="s">
        <v>29</v>
      </c>
      <c r="P1082">
        <v>1218.48</v>
      </c>
      <c r="Q1082" t="s">
        <v>83</v>
      </c>
      <c r="R1082" t="s">
        <v>41</v>
      </c>
      <c r="S1082">
        <v>2</v>
      </c>
      <c r="T1082">
        <v>1</v>
      </c>
      <c r="U1082" t="s">
        <v>32</v>
      </c>
      <c r="V1082" t="s">
        <v>33</v>
      </c>
      <c r="W1082">
        <v>3</v>
      </c>
    </row>
    <row r="1083" spans="1:23" x14ac:dyDescent="0.25">
      <c r="A1083" t="s">
        <v>1667</v>
      </c>
      <c r="B1083" s="1">
        <v>45994</v>
      </c>
      <c r="C1083" t="s">
        <v>506</v>
      </c>
      <c r="D1083" t="s">
        <v>67</v>
      </c>
      <c r="E1083" t="s">
        <v>26</v>
      </c>
      <c r="F1083" t="s">
        <v>86</v>
      </c>
      <c r="G1083" t="s">
        <v>110</v>
      </c>
      <c r="H1083">
        <v>3</v>
      </c>
      <c r="I1083">
        <v>66899</v>
      </c>
      <c r="J1083">
        <v>0</v>
      </c>
      <c r="K1083">
        <v>0</v>
      </c>
      <c r="L1083">
        <v>200697</v>
      </c>
      <c r="M1083">
        <v>156995.01999999999</v>
      </c>
      <c r="N1083">
        <v>43701.98</v>
      </c>
      <c r="O1083" t="s">
        <v>29</v>
      </c>
      <c r="P1083">
        <v>1367.22</v>
      </c>
      <c r="Q1083" t="s">
        <v>73</v>
      </c>
      <c r="R1083" t="s">
        <v>41</v>
      </c>
      <c r="S1083">
        <v>2</v>
      </c>
      <c r="T1083">
        <v>6</v>
      </c>
      <c r="U1083" t="s">
        <v>32</v>
      </c>
      <c r="V1083" t="s">
        <v>42</v>
      </c>
    </row>
    <row r="1084" spans="1:23" x14ac:dyDescent="0.25">
      <c r="A1084" t="s">
        <v>1668</v>
      </c>
      <c r="B1084" s="1">
        <v>45935</v>
      </c>
      <c r="C1084" t="s">
        <v>123</v>
      </c>
      <c r="D1084" t="s">
        <v>124</v>
      </c>
      <c r="E1084" t="s">
        <v>46</v>
      </c>
      <c r="F1084" t="s">
        <v>53</v>
      </c>
      <c r="G1084" t="s">
        <v>82</v>
      </c>
      <c r="H1084">
        <v>1</v>
      </c>
      <c r="I1084">
        <v>101011</v>
      </c>
      <c r="J1084">
        <v>0</v>
      </c>
      <c r="K1084">
        <v>0</v>
      </c>
      <c r="L1084">
        <v>101011</v>
      </c>
      <c r="M1084">
        <v>81400.7</v>
      </c>
      <c r="N1084">
        <v>19610.3</v>
      </c>
      <c r="O1084" t="s">
        <v>49</v>
      </c>
      <c r="P1084">
        <v>154.93</v>
      </c>
      <c r="Q1084" t="s">
        <v>68</v>
      </c>
      <c r="R1084" t="s">
        <v>41</v>
      </c>
      <c r="S1084">
        <v>2</v>
      </c>
      <c r="T1084">
        <v>3</v>
      </c>
      <c r="U1084" t="s">
        <v>32</v>
      </c>
      <c r="V1084" t="s">
        <v>42</v>
      </c>
    </row>
    <row r="1085" spans="1:23" x14ac:dyDescent="0.25">
      <c r="A1085" t="s">
        <v>1669</v>
      </c>
      <c r="B1085" s="1">
        <v>45894</v>
      </c>
      <c r="C1085" t="s">
        <v>1138</v>
      </c>
      <c r="D1085" t="s">
        <v>25</v>
      </c>
      <c r="E1085" t="s">
        <v>46</v>
      </c>
      <c r="F1085" t="s">
        <v>27</v>
      </c>
      <c r="G1085" t="s">
        <v>113</v>
      </c>
      <c r="H1085">
        <v>1</v>
      </c>
      <c r="I1085">
        <v>6139</v>
      </c>
      <c r="J1085">
        <v>10</v>
      </c>
      <c r="K1085">
        <v>613.9</v>
      </c>
      <c r="L1085">
        <v>5525.1</v>
      </c>
      <c r="M1085">
        <v>3848.45</v>
      </c>
      <c r="N1085">
        <v>1676.65</v>
      </c>
      <c r="O1085" t="s">
        <v>91</v>
      </c>
      <c r="P1085">
        <v>1704.48</v>
      </c>
      <c r="Q1085" t="s">
        <v>40</v>
      </c>
      <c r="R1085" t="s">
        <v>31</v>
      </c>
      <c r="S1085">
        <v>5</v>
      </c>
      <c r="T1085">
        <v>9</v>
      </c>
      <c r="U1085" t="s">
        <v>56</v>
      </c>
      <c r="V1085" t="s">
        <v>33</v>
      </c>
      <c r="W1085">
        <v>1</v>
      </c>
    </row>
    <row r="1086" spans="1:23" x14ac:dyDescent="0.25">
      <c r="A1086" t="s">
        <v>1670</v>
      </c>
      <c r="B1086" s="1">
        <v>45869</v>
      </c>
      <c r="C1086" t="s">
        <v>1654</v>
      </c>
      <c r="D1086" t="s">
        <v>79</v>
      </c>
      <c r="E1086" t="s">
        <v>46</v>
      </c>
      <c r="F1086" t="s">
        <v>47</v>
      </c>
      <c r="G1086" t="s">
        <v>146</v>
      </c>
      <c r="H1086">
        <v>3</v>
      </c>
      <c r="I1086">
        <v>33903</v>
      </c>
      <c r="J1086">
        <v>10</v>
      </c>
      <c r="K1086">
        <v>10170.9</v>
      </c>
      <c r="L1086">
        <v>91538.1</v>
      </c>
      <c r="M1086">
        <v>58151.16</v>
      </c>
      <c r="N1086">
        <v>33386.94</v>
      </c>
      <c r="O1086" t="s">
        <v>55</v>
      </c>
      <c r="P1086">
        <v>762.04</v>
      </c>
      <c r="Q1086" t="s">
        <v>68</v>
      </c>
      <c r="R1086" t="s">
        <v>41</v>
      </c>
      <c r="S1086">
        <v>2</v>
      </c>
      <c r="T1086">
        <v>1</v>
      </c>
      <c r="U1086" t="s">
        <v>32</v>
      </c>
      <c r="V1086" t="s">
        <v>50</v>
      </c>
      <c r="W1086">
        <v>4</v>
      </c>
    </row>
    <row r="1087" spans="1:23" x14ac:dyDescent="0.25">
      <c r="A1087" t="s">
        <v>1671</v>
      </c>
      <c r="B1087" s="1">
        <v>45685</v>
      </c>
      <c r="C1087" t="s">
        <v>1186</v>
      </c>
      <c r="D1087" t="s">
        <v>154</v>
      </c>
      <c r="E1087" t="s">
        <v>46</v>
      </c>
      <c r="F1087" t="s">
        <v>27</v>
      </c>
      <c r="G1087" t="s">
        <v>76</v>
      </c>
      <c r="H1087">
        <v>1</v>
      </c>
      <c r="I1087">
        <v>4386</v>
      </c>
      <c r="J1087">
        <v>0</v>
      </c>
      <c r="K1087">
        <v>0</v>
      </c>
      <c r="L1087">
        <v>4386</v>
      </c>
      <c r="M1087">
        <v>2642.67</v>
      </c>
      <c r="N1087">
        <v>1743.33</v>
      </c>
      <c r="O1087" t="s">
        <v>55</v>
      </c>
      <c r="P1087">
        <v>1438.11</v>
      </c>
      <c r="Q1087" t="s">
        <v>83</v>
      </c>
      <c r="R1087" t="s">
        <v>31</v>
      </c>
      <c r="S1087">
        <v>5</v>
      </c>
      <c r="T1087">
        <v>1</v>
      </c>
      <c r="U1087" t="s">
        <v>32</v>
      </c>
      <c r="V1087" t="s">
        <v>50</v>
      </c>
      <c r="W1087">
        <v>5</v>
      </c>
    </row>
    <row r="1088" spans="1:23" x14ac:dyDescent="0.25">
      <c r="A1088" t="s">
        <v>1672</v>
      </c>
      <c r="B1088" s="1">
        <v>45754</v>
      </c>
      <c r="C1088" t="s">
        <v>993</v>
      </c>
      <c r="D1088" t="s">
        <v>97</v>
      </c>
      <c r="E1088" t="s">
        <v>26</v>
      </c>
      <c r="F1088" t="s">
        <v>53</v>
      </c>
      <c r="G1088" t="s">
        <v>59</v>
      </c>
      <c r="H1088">
        <v>1</v>
      </c>
      <c r="I1088">
        <v>116337</v>
      </c>
      <c r="J1088">
        <v>0</v>
      </c>
      <c r="K1088">
        <v>0</v>
      </c>
      <c r="L1088">
        <v>116337</v>
      </c>
      <c r="M1088">
        <v>93818.15</v>
      </c>
      <c r="N1088">
        <v>22518.85</v>
      </c>
      <c r="O1088" t="s">
        <v>91</v>
      </c>
      <c r="P1088">
        <v>1923.12</v>
      </c>
      <c r="Q1088" t="s">
        <v>40</v>
      </c>
      <c r="R1088" t="s">
        <v>31</v>
      </c>
      <c r="S1088">
        <v>5</v>
      </c>
      <c r="T1088">
        <v>7</v>
      </c>
      <c r="U1088" t="s">
        <v>56</v>
      </c>
      <c r="V1088" t="s">
        <v>33</v>
      </c>
      <c r="W1088">
        <v>3</v>
      </c>
    </row>
    <row r="1089" spans="1:23" x14ac:dyDescent="0.25">
      <c r="A1089" t="s">
        <v>1673</v>
      </c>
      <c r="B1089" s="1">
        <v>45923</v>
      </c>
      <c r="C1089" t="s">
        <v>1674</v>
      </c>
      <c r="D1089" t="s">
        <v>154</v>
      </c>
      <c r="E1089" t="s">
        <v>26</v>
      </c>
      <c r="F1089" t="s">
        <v>53</v>
      </c>
      <c r="G1089" t="s">
        <v>59</v>
      </c>
      <c r="H1089">
        <v>1</v>
      </c>
      <c r="I1089">
        <v>61620</v>
      </c>
      <c r="J1089">
        <v>25</v>
      </c>
      <c r="K1089">
        <v>15405</v>
      </c>
      <c r="L1089">
        <v>46215</v>
      </c>
      <c r="M1089">
        <v>29495.040000000001</v>
      </c>
      <c r="N1089">
        <v>16719.96</v>
      </c>
      <c r="O1089" t="s">
        <v>60</v>
      </c>
      <c r="P1089">
        <v>911.4</v>
      </c>
      <c r="Q1089" t="s">
        <v>73</v>
      </c>
      <c r="R1089" t="s">
        <v>31</v>
      </c>
      <c r="S1089">
        <v>5</v>
      </c>
      <c r="T1089">
        <v>3</v>
      </c>
      <c r="U1089" t="s">
        <v>32</v>
      </c>
      <c r="V1089" t="s">
        <v>42</v>
      </c>
    </row>
    <row r="1090" spans="1:23" x14ac:dyDescent="0.25">
      <c r="A1090" t="s">
        <v>1675</v>
      </c>
      <c r="B1090" s="1">
        <v>45843</v>
      </c>
      <c r="C1090" t="s">
        <v>860</v>
      </c>
      <c r="D1090" t="s">
        <v>71</v>
      </c>
      <c r="E1090" t="s">
        <v>26</v>
      </c>
      <c r="F1090" t="s">
        <v>47</v>
      </c>
      <c r="G1090" t="s">
        <v>138</v>
      </c>
      <c r="H1090">
        <v>1</v>
      </c>
      <c r="I1090">
        <v>35982</v>
      </c>
      <c r="J1090">
        <v>10</v>
      </c>
      <c r="K1090">
        <v>3598.2</v>
      </c>
      <c r="L1090">
        <v>32383.8</v>
      </c>
      <c r="M1090">
        <v>22364.6</v>
      </c>
      <c r="N1090">
        <v>10019.200000000001</v>
      </c>
      <c r="O1090" t="s">
        <v>91</v>
      </c>
      <c r="P1090">
        <v>848.07</v>
      </c>
      <c r="Q1090" t="s">
        <v>30</v>
      </c>
      <c r="R1090" t="s">
        <v>41</v>
      </c>
      <c r="S1090">
        <v>2</v>
      </c>
      <c r="T1090">
        <v>5</v>
      </c>
      <c r="U1090" t="s">
        <v>32</v>
      </c>
      <c r="V1090" t="s">
        <v>50</v>
      </c>
      <c r="W1090">
        <v>4</v>
      </c>
    </row>
    <row r="1091" spans="1:23" x14ac:dyDescent="0.25">
      <c r="A1091" t="s">
        <v>1676</v>
      </c>
      <c r="B1091" s="1">
        <v>45976</v>
      </c>
      <c r="C1091" t="s">
        <v>1677</v>
      </c>
      <c r="D1091" t="s">
        <v>154</v>
      </c>
      <c r="E1091" t="s">
        <v>46</v>
      </c>
      <c r="F1091" t="s">
        <v>86</v>
      </c>
      <c r="G1091" t="s">
        <v>180</v>
      </c>
      <c r="H1091">
        <v>1</v>
      </c>
      <c r="I1091">
        <v>63162</v>
      </c>
      <c r="J1091">
        <v>0</v>
      </c>
      <c r="K1091">
        <v>0</v>
      </c>
      <c r="L1091">
        <v>63162</v>
      </c>
      <c r="M1091">
        <v>36019.9</v>
      </c>
      <c r="N1091">
        <v>27142.1</v>
      </c>
      <c r="O1091" t="s">
        <v>91</v>
      </c>
      <c r="P1091">
        <v>1787.41</v>
      </c>
      <c r="Q1091" t="s">
        <v>83</v>
      </c>
      <c r="R1091" t="s">
        <v>31</v>
      </c>
      <c r="S1091">
        <v>5</v>
      </c>
      <c r="T1091">
        <v>4</v>
      </c>
      <c r="U1091" t="s">
        <v>32</v>
      </c>
      <c r="V1091" t="s">
        <v>33</v>
      </c>
      <c r="W1091">
        <v>3</v>
      </c>
    </row>
    <row r="1092" spans="1:23" x14ac:dyDescent="0.25">
      <c r="A1092" t="s">
        <v>1678</v>
      </c>
      <c r="B1092" s="1">
        <v>45913</v>
      </c>
      <c r="C1092" t="s">
        <v>1476</v>
      </c>
      <c r="D1092" t="s">
        <v>97</v>
      </c>
      <c r="E1092" t="s">
        <v>26</v>
      </c>
      <c r="F1092" t="s">
        <v>86</v>
      </c>
      <c r="G1092" t="s">
        <v>87</v>
      </c>
      <c r="H1092">
        <v>1</v>
      </c>
      <c r="I1092">
        <v>72988</v>
      </c>
      <c r="J1092">
        <v>0</v>
      </c>
      <c r="K1092">
        <v>0</v>
      </c>
      <c r="L1092">
        <v>72988</v>
      </c>
      <c r="M1092">
        <v>49426.46</v>
      </c>
      <c r="N1092">
        <v>23561.54</v>
      </c>
      <c r="O1092" t="s">
        <v>91</v>
      </c>
      <c r="P1092">
        <v>2098.38</v>
      </c>
      <c r="Q1092" t="s">
        <v>30</v>
      </c>
      <c r="R1092" t="s">
        <v>41</v>
      </c>
      <c r="S1092">
        <v>2</v>
      </c>
      <c r="T1092">
        <v>1</v>
      </c>
      <c r="U1092" t="s">
        <v>32</v>
      </c>
      <c r="V1092" t="s">
        <v>42</v>
      </c>
    </row>
    <row r="1093" spans="1:23" x14ac:dyDescent="0.25">
      <c r="A1093" t="s">
        <v>1679</v>
      </c>
      <c r="B1093" s="1">
        <v>45978</v>
      </c>
      <c r="C1093" t="s">
        <v>1680</v>
      </c>
      <c r="D1093" t="s">
        <v>45</v>
      </c>
      <c r="E1093" t="s">
        <v>26</v>
      </c>
      <c r="F1093" t="s">
        <v>37</v>
      </c>
      <c r="G1093" t="s">
        <v>38</v>
      </c>
      <c r="H1093">
        <v>2</v>
      </c>
      <c r="I1093">
        <v>5304</v>
      </c>
      <c r="J1093">
        <v>0</v>
      </c>
      <c r="K1093">
        <v>0</v>
      </c>
      <c r="L1093">
        <v>10608</v>
      </c>
      <c r="M1093">
        <v>6462.63</v>
      </c>
      <c r="N1093">
        <v>4145.37</v>
      </c>
      <c r="O1093" t="s">
        <v>49</v>
      </c>
      <c r="P1093">
        <v>59.42</v>
      </c>
      <c r="Q1093" t="s">
        <v>68</v>
      </c>
      <c r="R1093" t="s">
        <v>41</v>
      </c>
      <c r="S1093">
        <v>2</v>
      </c>
      <c r="T1093">
        <v>1</v>
      </c>
      <c r="U1093" t="s">
        <v>32</v>
      </c>
      <c r="V1093" t="s">
        <v>33</v>
      </c>
      <c r="W1093">
        <v>4</v>
      </c>
    </row>
    <row r="1094" spans="1:23" x14ac:dyDescent="0.25">
      <c r="A1094" t="s">
        <v>1681</v>
      </c>
      <c r="B1094" s="1">
        <v>45884</v>
      </c>
      <c r="C1094" t="s">
        <v>1060</v>
      </c>
      <c r="D1094" t="s">
        <v>25</v>
      </c>
      <c r="E1094" t="s">
        <v>26</v>
      </c>
      <c r="F1094" t="s">
        <v>53</v>
      </c>
      <c r="G1094" t="s">
        <v>151</v>
      </c>
      <c r="H1094">
        <v>1</v>
      </c>
      <c r="I1094">
        <v>34348</v>
      </c>
      <c r="J1094">
        <v>0</v>
      </c>
      <c r="K1094">
        <v>0</v>
      </c>
      <c r="L1094">
        <v>34348</v>
      </c>
      <c r="M1094">
        <v>21875.439999999999</v>
      </c>
      <c r="N1094">
        <v>12472.56</v>
      </c>
      <c r="O1094" t="s">
        <v>91</v>
      </c>
      <c r="P1094">
        <v>612.76</v>
      </c>
      <c r="Q1094" t="s">
        <v>68</v>
      </c>
      <c r="R1094" t="s">
        <v>41</v>
      </c>
      <c r="S1094">
        <v>2</v>
      </c>
      <c r="T1094">
        <v>3</v>
      </c>
      <c r="U1094" t="s">
        <v>56</v>
      </c>
      <c r="V1094" t="s">
        <v>33</v>
      </c>
      <c r="W1094">
        <v>5</v>
      </c>
    </row>
    <row r="1095" spans="1:23" x14ac:dyDescent="0.25">
      <c r="A1095" t="s">
        <v>1682</v>
      </c>
      <c r="B1095" s="1">
        <v>45684</v>
      </c>
      <c r="C1095" t="s">
        <v>358</v>
      </c>
      <c r="D1095" t="s">
        <v>90</v>
      </c>
      <c r="E1095" t="s">
        <v>26</v>
      </c>
      <c r="F1095" t="s">
        <v>37</v>
      </c>
      <c r="G1095" t="s">
        <v>161</v>
      </c>
      <c r="H1095">
        <v>1</v>
      </c>
      <c r="I1095">
        <v>8092</v>
      </c>
      <c r="J1095">
        <v>0</v>
      </c>
      <c r="K1095">
        <v>0</v>
      </c>
      <c r="L1095">
        <v>8092</v>
      </c>
      <c r="M1095">
        <v>5436.19</v>
      </c>
      <c r="N1095">
        <v>2655.81</v>
      </c>
      <c r="O1095" t="s">
        <v>39</v>
      </c>
      <c r="P1095">
        <v>2092.06</v>
      </c>
      <c r="Q1095" t="s">
        <v>30</v>
      </c>
      <c r="R1095" t="s">
        <v>41</v>
      </c>
      <c r="S1095">
        <v>2</v>
      </c>
      <c r="T1095">
        <v>1</v>
      </c>
      <c r="U1095" t="s">
        <v>32</v>
      </c>
      <c r="V1095" t="s">
        <v>42</v>
      </c>
    </row>
    <row r="1096" spans="1:23" x14ac:dyDescent="0.25">
      <c r="A1096" t="s">
        <v>1683</v>
      </c>
      <c r="B1096" s="1">
        <v>45762</v>
      </c>
      <c r="C1096" t="s">
        <v>504</v>
      </c>
      <c r="D1096" t="s">
        <v>97</v>
      </c>
      <c r="E1096" t="s">
        <v>36</v>
      </c>
      <c r="F1096" t="s">
        <v>47</v>
      </c>
      <c r="G1096" t="s">
        <v>146</v>
      </c>
      <c r="H1096">
        <v>1</v>
      </c>
      <c r="I1096">
        <v>51117</v>
      </c>
      <c r="J1096">
        <v>15</v>
      </c>
      <c r="K1096">
        <v>7667.55</v>
      </c>
      <c r="L1096">
        <v>43449.45</v>
      </c>
      <c r="M1096">
        <v>34456.92</v>
      </c>
      <c r="N1096">
        <v>8992.5300000000007</v>
      </c>
      <c r="O1096" t="s">
        <v>91</v>
      </c>
      <c r="P1096">
        <v>462.3</v>
      </c>
      <c r="Q1096" t="s">
        <v>40</v>
      </c>
      <c r="R1096" t="s">
        <v>41</v>
      </c>
      <c r="S1096">
        <v>2</v>
      </c>
      <c r="T1096">
        <v>3</v>
      </c>
      <c r="U1096" t="s">
        <v>56</v>
      </c>
      <c r="V1096" t="s">
        <v>33</v>
      </c>
      <c r="W1096">
        <v>5</v>
      </c>
    </row>
    <row r="1097" spans="1:23" x14ac:dyDescent="0.25">
      <c r="A1097" t="s">
        <v>1684</v>
      </c>
      <c r="B1097" s="1">
        <v>45794</v>
      </c>
      <c r="C1097" t="s">
        <v>1005</v>
      </c>
      <c r="D1097" t="s">
        <v>67</v>
      </c>
      <c r="E1097" t="s">
        <v>46</v>
      </c>
      <c r="F1097" t="s">
        <v>27</v>
      </c>
      <c r="G1097" t="s">
        <v>76</v>
      </c>
      <c r="H1097">
        <v>2</v>
      </c>
      <c r="I1097">
        <v>5937</v>
      </c>
      <c r="J1097">
        <v>0</v>
      </c>
      <c r="K1097">
        <v>0</v>
      </c>
      <c r="L1097">
        <v>11874</v>
      </c>
      <c r="M1097">
        <v>8658.91</v>
      </c>
      <c r="N1097">
        <v>3215.09</v>
      </c>
      <c r="O1097" t="s">
        <v>55</v>
      </c>
      <c r="P1097">
        <v>1848.86</v>
      </c>
      <c r="Q1097" t="s">
        <v>68</v>
      </c>
      <c r="R1097" t="s">
        <v>31</v>
      </c>
      <c r="S1097">
        <v>5</v>
      </c>
      <c r="T1097">
        <v>4</v>
      </c>
      <c r="U1097" t="s">
        <v>32</v>
      </c>
      <c r="V1097" t="s">
        <v>33</v>
      </c>
      <c r="W1097">
        <v>2</v>
      </c>
    </row>
    <row r="1098" spans="1:23" x14ac:dyDescent="0.25">
      <c r="A1098" t="s">
        <v>1685</v>
      </c>
      <c r="B1098" s="1">
        <v>45939</v>
      </c>
      <c r="C1098" t="s">
        <v>52</v>
      </c>
      <c r="D1098" t="s">
        <v>124</v>
      </c>
      <c r="E1098" t="s">
        <v>36</v>
      </c>
      <c r="F1098" t="s">
        <v>53</v>
      </c>
      <c r="G1098" t="s">
        <v>82</v>
      </c>
      <c r="H1098">
        <v>1</v>
      </c>
      <c r="I1098">
        <v>87654</v>
      </c>
      <c r="J1098">
        <v>10</v>
      </c>
      <c r="K1098">
        <v>8765.4</v>
      </c>
      <c r="L1098">
        <v>78888.600000000006</v>
      </c>
      <c r="M1098">
        <v>58474.34</v>
      </c>
      <c r="N1098">
        <v>20414.259999999998</v>
      </c>
      <c r="O1098" t="s">
        <v>39</v>
      </c>
      <c r="P1098">
        <v>1333.92</v>
      </c>
      <c r="Q1098" t="s">
        <v>83</v>
      </c>
      <c r="R1098" t="s">
        <v>31</v>
      </c>
      <c r="S1098">
        <v>5</v>
      </c>
      <c r="T1098">
        <v>3</v>
      </c>
      <c r="U1098" t="s">
        <v>32</v>
      </c>
      <c r="V1098" t="s">
        <v>50</v>
      </c>
      <c r="W1098">
        <v>4</v>
      </c>
    </row>
    <row r="1099" spans="1:23" x14ac:dyDescent="0.25">
      <c r="A1099" t="s">
        <v>1686</v>
      </c>
      <c r="B1099" s="1">
        <v>45725</v>
      </c>
      <c r="C1099" t="s">
        <v>121</v>
      </c>
      <c r="D1099" t="s">
        <v>45</v>
      </c>
      <c r="E1099" t="s">
        <v>46</v>
      </c>
      <c r="F1099" t="s">
        <v>53</v>
      </c>
      <c r="G1099" t="s">
        <v>54</v>
      </c>
      <c r="H1099">
        <v>3</v>
      </c>
      <c r="I1099">
        <v>79546</v>
      </c>
      <c r="J1099">
        <v>5</v>
      </c>
      <c r="K1099">
        <v>11931.9</v>
      </c>
      <c r="L1099">
        <v>226706.1</v>
      </c>
      <c r="M1099">
        <v>171840.42</v>
      </c>
      <c r="N1099">
        <v>54865.68</v>
      </c>
      <c r="O1099" t="s">
        <v>91</v>
      </c>
      <c r="P1099">
        <v>1595.41</v>
      </c>
      <c r="Q1099" t="s">
        <v>30</v>
      </c>
      <c r="R1099" t="s">
        <v>31</v>
      </c>
      <c r="S1099">
        <v>5</v>
      </c>
      <c r="T1099">
        <v>3</v>
      </c>
      <c r="U1099" t="s">
        <v>32</v>
      </c>
      <c r="V1099" t="s">
        <v>42</v>
      </c>
    </row>
    <row r="1100" spans="1:23" x14ac:dyDescent="0.25">
      <c r="A1100" t="s">
        <v>1687</v>
      </c>
      <c r="B1100" s="1">
        <v>45805</v>
      </c>
      <c r="C1100" t="s">
        <v>1086</v>
      </c>
      <c r="D1100" t="s">
        <v>79</v>
      </c>
      <c r="E1100" t="s">
        <v>36</v>
      </c>
      <c r="F1100" t="s">
        <v>53</v>
      </c>
      <c r="G1100" t="s">
        <v>54</v>
      </c>
      <c r="H1100">
        <v>1</v>
      </c>
      <c r="I1100">
        <v>78892</v>
      </c>
      <c r="J1100">
        <v>10</v>
      </c>
      <c r="K1100">
        <v>7889.2</v>
      </c>
      <c r="L1100">
        <v>71002.8</v>
      </c>
      <c r="M1100">
        <v>51718.45</v>
      </c>
      <c r="N1100">
        <v>19284.349999999999</v>
      </c>
      <c r="O1100" t="s">
        <v>39</v>
      </c>
      <c r="P1100">
        <v>2090.39</v>
      </c>
      <c r="Q1100" t="s">
        <v>68</v>
      </c>
      <c r="R1100" t="s">
        <v>31</v>
      </c>
      <c r="S1100">
        <v>5</v>
      </c>
      <c r="T1100">
        <v>6</v>
      </c>
      <c r="U1100" t="s">
        <v>56</v>
      </c>
      <c r="V1100" t="s">
        <v>33</v>
      </c>
    </row>
    <row r="1101" spans="1:23" x14ac:dyDescent="0.25">
      <c r="A1101" t="s">
        <v>1688</v>
      </c>
      <c r="B1101" s="1">
        <v>45882</v>
      </c>
      <c r="C1101" t="s">
        <v>470</v>
      </c>
      <c r="D1101" t="s">
        <v>71</v>
      </c>
      <c r="E1101" t="s">
        <v>46</v>
      </c>
      <c r="F1101" t="s">
        <v>27</v>
      </c>
      <c r="G1101" t="s">
        <v>113</v>
      </c>
      <c r="H1101">
        <v>1</v>
      </c>
      <c r="I1101">
        <v>8033</v>
      </c>
      <c r="J1101">
        <v>20</v>
      </c>
      <c r="K1101">
        <v>1606.6</v>
      </c>
      <c r="L1101">
        <v>6426.4</v>
      </c>
      <c r="M1101">
        <v>3888.73</v>
      </c>
      <c r="N1101">
        <v>2537.67</v>
      </c>
      <c r="O1101" t="s">
        <v>29</v>
      </c>
      <c r="P1101">
        <v>950.15</v>
      </c>
      <c r="Q1101" t="s">
        <v>40</v>
      </c>
      <c r="R1101" t="s">
        <v>31</v>
      </c>
      <c r="S1101">
        <v>5</v>
      </c>
      <c r="T1101">
        <v>2</v>
      </c>
      <c r="U1101" t="s">
        <v>32</v>
      </c>
      <c r="V1101" t="s">
        <v>42</v>
      </c>
    </row>
    <row r="1102" spans="1:23" x14ac:dyDescent="0.25">
      <c r="A1102" t="s">
        <v>1689</v>
      </c>
      <c r="B1102" s="1">
        <v>46015</v>
      </c>
      <c r="C1102" t="s">
        <v>1063</v>
      </c>
      <c r="D1102" t="s">
        <v>67</v>
      </c>
      <c r="E1102" t="s">
        <v>46</v>
      </c>
      <c r="F1102" t="s">
        <v>86</v>
      </c>
      <c r="G1102" t="s">
        <v>127</v>
      </c>
      <c r="H1102">
        <v>1</v>
      </c>
      <c r="I1102">
        <v>64333</v>
      </c>
      <c r="J1102">
        <v>0</v>
      </c>
      <c r="K1102">
        <v>0</v>
      </c>
      <c r="L1102">
        <v>64333</v>
      </c>
      <c r="M1102">
        <v>48668.22</v>
      </c>
      <c r="N1102">
        <v>15664.78</v>
      </c>
      <c r="O1102" t="s">
        <v>49</v>
      </c>
      <c r="P1102">
        <v>494.81</v>
      </c>
      <c r="Q1102" t="s">
        <v>73</v>
      </c>
      <c r="R1102" t="s">
        <v>41</v>
      </c>
      <c r="S1102">
        <v>2</v>
      </c>
      <c r="T1102">
        <v>3</v>
      </c>
      <c r="U1102" t="s">
        <v>56</v>
      </c>
      <c r="V1102" t="s">
        <v>33</v>
      </c>
      <c r="W1102">
        <v>5</v>
      </c>
    </row>
    <row r="1103" spans="1:23" x14ac:dyDescent="0.25">
      <c r="A1103" t="s">
        <v>1690</v>
      </c>
      <c r="B1103" s="1">
        <v>45906</v>
      </c>
      <c r="C1103" t="s">
        <v>993</v>
      </c>
      <c r="D1103" t="s">
        <v>45</v>
      </c>
      <c r="E1103" t="s">
        <v>26</v>
      </c>
      <c r="F1103" t="s">
        <v>53</v>
      </c>
      <c r="G1103" t="s">
        <v>54</v>
      </c>
      <c r="H1103">
        <v>2</v>
      </c>
      <c r="I1103">
        <v>81515</v>
      </c>
      <c r="J1103">
        <v>10</v>
      </c>
      <c r="K1103">
        <v>16303</v>
      </c>
      <c r="L1103">
        <v>146727</v>
      </c>
      <c r="M1103">
        <v>102851.3</v>
      </c>
      <c r="N1103">
        <v>43875.7</v>
      </c>
      <c r="O1103" t="s">
        <v>60</v>
      </c>
      <c r="P1103">
        <v>373.12</v>
      </c>
      <c r="Q1103" t="s">
        <v>40</v>
      </c>
      <c r="R1103" t="s">
        <v>41</v>
      </c>
      <c r="S1103">
        <v>2</v>
      </c>
      <c r="T1103">
        <v>3</v>
      </c>
      <c r="U1103" t="s">
        <v>32</v>
      </c>
      <c r="V1103" t="s">
        <v>50</v>
      </c>
      <c r="W1103">
        <v>3</v>
      </c>
    </row>
    <row r="1104" spans="1:23" x14ac:dyDescent="0.25">
      <c r="A1104" t="s">
        <v>1691</v>
      </c>
      <c r="B1104" s="1">
        <v>45720</v>
      </c>
      <c r="C1104" t="s">
        <v>341</v>
      </c>
      <c r="D1104" t="s">
        <v>63</v>
      </c>
      <c r="E1104" t="s">
        <v>46</v>
      </c>
      <c r="F1104" t="s">
        <v>47</v>
      </c>
      <c r="G1104" t="s">
        <v>64</v>
      </c>
      <c r="H1104">
        <v>1</v>
      </c>
      <c r="I1104">
        <v>37037</v>
      </c>
      <c r="J1104">
        <v>5</v>
      </c>
      <c r="K1104">
        <v>1851.85</v>
      </c>
      <c r="L1104">
        <v>35185.15</v>
      </c>
      <c r="M1104">
        <v>23139.17</v>
      </c>
      <c r="N1104">
        <v>12045.98</v>
      </c>
      <c r="O1104" t="s">
        <v>55</v>
      </c>
      <c r="P1104">
        <v>873.82</v>
      </c>
      <c r="Q1104" t="s">
        <v>40</v>
      </c>
      <c r="R1104" t="s">
        <v>31</v>
      </c>
      <c r="S1104">
        <v>5</v>
      </c>
      <c r="T1104">
        <v>3</v>
      </c>
      <c r="U1104" t="s">
        <v>32</v>
      </c>
      <c r="V1104" t="s">
        <v>42</v>
      </c>
    </row>
    <row r="1105" spans="1:23" x14ac:dyDescent="0.25">
      <c r="A1105" t="s">
        <v>1692</v>
      </c>
      <c r="B1105" s="1">
        <v>45672</v>
      </c>
      <c r="C1105" t="s">
        <v>135</v>
      </c>
      <c r="D1105" t="s">
        <v>63</v>
      </c>
      <c r="E1105" t="s">
        <v>46</v>
      </c>
      <c r="F1105" t="s">
        <v>37</v>
      </c>
      <c r="G1105" t="s">
        <v>224</v>
      </c>
      <c r="H1105">
        <v>2</v>
      </c>
      <c r="I1105">
        <v>29853</v>
      </c>
      <c r="J1105">
        <v>0</v>
      </c>
      <c r="K1105">
        <v>0</v>
      </c>
      <c r="L1105">
        <v>59706</v>
      </c>
      <c r="M1105">
        <v>38104.370000000003</v>
      </c>
      <c r="N1105">
        <v>21601.63</v>
      </c>
      <c r="O1105" t="s">
        <v>39</v>
      </c>
      <c r="P1105">
        <v>2241.5500000000002</v>
      </c>
      <c r="Q1105" t="s">
        <v>83</v>
      </c>
      <c r="R1105" t="s">
        <v>31</v>
      </c>
      <c r="S1105">
        <v>5</v>
      </c>
      <c r="T1105">
        <v>4</v>
      </c>
      <c r="U1105" t="s">
        <v>32</v>
      </c>
      <c r="V1105" t="s">
        <v>33</v>
      </c>
      <c r="W1105">
        <v>5</v>
      </c>
    </row>
    <row r="1106" spans="1:23" x14ac:dyDescent="0.25">
      <c r="A1106" t="s">
        <v>1693</v>
      </c>
      <c r="B1106" s="1">
        <v>45980</v>
      </c>
      <c r="C1106" t="s">
        <v>1300</v>
      </c>
      <c r="D1106" t="s">
        <v>67</v>
      </c>
      <c r="E1106" t="s">
        <v>46</v>
      </c>
      <c r="F1106" t="s">
        <v>47</v>
      </c>
      <c r="G1106" t="s">
        <v>105</v>
      </c>
      <c r="H1106">
        <v>1</v>
      </c>
      <c r="I1106">
        <v>11011</v>
      </c>
      <c r="J1106">
        <v>10</v>
      </c>
      <c r="K1106">
        <v>1101.0999999999999</v>
      </c>
      <c r="L1106">
        <v>9909.9</v>
      </c>
      <c r="M1106">
        <v>6880.97</v>
      </c>
      <c r="N1106">
        <v>3028.93</v>
      </c>
      <c r="O1106" t="s">
        <v>55</v>
      </c>
      <c r="P1106">
        <v>440.06</v>
      </c>
      <c r="Q1106" t="s">
        <v>68</v>
      </c>
      <c r="R1106" t="s">
        <v>41</v>
      </c>
      <c r="S1106">
        <v>2</v>
      </c>
      <c r="T1106">
        <v>4</v>
      </c>
      <c r="U1106" t="s">
        <v>56</v>
      </c>
      <c r="V1106" t="s">
        <v>33</v>
      </c>
      <c r="W1106">
        <v>5</v>
      </c>
    </row>
    <row r="1107" spans="1:23" x14ac:dyDescent="0.25">
      <c r="A1107" t="s">
        <v>1694</v>
      </c>
      <c r="B1107" s="1">
        <v>45969</v>
      </c>
      <c r="C1107" t="s">
        <v>1695</v>
      </c>
      <c r="D1107" t="s">
        <v>45</v>
      </c>
      <c r="E1107" t="s">
        <v>46</v>
      </c>
      <c r="F1107" t="s">
        <v>53</v>
      </c>
      <c r="G1107" t="s">
        <v>82</v>
      </c>
      <c r="H1107">
        <v>2</v>
      </c>
      <c r="I1107">
        <v>14393</v>
      </c>
      <c r="J1107">
        <v>25</v>
      </c>
      <c r="K1107">
        <v>7196.5</v>
      </c>
      <c r="L1107">
        <v>21589.5</v>
      </c>
      <c r="M1107">
        <v>13255.51</v>
      </c>
      <c r="N1107">
        <v>8333.99</v>
      </c>
      <c r="O1107" t="s">
        <v>29</v>
      </c>
      <c r="P1107">
        <v>2116.84</v>
      </c>
      <c r="Q1107" t="s">
        <v>83</v>
      </c>
      <c r="R1107" t="s">
        <v>41</v>
      </c>
      <c r="S1107">
        <v>2</v>
      </c>
      <c r="T1107">
        <v>2</v>
      </c>
      <c r="U1107" t="s">
        <v>32</v>
      </c>
      <c r="V1107" t="s">
        <v>42</v>
      </c>
    </row>
    <row r="1108" spans="1:23" x14ac:dyDescent="0.25">
      <c r="A1108" t="s">
        <v>1696</v>
      </c>
      <c r="B1108" s="1">
        <v>45780</v>
      </c>
      <c r="C1108" t="s">
        <v>217</v>
      </c>
      <c r="D1108" t="s">
        <v>124</v>
      </c>
      <c r="E1108" t="s">
        <v>46</v>
      </c>
      <c r="F1108" t="s">
        <v>37</v>
      </c>
      <c r="G1108" t="s">
        <v>313</v>
      </c>
      <c r="H1108">
        <v>3</v>
      </c>
      <c r="I1108">
        <v>4041</v>
      </c>
      <c r="J1108">
        <v>5</v>
      </c>
      <c r="K1108">
        <v>606.15</v>
      </c>
      <c r="L1108">
        <v>11516.85</v>
      </c>
      <c r="M1108">
        <v>6477.07</v>
      </c>
      <c r="N1108">
        <v>5039.78</v>
      </c>
      <c r="O1108" t="s">
        <v>55</v>
      </c>
      <c r="P1108">
        <v>1761.3</v>
      </c>
      <c r="Q1108" t="s">
        <v>83</v>
      </c>
      <c r="R1108" t="s">
        <v>41</v>
      </c>
      <c r="S1108">
        <v>2</v>
      </c>
      <c r="T1108">
        <v>3</v>
      </c>
      <c r="U1108" t="s">
        <v>56</v>
      </c>
      <c r="V1108" t="s">
        <v>33</v>
      </c>
      <c r="W1108">
        <v>5</v>
      </c>
    </row>
    <row r="1109" spans="1:23" x14ac:dyDescent="0.25">
      <c r="A1109" t="s">
        <v>1697</v>
      </c>
      <c r="B1109" s="1">
        <v>46021</v>
      </c>
      <c r="C1109" t="s">
        <v>1360</v>
      </c>
      <c r="D1109" t="s">
        <v>124</v>
      </c>
      <c r="E1109" t="s">
        <v>36</v>
      </c>
      <c r="F1109" t="s">
        <v>37</v>
      </c>
      <c r="G1109" t="s">
        <v>38</v>
      </c>
      <c r="H1109">
        <v>3</v>
      </c>
      <c r="I1109">
        <v>21108</v>
      </c>
      <c r="J1109">
        <v>5</v>
      </c>
      <c r="K1109">
        <v>3166.2</v>
      </c>
      <c r="L1109">
        <v>60157.8</v>
      </c>
      <c r="M1109">
        <v>46494.54</v>
      </c>
      <c r="N1109">
        <v>13663.26</v>
      </c>
      <c r="O1109" t="s">
        <v>55</v>
      </c>
      <c r="P1109">
        <v>1232.3</v>
      </c>
      <c r="Q1109" t="s">
        <v>83</v>
      </c>
      <c r="R1109" t="s">
        <v>41</v>
      </c>
      <c r="S1109">
        <v>2</v>
      </c>
      <c r="T1109">
        <v>3</v>
      </c>
      <c r="U1109" t="s">
        <v>32</v>
      </c>
      <c r="V1109" t="s">
        <v>42</v>
      </c>
    </row>
    <row r="1110" spans="1:23" x14ac:dyDescent="0.25">
      <c r="A1110" t="s">
        <v>1698</v>
      </c>
      <c r="B1110" s="1">
        <v>45739</v>
      </c>
      <c r="C1110" t="s">
        <v>453</v>
      </c>
      <c r="D1110" t="s">
        <v>79</v>
      </c>
      <c r="E1110" t="s">
        <v>26</v>
      </c>
      <c r="F1110" t="s">
        <v>37</v>
      </c>
      <c r="G1110" t="s">
        <v>100</v>
      </c>
      <c r="H1110">
        <v>1</v>
      </c>
      <c r="I1110">
        <v>17372</v>
      </c>
      <c r="J1110">
        <v>15</v>
      </c>
      <c r="K1110">
        <v>2605.8000000000002</v>
      </c>
      <c r="L1110">
        <v>14766.2</v>
      </c>
      <c r="M1110">
        <v>9605.9699999999993</v>
      </c>
      <c r="N1110">
        <v>5160.2299999999996</v>
      </c>
      <c r="O1110" t="s">
        <v>29</v>
      </c>
      <c r="P1110">
        <v>824.18</v>
      </c>
      <c r="Q1110" t="s">
        <v>73</v>
      </c>
      <c r="R1110" t="s">
        <v>31</v>
      </c>
      <c r="S1110">
        <v>5</v>
      </c>
      <c r="T1110">
        <v>0</v>
      </c>
      <c r="U1110" t="s">
        <v>32</v>
      </c>
      <c r="V1110" t="s">
        <v>50</v>
      </c>
      <c r="W1110">
        <v>2</v>
      </c>
    </row>
    <row r="1111" spans="1:23" x14ac:dyDescent="0.25">
      <c r="A1111" t="s">
        <v>1699</v>
      </c>
      <c r="B1111" s="1">
        <v>45817</v>
      </c>
      <c r="C1111" t="s">
        <v>58</v>
      </c>
      <c r="D1111" t="s">
        <v>45</v>
      </c>
      <c r="E1111" t="s">
        <v>36</v>
      </c>
      <c r="F1111" t="s">
        <v>86</v>
      </c>
      <c r="G1111" t="s">
        <v>94</v>
      </c>
      <c r="H1111">
        <v>1</v>
      </c>
      <c r="I1111">
        <v>50950</v>
      </c>
      <c r="J1111">
        <v>10</v>
      </c>
      <c r="K1111">
        <v>5095</v>
      </c>
      <c r="L1111">
        <v>45855</v>
      </c>
      <c r="M1111">
        <v>27261.040000000001</v>
      </c>
      <c r="N1111">
        <v>18593.96</v>
      </c>
      <c r="O1111" t="s">
        <v>29</v>
      </c>
      <c r="P1111">
        <v>2011.01</v>
      </c>
      <c r="Q1111" t="s">
        <v>68</v>
      </c>
      <c r="R1111" t="s">
        <v>41</v>
      </c>
      <c r="S1111">
        <v>2</v>
      </c>
      <c r="T1111">
        <v>5</v>
      </c>
      <c r="U1111" t="s">
        <v>56</v>
      </c>
      <c r="V1111" t="s">
        <v>33</v>
      </c>
      <c r="W1111">
        <v>2</v>
      </c>
    </row>
    <row r="1112" spans="1:23" x14ac:dyDescent="0.25">
      <c r="A1112" t="s">
        <v>1700</v>
      </c>
      <c r="B1112" s="1">
        <v>45940</v>
      </c>
      <c r="C1112" t="s">
        <v>390</v>
      </c>
      <c r="D1112" t="s">
        <v>45</v>
      </c>
      <c r="E1112" t="s">
        <v>46</v>
      </c>
      <c r="F1112" t="s">
        <v>53</v>
      </c>
      <c r="G1112" t="s">
        <v>59</v>
      </c>
      <c r="H1112">
        <v>1</v>
      </c>
      <c r="I1112">
        <v>50343</v>
      </c>
      <c r="J1112">
        <v>0</v>
      </c>
      <c r="K1112">
        <v>0</v>
      </c>
      <c r="L1112">
        <v>50343</v>
      </c>
      <c r="M1112">
        <v>35966.39</v>
      </c>
      <c r="N1112">
        <v>14376.61</v>
      </c>
      <c r="O1112" t="s">
        <v>29</v>
      </c>
      <c r="P1112">
        <v>2343.3000000000002</v>
      </c>
      <c r="Q1112" t="s">
        <v>73</v>
      </c>
      <c r="R1112" t="s">
        <v>31</v>
      </c>
      <c r="S1112">
        <v>5</v>
      </c>
      <c r="T1112">
        <v>4</v>
      </c>
      <c r="U1112" t="s">
        <v>32</v>
      </c>
      <c r="V1112" t="s">
        <v>33</v>
      </c>
      <c r="W1112">
        <v>2</v>
      </c>
    </row>
    <row r="1113" spans="1:23" x14ac:dyDescent="0.25">
      <c r="A1113" t="s">
        <v>1701</v>
      </c>
      <c r="B1113" s="1">
        <v>45665</v>
      </c>
      <c r="C1113" t="s">
        <v>570</v>
      </c>
      <c r="D1113" t="s">
        <v>67</v>
      </c>
      <c r="E1113" t="s">
        <v>26</v>
      </c>
      <c r="F1113" t="s">
        <v>27</v>
      </c>
      <c r="G1113" t="s">
        <v>164</v>
      </c>
      <c r="H1113">
        <v>1</v>
      </c>
      <c r="I1113">
        <v>15701</v>
      </c>
      <c r="J1113">
        <v>15</v>
      </c>
      <c r="K1113">
        <v>2355.15</v>
      </c>
      <c r="L1113">
        <v>13345.85</v>
      </c>
      <c r="M1113">
        <v>8515.85</v>
      </c>
      <c r="N1113">
        <v>4830</v>
      </c>
      <c r="O1113" t="s">
        <v>39</v>
      </c>
      <c r="P1113">
        <v>718.02</v>
      </c>
      <c r="Q1113" t="s">
        <v>83</v>
      </c>
      <c r="R1113" t="s">
        <v>31</v>
      </c>
      <c r="S1113">
        <v>5</v>
      </c>
      <c r="T1113">
        <v>5</v>
      </c>
      <c r="U1113" t="s">
        <v>32</v>
      </c>
      <c r="V1113" t="s">
        <v>33</v>
      </c>
      <c r="W1113">
        <v>5</v>
      </c>
    </row>
    <row r="1114" spans="1:23" x14ac:dyDescent="0.25">
      <c r="A1114" t="s">
        <v>1702</v>
      </c>
      <c r="B1114" s="1">
        <v>45940</v>
      </c>
      <c r="C1114" t="s">
        <v>1703</v>
      </c>
      <c r="D1114" t="s">
        <v>63</v>
      </c>
      <c r="E1114" t="s">
        <v>26</v>
      </c>
      <c r="F1114" t="s">
        <v>27</v>
      </c>
      <c r="G1114" t="s">
        <v>164</v>
      </c>
      <c r="H1114">
        <v>1</v>
      </c>
      <c r="I1114">
        <v>5346</v>
      </c>
      <c r="J1114">
        <v>5</v>
      </c>
      <c r="K1114">
        <v>267.3</v>
      </c>
      <c r="L1114">
        <v>5078.7</v>
      </c>
      <c r="M1114">
        <v>3334.09</v>
      </c>
      <c r="N1114">
        <v>1744.61</v>
      </c>
      <c r="O1114" t="s">
        <v>39</v>
      </c>
      <c r="P1114">
        <v>356.38</v>
      </c>
      <c r="Q1114" t="s">
        <v>30</v>
      </c>
      <c r="R1114" t="s">
        <v>31</v>
      </c>
      <c r="S1114">
        <v>5</v>
      </c>
      <c r="T1114">
        <v>0</v>
      </c>
      <c r="U1114" t="s">
        <v>32</v>
      </c>
      <c r="V1114" t="s">
        <v>50</v>
      </c>
      <c r="W1114">
        <v>5</v>
      </c>
    </row>
    <row r="1115" spans="1:23" x14ac:dyDescent="0.25">
      <c r="A1115" t="s">
        <v>1704</v>
      </c>
      <c r="B1115" s="1">
        <v>45866</v>
      </c>
      <c r="C1115" t="s">
        <v>543</v>
      </c>
      <c r="D1115" t="s">
        <v>67</v>
      </c>
      <c r="E1115" t="s">
        <v>46</v>
      </c>
      <c r="F1115" t="s">
        <v>47</v>
      </c>
      <c r="G1115" t="s">
        <v>146</v>
      </c>
      <c r="H1115">
        <v>1</v>
      </c>
      <c r="I1115">
        <v>42754</v>
      </c>
      <c r="J1115">
        <v>25</v>
      </c>
      <c r="K1115">
        <v>10688.5</v>
      </c>
      <c r="L1115">
        <v>32065.5</v>
      </c>
      <c r="M1115">
        <v>20415.009999999998</v>
      </c>
      <c r="N1115">
        <v>11650.49</v>
      </c>
      <c r="O1115" t="s">
        <v>91</v>
      </c>
      <c r="P1115">
        <v>593.23</v>
      </c>
      <c r="Q1115" t="s">
        <v>40</v>
      </c>
      <c r="R1115" t="s">
        <v>41</v>
      </c>
      <c r="S1115">
        <v>2</v>
      </c>
      <c r="T1115">
        <v>4</v>
      </c>
      <c r="U1115" t="s">
        <v>32</v>
      </c>
      <c r="V1115" t="s">
        <v>50</v>
      </c>
      <c r="W1115">
        <v>3</v>
      </c>
    </row>
    <row r="1116" spans="1:23" x14ac:dyDescent="0.25">
      <c r="A1116" t="s">
        <v>1705</v>
      </c>
      <c r="B1116" s="1">
        <v>45705</v>
      </c>
      <c r="C1116" t="s">
        <v>197</v>
      </c>
      <c r="D1116" t="s">
        <v>154</v>
      </c>
      <c r="E1116" t="s">
        <v>36</v>
      </c>
      <c r="F1116" t="s">
        <v>86</v>
      </c>
      <c r="G1116" t="s">
        <v>87</v>
      </c>
      <c r="H1116">
        <v>1</v>
      </c>
      <c r="I1116">
        <v>48951</v>
      </c>
      <c r="J1116">
        <v>0</v>
      </c>
      <c r="K1116">
        <v>0</v>
      </c>
      <c r="L1116">
        <v>48951</v>
      </c>
      <c r="M1116">
        <v>32852.449999999997</v>
      </c>
      <c r="N1116">
        <v>16098.55</v>
      </c>
      <c r="O1116" t="s">
        <v>49</v>
      </c>
      <c r="P1116">
        <v>288.08999999999997</v>
      </c>
      <c r="Q1116" t="s">
        <v>83</v>
      </c>
      <c r="R1116" t="s">
        <v>41</v>
      </c>
      <c r="S1116">
        <v>2</v>
      </c>
      <c r="T1116">
        <v>2</v>
      </c>
      <c r="U1116" t="s">
        <v>32</v>
      </c>
      <c r="V1116" t="s">
        <v>33</v>
      </c>
      <c r="W1116">
        <v>1</v>
      </c>
    </row>
    <row r="1117" spans="1:23" x14ac:dyDescent="0.25">
      <c r="A1117" t="s">
        <v>1706</v>
      </c>
      <c r="B1117" s="1">
        <v>45773</v>
      </c>
      <c r="C1117" t="s">
        <v>819</v>
      </c>
      <c r="D1117" t="s">
        <v>63</v>
      </c>
      <c r="E1117" t="s">
        <v>26</v>
      </c>
      <c r="F1117" t="s">
        <v>86</v>
      </c>
      <c r="G1117" t="s">
        <v>94</v>
      </c>
      <c r="H1117">
        <v>1</v>
      </c>
      <c r="I1117">
        <v>34157</v>
      </c>
      <c r="J1117">
        <v>10</v>
      </c>
      <c r="K1117">
        <v>3415.7</v>
      </c>
      <c r="L1117">
        <v>30741.3</v>
      </c>
      <c r="M1117">
        <v>20546.169999999998</v>
      </c>
      <c r="N1117">
        <v>10195.129999999999</v>
      </c>
      <c r="O1117" t="s">
        <v>60</v>
      </c>
      <c r="P1117">
        <v>2116.5100000000002</v>
      </c>
      <c r="Q1117" t="s">
        <v>30</v>
      </c>
      <c r="R1117" t="s">
        <v>41</v>
      </c>
      <c r="S1117">
        <v>2</v>
      </c>
      <c r="T1117">
        <v>0</v>
      </c>
      <c r="U1117" t="s">
        <v>32</v>
      </c>
      <c r="V1117" t="s">
        <v>42</v>
      </c>
    </row>
    <row r="1118" spans="1:23" x14ac:dyDescent="0.25">
      <c r="A1118" t="s">
        <v>1707</v>
      </c>
      <c r="B1118" s="1">
        <v>45716</v>
      </c>
      <c r="C1118" t="s">
        <v>898</v>
      </c>
      <c r="D1118" t="s">
        <v>63</v>
      </c>
      <c r="E1118" t="s">
        <v>36</v>
      </c>
      <c r="F1118" t="s">
        <v>53</v>
      </c>
      <c r="G1118" t="s">
        <v>59</v>
      </c>
      <c r="H1118">
        <v>2</v>
      </c>
      <c r="I1118">
        <v>35140</v>
      </c>
      <c r="J1118">
        <v>0</v>
      </c>
      <c r="K1118">
        <v>0</v>
      </c>
      <c r="L1118">
        <v>70280</v>
      </c>
      <c r="M1118">
        <v>44979.9</v>
      </c>
      <c r="N1118">
        <v>25300.1</v>
      </c>
      <c r="O1118" t="s">
        <v>49</v>
      </c>
      <c r="P1118">
        <v>137.86000000000001</v>
      </c>
      <c r="Q1118" t="s">
        <v>40</v>
      </c>
      <c r="R1118" t="s">
        <v>31</v>
      </c>
      <c r="S1118">
        <v>5</v>
      </c>
      <c r="T1118">
        <v>9</v>
      </c>
      <c r="U1118" t="s">
        <v>56</v>
      </c>
      <c r="V1118" t="s">
        <v>33</v>
      </c>
      <c r="W1118">
        <v>2</v>
      </c>
    </row>
    <row r="1119" spans="1:23" x14ac:dyDescent="0.25">
      <c r="A1119" t="s">
        <v>1708</v>
      </c>
      <c r="B1119" s="1">
        <v>45894</v>
      </c>
      <c r="C1119" t="s">
        <v>622</v>
      </c>
      <c r="D1119" t="s">
        <v>79</v>
      </c>
      <c r="E1119" t="s">
        <v>46</v>
      </c>
      <c r="F1119" t="s">
        <v>47</v>
      </c>
      <c r="G1119" t="s">
        <v>105</v>
      </c>
      <c r="H1119">
        <v>2</v>
      </c>
      <c r="I1119">
        <v>46378</v>
      </c>
      <c r="J1119">
        <v>25</v>
      </c>
      <c r="K1119">
        <v>23189</v>
      </c>
      <c r="L1119">
        <v>69567</v>
      </c>
      <c r="M1119">
        <v>47173.19</v>
      </c>
      <c r="N1119">
        <v>22393.81</v>
      </c>
      <c r="O1119" t="s">
        <v>49</v>
      </c>
      <c r="P1119">
        <v>461.12</v>
      </c>
      <c r="Q1119" t="s">
        <v>83</v>
      </c>
      <c r="R1119" t="s">
        <v>31</v>
      </c>
      <c r="S1119">
        <v>5</v>
      </c>
      <c r="T1119">
        <v>6</v>
      </c>
      <c r="U1119" t="s">
        <v>32</v>
      </c>
      <c r="V1119" t="s">
        <v>42</v>
      </c>
    </row>
    <row r="1120" spans="1:23" x14ac:dyDescent="0.25">
      <c r="A1120" t="s">
        <v>1709</v>
      </c>
      <c r="B1120" s="1">
        <v>45718</v>
      </c>
      <c r="C1120" t="s">
        <v>1202</v>
      </c>
      <c r="D1120" t="s">
        <v>97</v>
      </c>
      <c r="E1120" t="s">
        <v>46</v>
      </c>
      <c r="F1120" t="s">
        <v>86</v>
      </c>
      <c r="G1120" t="s">
        <v>87</v>
      </c>
      <c r="H1120">
        <v>1</v>
      </c>
      <c r="I1120">
        <v>30111</v>
      </c>
      <c r="J1120">
        <v>10</v>
      </c>
      <c r="K1120">
        <v>3011.1</v>
      </c>
      <c r="L1120">
        <v>27099.9</v>
      </c>
      <c r="M1120">
        <v>16233.26</v>
      </c>
      <c r="N1120">
        <v>10866.64</v>
      </c>
      <c r="O1120" t="s">
        <v>60</v>
      </c>
      <c r="P1120">
        <v>951.44</v>
      </c>
      <c r="Q1120" t="s">
        <v>68</v>
      </c>
      <c r="R1120" t="s">
        <v>41</v>
      </c>
      <c r="S1120">
        <v>2</v>
      </c>
      <c r="T1120">
        <v>2</v>
      </c>
      <c r="U1120" t="s">
        <v>32</v>
      </c>
      <c r="V1120" t="s">
        <v>33</v>
      </c>
      <c r="W1120">
        <v>4</v>
      </c>
    </row>
    <row r="1121" spans="1:23" x14ac:dyDescent="0.25">
      <c r="A1121" t="s">
        <v>1710</v>
      </c>
      <c r="B1121" s="1">
        <v>45989</v>
      </c>
      <c r="C1121" t="s">
        <v>480</v>
      </c>
      <c r="D1121" t="s">
        <v>97</v>
      </c>
      <c r="E1121" t="s">
        <v>46</v>
      </c>
      <c r="F1121" t="s">
        <v>86</v>
      </c>
      <c r="G1121" t="s">
        <v>87</v>
      </c>
      <c r="H1121">
        <v>2</v>
      </c>
      <c r="I1121">
        <v>61686</v>
      </c>
      <c r="J1121">
        <v>5</v>
      </c>
      <c r="K1121">
        <v>6168.6</v>
      </c>
      <c r="L1121">
        <v>117203.4</v>
      </c>
      <c r="M1121">
        <v>73719.19</v>
      </c>
      <c r="N1121">
        <v>43484.21</v>
      </c>
      <c r="O1121" t="s">
        <v>55</v>
      </c>
      <c r="P1121">
        <v>1891.01</v>
      </c>
      <c r="Q1121" t="s">
        <v>30</v>
      </c>
      <c r="R1121" t="s">
        <v>41</v>
      </c>
      <c r="S1121">
        <v>2</v>
      </c>
      <c r="T1121">
        <v>4</v>
      </c>
      <c r="U1121" t="s">
        <v>56</v>
      </c>
      <c r="V1121" t="s">
        <v>33</v>
      </c>
      <c r="W1121">
        <v>1</v>
      </c>
    </row>
    <row r="1122" spans="1:23" x14ac:dyDescent="0.25">
      <c r="A1122" t="s">
        <v>1711</v>
      </c>
      <c r="B1122" s="1">
        <v>45736</v>
      </c>
      <c r="C1122" t="s">
        <v>1005</v>
      </c>
      <c r="D1122" t="s">
        <v>45</v>
      </c>
      <c r="E1122" t="s">
        <v>36</v>
      </c>
      <c r="F1122" t="s">
        <v>27</v>
      </c>
      <c r="G1122" t="s">
        <v>76</v>
      </c>
      <c r="H1122">
        <v>1</v>
      </c>
      <c r="I1122">
        <v>22756</v>
      </c>
      <c r="J1122">
        <v>15</v>
      </c>
      <c r="K1122">
        <v>3413.4</v>
      </c>
      <c r="L1122">
        <v>19342.599999999999</v>
      </c>
      <c r="M1122">
        <v>13923.93</v>
      </c>
      <c r="N1122">
        <v>5418.67</v>
      </c>
      <c r="O1122" t="s">
        <v>55</v>
      </c>
      <c r="P1122">
        <v>321.11</v>
      </c>
      <c r="Q1122" t="s">
        <v>40</v>
      </c>
      <c r="R1122" t="s">
        <v>41</v>
      </c>
      <c r="S1122">
        <v>2</v>
      </c>
      <c r="T1122">
        <v>4</v>
      </c>
      <c r="U1122" t="s">
        <v>56</v>
      </c>
      <c r="V1122" t="s">
        <v>33</v>
      </c>
      <c r="W1122">
        <v>3</v>
      </c>
    </row>
    <row r="1123" spans="1:23" x14ac:dyDescent="0.25">
      <c r="A1123" t="s">
        <v>1712</v>
      </c>
      <c r="B1123" s="1">
        <v>45913</v>
      </c>
      <c r="C1123" t="s">
        <v>1158</v>
      </c>
      <c r="D1123" t="s">
        <v>90</v>
      </c>
      <c r="E1123" t="s">
        <v>46</v>
      </c>
      <c r="F1123" t="s">
        <v>37</v>
      </c>
      <c r="G1123" t="s">
        <v>38</v>
      </c>
      <c r="H1123">
        <v>2</v>
      </c>
      <c r="I1123">
        <v>5111</v>
      </c>
      <c r="J1123">
        <v>25</v>
      </c>
      <c r="K1123">
        <v>2555.5</v>
      </c>
      <c r="L1123">
        <v>7666.5</v>
      </c>
      <c r="M1123">
        <v>6091.79</v>
      </c>
      <c r="N1123">
        <v>1574.71</v>
      </c>
      <c r="O1123" t="s">
        <v>55</v>
      </c>
      <c r="P1123">
        <v>1819.83</v>
      </c>
      <c r="Q1123" t="s">
        <v>40</v>
      </c>
      <c r="R1123" t="s">
        <v>41</v>
      </c>
      <c r="S1123">
        <v>2</v>
      </c>
      <c r="T1123">
        <v>1</v>
      </c>
      <c r="U1123" t="s">
        <v>32</v>
      </c>
      <c r="V1123" t="s">
        <v>50</v>
      </c>
      <c r="W1123">
        <v>1</v>
      </c>
    </row>
    <row r="1124" spans="1:23" x14ac:dyDescent="0.25">
      <c r="A1124" t="s">
        <v>1713</v>
      </c>
      <c r="B1124" s="1">
        <v>45807</v>
      </c>
      <c r="C1124" t="s">
        <v>1069</v>
      </c>
      <c r="D1124" t="s">
        <v>63</v>
      </c>
      <c r="E1124" t="s">
        <v>46</v>
      </c>
      <c r="F1124" t="s">
        <v>37</v>
      </c>
      <c r="G1124" t="s">
        <v>100</v>
      </c>
      <c r="H1124">
        <v>1</v>
      </c>
      <c r="I1124">
        <v>34003</v>
      </c>
      <c r="J1124">
        <v>10</v>
      </c>
      <c r="K1124">
        <v>3400.3</v>
      </c>
      <c r="L1124">
        <v>30602.7</v>
      </c>
      <c r="M1124">
        <v>20450.89</v>
      </c>
      <c r="N1124">
        <v>10151.81</v>
      </c>
      <c r="O1124" t="s">
        <v>39</v>
      </c>
      <c r="P1124">
        <v>1982.8</v>
      </c>
      <c r="Q1124" t="s">
        <v>30</v>
      </c>
      <c r="R1124" t="s">
        <v>41</v>
      </c>
      <c r="S1124">
        <v>2</v>
      </c>
      <c r="T1124">
        <v>6</v>
      </c>
      <c r="U1124" t="s">
        <v>32</v>
      </c>
      <c r="V1124" t="s">
        <v>42</v>
      </c>
    </row>
    <row r="1125" spans="1:23" x14ac:dyDescent="0.25">
      <c r="A1125" t="s">
        <v>1714</v>
      </c>
      <c r="B1125" s="1">
        <v>45918</v>
      </c>
      <c r="C1125" t="s">
        <v>540</v>
      </c>
      <c r="D1125" t="s">
        <v>97</v>
      </c>
      <c r="E1125" t="s">
        <v>36</v>
      </c>
      <c r="F1125" t="s">
        <v>86</v>
      </c>
      <c r="G1125" t="s">
        <v>110</v>
      </c>
      <c r="H1125">
        <v>2</v>
      </c>
      <c r="I1125">
        <v>12729</v>
      </c>
      <c r="J1125">
        <v>0</v>
      </c>
      <c r="K1125">
        <v>0</v>
      </c>
      <c r="L1125">
        <v>25458</v>
      </c>
      <c r="M1125">
        <v>17033.919999999998</v>
      </c>
      <c r="N1125">
        <v>8424.08</v>
      </c>
      <c r="O1125" t="s">
        <v>91</v>
      </c>
      <c r="P1125">
        <v>1439.27</v>
      </c>
      <c r="Q1125" t="s">
        <v>83</v>
      </c>
      <c r="R1125" t="s">
        <v>41</v>
      </c>
      <c r="S1125">
        <v>2</v>
      </c>
      <c r="T1125">
        <v>5</v>
      </c>
      <c r="U1125" t="s">
        <v>32</v>
      </c>
      <c r="V1125" t="s">
        <v>42</v>
      </c>
    </row>
    <row r="1126" spans="1:23" x14ac:dyDescent="0.25">
      <c r="A1126" t="s">
        <v>1715</v>
      </c>
      <c r="B1126" s="1">
        <v>46019</v>
      </c>
      <c r="C1126" t="s">
        <v>640</v>
      </c>
      <c r="D1126" t="s">
        <v>97</v>
      </c>
      <c r="E1126" t="s">
        <v>26</v>
      </c>
      <c r="F1126" t="s">
        <v>47</v>
      </c>
      <c r="G1126" t="s">
        <v>48</v>
      </c>
      <c r="H1126">
        <v>3</v>
      </c>
      <c r="I1126">
        <v>12370</v>
      </c>
      <c r="J1126">
        <v>25</v>
      </c>
      <c r="K1126">
        <v>9277.5</v>
      </c>
      <c r="L1126">
        <v>27832.5</v>
      </c>
      <c r="M1126">
        <v>17556.66</v>
      </c>
      <c r="N1126">
        <v>10275.84</v>
      </c>
      <c r="O1126" t="s">
        <v>91</v>
      </c>
      <c r="P1126">
        <v>427.43</v>
      </c>
      <c r="Q1126" t="s">
        <v>73</v>
      </c>
      <c r="R1126" t="s">
        <v>41</v>
      </c>
      <c r="S1126">
        <v>2</v>
      </c>
      <c r="T1126">
        <v>5</v>
      </c>
      <c r="U1126" t="s">
        <v>56</v>
      </c>
      <c r="V1126" t="s">
        <v>33</v>
      </c>
      <c r="W1126">
        <v>5</v>
      </c>
    </row>
    <row r="1127" spans="1:23" x14ac:dyDescent="0.25">
      <c r="A1127" t="s">
        <v>1716</v>
      </c>
      <c r="B1127" s="1">
        <v>45797</v>
      </c>
      <c r="C1127" t="s">
        <v>1634</v>
      </c>
      <c r="D1127" t="s">
        <v>154</v>
      </c>
      <c r="E1127" t="s">
        <v>36</v>
      </c>
      <c r="F1127" t="s">
        <v>47</v>
      </c>
      <c r="G1127" t="s">
        <v>105</v>
      </c>
      <c r="H1127">
        <v>4</v>
      </c>
      <c r="I1127">
        <v>12439</v>
      </c>
      <c r="J1127">
        <v>0</v>
      </c>
      <c r="K1127">
        <v>0</v>
      </c>
      <c r="L1127">
        <v>49756</v>
      </c>
      <c r="M1127">
        <v>30185.89</v>
      </c>
      <c r="N1127">
        <v>19570.11</v>
      </c>
      <c r="O1127" t="s">
        <v>29</v>
      </c>
      <c r="P1127">
        <v>1199.1600000000001</v>
      </c>
      <c r="Q1127" t="s">
        <v>40</v>
      </c>
      <c r="R1127" t="s">
        <v>41</v>
      </c>
      <c r="S1127">
        <v>2</v>
      </c>
      <c r="T1127">
        <v>6</v>
      </c>
      <c r="U1127" t="s">
        <v>32</v>
      </c>
      <c r="V1127" t="s">
        <v>42</v>
      </c>
    </row>
    <row r="1128" spans="1:23" x14ac:dyDescent="0.25">
      <c r="A1128" t="s">
        <v>1717</v>
      </c>
      <c r="B1128" s="1">
        <v>45870</v>
      </c>
      <c r="C1128" t="s">
        <v>239</v>
      </c>
      <c r="D1128" t="s">
        <v>124</v>
      </c>
      <c r="E1128" t="s">
        <v>36</v>
      </c>
      <c r="F1128" t="s">
        <v>53</v>
      </c>
      <c r="G1128" t="s">
        <v>151</v>
      </c>
      <c r="H1128">
        <v>1</v>
      </c>
      <c r="I1128">
        <v>79617</v>
      </c>
      <c r="J1128">
        <v>0</v>
      </c>
      <c r="K1128">
        <v>0</v>
      </c>
      <c r="L1128">
        <v>79617</v>
      </c>
      <c r="M1128">
        <v>59651.44</v>
      </c>
      <c r="N1128">
        <v>19965.560000000001</v>
      </c>
      <c r="O1128" t="s">
        <v>29</v>
      </c>
      <c r="P1128">
        <v>442.34</v>
      </c>
      <c r="Q1128" t="s">
        <v>30</v>
      </c>
      <c r="R1128" t="s">
        <v>31</v>
      </c>
      <c r="S1128">
        <v>5</v>
      </c>
      <c r="T1128">
        <v>6</v>
      </c>
      <c r="U1128" t="s">
        <v>32</v>
      </c>
      <c r="V1128" t="s">
        <v>42</v>
      </c>
    </row>
    <row r="1129" spans="1:23" x14ac:dyDescent="0.25">
      <c r="A1129" t="s">
        <v>1718</v>
      </c>
      <c r="B1129" s="1">
        <v>45905</v>
      </c>
      <c r="C1129" t="s">
        <v>121</v>
      </c>
      <c r="D1129" t="s">
        <v>25</v>
      </c>
      <c r="E1129" t="s">
        <v>26</v>
      </c>
      <c r="F1129" t="s">
        <v>37</v>
      </c>
      <c r="G1129" t="s">
        <v>224</v>
      </c>
      <c r="H1129">
        <v>1</v>
      </c>
      <c r="I1129">
        <v>28488</v>
      </c>
      <c r="J1129">
        <v>0</v>
      </c>
      <c r="K1129">
        <v>0</v>
      </c>
      <c r="L1129">
        <v>28488</v>
      </c>
      <c r="M1129">
        <v>20498.86</v>
      </c>
      <c r="N1129">
        <v>7989.14</v>
      </c>
      <c r="O1129" t="s">
        <v>91</v>
      </c>
      <c r="P1129">
        <v>1438.46</v>
      </c>
      <c r="Q1129" t="s">
        <v>83</v>
      </c>
      <c r="R1129" t="s">
        <v>41</v>
      </c>
      <c r="S1129">
        <v>2</v>
      </c>
      <c r="T1129">
        <v>5</v>
      </c>
      <c r="U1129" t="s">
        <v>32</v>
      </c>
      <c r="V1129" t="s">
        <v>50</v>
      </c>
      <c r="W1129">
        <v>5</v>
      </c>
    </row>
    <row r="1130" spans="1:23" x14ac:dyDescent="0.25">
      <c r="A1130" t="s">
        <v>1719</v>
      </c>
      <c r="B1130" s="1">
        <v>45899</v>
      </c>
      <c r="C1130" t="s">
        <v>1007</v>
      </c>
      <c r="E1130" t="s">
        <v>26</v>
      </c>
      <c r="F1130" t="s">
        <v>27</v>
      </c>
      <c r="G1130" t="s">
        <v>164</v>
      </c>
      <c r="H1130">
        <v>1</v>
      </c>
      <c r="I1130">
        <v>22363</v>
      </c>
      <c r="J1130">
        <v>0</v>
      </c>
      <c r="K1130">
        <v>0</v>
      </c>
      <c r="L1130">
        <v>22363</v>
      </c>
      <c r="M1130">
        <v>12362.66</v>
      </c>
      <c r="N1130">
        <v>10000.34</v>
      </c>
      <c r="O1130" t="s">
        <v>91</v>
      </c>
      <c r="P1130">
        <v>1519.06</v>
      </c>
      <c r="Q1130" t="s">
        <v>30</v>
      </c>
      <c r="R1130" t="s">
        <v>31</v>
      </c>
      <c r="S1130">
        <v>5</v>
      </c>
      <c r="T1130">
        <v>6</v>
      </c>
      <c r="U1130" t="s">
        <v>32</v>
      </c>
      <c r="V1130" t="s">
        <v>42</v>
      </c>
    </row>
    <row r="1131" spans="1:23" x14ac:dyDescent="0.25">
      <c r="A1131" t="s">
        <v>1720</v>
      </c>
      <c r="B1131" s="1">
        <v>45782</v>
      </c>
      <c r="C1131" t="s">
        <v>1041</v>
      </c>
      <c r="D1131" t="s">
        <v>25</v>
      </c>
      <c r="E1131" t="s">
        <v>46</v>
      </c>
      <c r="F1131" t="s">
        <v>86</v>
      </c>
      <c r="G1131" t="s">
        <v>87</v>
      </c>
      <c r="H1131">
        <v>1</v>
      </c>
      <c r="I1131">
        <v>75614</v>
      </c>
      <c r="J1131">
        <v>0</v>
      </c>
      <c r="K1131">
        <v>0</v>
      </c>
      <c r="L1131">
        <v>75614</v>
      </c>
      <c r="M1131">
        <v>59055.14</v>
      </c>
      <c r="N1131">
        <v>16558.86</v>
      </c>
      <c r="O1131" t="s">
        <v>55</v>
      </c>
      <c r="P1131">
        <v>953.8</v>
      </c>
      <c r="Q1131" t="s">
        <v>68</v>
      </c>
      <c r="R1131" t="s">
        <v>31</v>
      </c>
      <c r="S1131">
        <v>5</v>
      </c>
      <c r="T1131">
        <v>0</v>
      </c>
      <c r="U1131" t="s">
        <v>32</v>
      </c>
      <c r="V1131" t="s">
        <v>50</v>
      </c>
      <c r="W1131">
        <v>3</v>
      </c>
    </row>
    <row r="1132" spans="1:23" x14ac:dyDescent="0.25">
      <c r="A1132" t="s">
        <v>1721</v>
      </c>
      <c r="B1132" s="1">
        <v>45891</v>
      </c>
      <c r="C1132" t="s">
        <v>961</v>
      </c>
      <c r="D1132" t="s">
        <v>124</v>
      </c>
      <c r="E1132" t="s">
        <v>46</v>
      </c>
      <c r="F1132" t="s">
        <v>86</v>
      </c>
      <c r="G1132" t="s">
        <v>87</v>
      </c>
      <c r="H1132">
        <v>1</v>
      </c>
      <c r="I1132">
        <v>71036</v>
      </c>
      <c r="J1132">
        <v>15</v>
      </c>
      <c r="K1132">
        <v>10655.4</v>
      </c>
      <c r="L1132">
        <v>60380.6</v>
      </c>
      <c r="M1132">
        <v>35489.449999999997</v>
      </c>
      <c r="N1132">
        <v>24891.15</v>
      </c>
      <c r="O1132" t="s">
        <v>60</v>
      </c>
      <c r="P1132">
        <v>1787.48</v>
      </c>
      <c r="Q1132" t="s">
        <v>40</v>
      </c>
      <c r="R1132" t="s">
        <v>31</v>
      </c>
      <c r="S1132">
        <v>5</v>
      </c>
      <c r="T1132">
        <v>5</v>
      </c>
      <c r="U1132" t="s">
        <v>32</v>
      </c>
      <c r="V1132" t="s">
        <v>33</v>
      </c>
      <c r="W1132">
        <v>2</v>
      </c>
    </row>
    <row r="1133" spans="1:23" x14ac:dyDescent="0.25">
      <c r="A1133" t="s">
        <v>1722</v>
      </c>
      <c r="B1133" s="1">
        <v>45940</v>
      </c>
      <c r="C1133" t="s">
        <v>1003</v>
      </c>
      <c r="D1133" t="s">
        <v>124</v>
      </c>
      <c r="E1133" t="s">
        <v>46</v>
      </c>
      <c r="F1133" t="s">
        <v>37</v>
      </c>
      <c r="G1133" t="s">
        <v>100</v>
      </c>
      <c r="H1133">
        <v>2</v>
      </c>
      <c r="I1133">
        <v>25880</v>
      </c>
      <c r="J1133">
        <v>25</v>
      </c>
      <c r="K1133">
        <v>12940</v>
      </c>
      <c r="L1133">
        <v>38820</v>
      </c>
      <c r="M1133">
        <v>24723.47</v>
      </c>
      <c r="N1133">
        <v>14096.53</v>
      </c>
      <c r="O1133" t="s">
        <v>91</v>
      </c>
      <c r="P1133">
        <v>1655.6</v>
      </c>
      <c r="Q1133" t="s">
        <v>73</v>
      </c>
      <c r="R1133" t="s">
        <v>31</v>
      </c>
      <c r="S1133">
        <v>5</v>
      </c>
      <c r="T1133">
        <v>5</v>
      </c>
      <c r="U1133" t="s">
        <v>32</v>
      </c>
      <c r="V1133" t="s">
        <v>33</v>
      </c>
      <c r="W1133">
        <v>3</v>
      </c>
    </row>
    <row r="1134" spans="1:23" x14ac:dyDescent="0.25">
      <c r="A1134" t="s">
        <v>1723</v>
      </c>
      <c r="B1134" s="1">
        <v>45732</v>
      </c>
      <c r="C1134" t="s">
        <v>423</v>
      </c>
      <c r="D1134" t="s">
        <v>25</v>
      </c>
      <c r="E1134" t="s">
        <v>36</v>
      </c>
      <c r="F1134" t="s">
        <v>27</v>
      </c>
      <c r="G1134" t="s">
        <v>76</v>
      </c>
      <c r="H1134">
        <v>1</v>
      </c>
      <c r="I1134">
        <v>15200</v>
      </c>
      <c r="J1134">
        <v>0</v>
      </c>
      <c r="K1134">
        <v>0</v>
      </c>
      <c r="L1134">
        <v>15200</v>
      </c>
      <c r="M1134">
        <v>8775.58</v>
      </c>
      <c r="N1134">
        <v>6424.42</v>
      </c>
      <c r="O1134" t="s">
        <v>60</v>
      </c>
      <c r="P1134">
        <v>2399.9899999999998</v>
      </c>
      <c r="Q1134" t="s">
        <v>40</v>
      </c>
      <c r="R1134" t="s">
        <v>31</v>
      </c>
      <c r="S1134">
        <v>5</v>
      </c>
      <c r="T1134">
        <v>8</v>
      </c>
      <c r="U1134" t="s">
        <v>56</v>
      </c>
      <c r="V1134" t="s">
        <v>33</v>
      </c>
      <c r="W1134">
        <v>4</v>
      </c>
    </row>
    <row r="1135" spans="1:23" x14ac:dyDescent="0.25">
      <c r="A1135" t="s">
        <v>1724</v>
      </c>
      <c r="B1135" s="1">
        <v>45854</v>
      </c>
      <c r="C1135" t="s">
        <v>52</v>
      </c>
      <c r="D1135" t="s">
        <v>124</v>
      </c>
      <c r="E1135" t="s">
        <v>26</v>
      </c>
      <c r="F1135" t="s">
        <v>53</v>
      </c>
      <c r="G1135" t="s">
        <v>268</v>
      </c>
      <c r="H1135">
        <v>1</v>
      </c>
      <c r="I1135">
        <v>29762</v>
      </c>
      <c r="J1135">
        <v>15</v>
      </c>
      <c r="K1135">
        <v>4464.3</v>
      </c>
      <c r="L1135">
        <v>25297.7</v>
      </c>
      <c r="M1135">
        <v>13945.74</v>
      </c>
      <c r="N1135">
        <v>11351.96</v>
      </c>
      <c r="P1135">
        <v>1398.85</v>
      </c>
      <c r="Q1135" t="s">
        <v>30</v>
      </c>
      <c r="R1135" t="s">
        <v>41</v>
      </c>
      <c r="S1135">
        <v>2</v>
      </c>
      <c r="T1135">
        <v>2</v>
      </c>
      <c r="U1135" t="s">
        <v>32</v>
      </c>
      <c r="V1135" t="s">
        <v>33</v>
      </c>
      <c r="W1135">
        <v>2</v>
      </c>
    </row>
    <row r="1136" spans="1:23" x14ac:dyDescent="0.25">
      <c r="A1136" t="s">
        <v>1725</v>
      </c>
      <c r="B1136" s="1">
        <v>45755</v>
      </c>
      <c r="C1136" t="s">
        <v>211</v>
      </c>
      <c r="D1136" t="s">
        <v>71</v>
      </c>
      <c r="E1136" t="s">
        <v>46</v>
      </c>
      <c r="F1136" t="s">
        <v>86</v>
      </c>
      <c r="G1136" t="s">
        <v>94</v>
      </c>
      <c r="H1136">
        <v>1</v>
      </c>
      <c r="I1136">
        <v>48379</v>
      </c>
      <c r="J1136">
        <v>10</v>
      </c>
      <c r="K1136">
        <v>4837.8999999999996</v>
      </c>
      <c r="L1136">
        <v>43541.1</v>
      </c>
      <c r="M1136">
        <v>30241.97</v>
      </c>
      <c r="N1136">
        <v>13299.13</v>
      </c>
      <c r="O1136" t="s">
        <v>55</v>
      </c>
      <c r="P1136">
        <v>810.88</v>
      </c>
      <c r="Q1136" t="s">
        <v>73</v>
      </c>
      <c r="R1136" t="s">
        <v>41</v>
      </c>
      <c r="S1136">
        <v>2</v>
      </c>
      <c r="T1136">
        <v>3</v>
      </c>
      <c r="U1136" t="s">
        <v>32</v>
      </c>
      <c r="V1136" t="s">
        <v>50</v>
      </c>
      <c r="W1136">
        <v>5</v>
      </c>
    </row>
    <row r="1137" spans="1:23" x14ac:dyDescent="0.25">
      <c r="A1137" t="s">
        <v>1726</v>
      </c>
      <c r="B1137" s="1">
        <v>45964</v>
      </c>
      <c r="C1137" t="s">
        <v>1303</v>
      </c>
      <c r="D1137" t="s">
        <v>97</v>
      </c>
      <c r="E1137" t="s">
        <v>46</v>
      </c>
      <c r="F1137" t="s">
        <v>53</v>
      </c>
      <c r="G1137" t="s">
        <v>151</v>
      </c>
      <c r="H1137">
        <v>1</v>
      </c>
      <c r="I1137">
        <v>37048</v>
      </c>
      <c r="J1137">
        <v>15</v>
      </c>
      <c r="K1137">
        <v>5557.2</v>
      </c>
      <c r="L1137">
        <v>31490.799999999999</v>
      </c>
      <c r="M1137">
        <v>19092.97</v>
      </c>
      <c r="N1137">
        <v>12397.83</v>
      </c>
      <c r="O1137" t="s">
        <v>29</v>
      </c>
      <c r="P1137">
        <v>1657.65</v>
      </c>
      <c r="Q1137" t="s">
        <v>73</v>
      </c>
      <c r="R1137" t="s">
        <v>31</v>
      </c>
      <c r="S1137">
        <v>5</v>
      </c>
      <c r="T1137">
        <v>6</v>
      </c>
      <c r="U1137" t="s">
        <v>56</v>
      </c>
      <c r="V1137" t="s">
        <v>33</v>
      </c>
      <c r="W1137">
        <v>3</v>
      </c>
    </row>
    <row r="1138" spans="1:23" x14ac:dyDescent="0.25">
      <c r="A1138" t="s">
        <v>1727</v>
      </c>
      <c r="B1138" s="1">
        <v>45918</v>
      </c>
      <c r="C1138" t="s">
        <v>640</v>
      </c>
      <c r="D1138" t="s">
        <v>45</v>
      </c>
      <c r="E1138" t="s">
        <v>26</v>
      </c>
      <c r="F1138" t="s">
        <v>27</v>
      </c>
      <c r="G1138" t="s">
        <v>164</v>
      </c>
      <c r="H1138">
        <v>2</v>
      </c>
      <c r="I1138">
        <v>22345</v>
      </c>
      <c r="J1138">
        <v>15</v>
      </c>
      <c r="K1138">
        <v>6703.5</v>
      </c>
      <c r="L1138">
        <v>37986.5</v>
      </c>
      <c r="M1138">
        <v>25972.52</v>
      </c>
      <c r="N1138">
        <v>12013.98</v>
      </c>
      <c r="O1138" t="s">
        <v>91</v>
      </c>
      <c r="P1138">
        <v>599.51</v>
      </c>
      <c r="Q1138" t="s">
        <v>40</v>
      </c>
      <c r="R1138" t="s">
        <v>31</v>
      </c>
      <c r="S1138">
        <v>5</v>
      </c>
      <c r="T1138">
        <v>7</v>
      </c>
      <c r="U1138" t="s">
        <v>56</v>
      </c>
      <c r="V1138" t="s">
        <v>33</v>
      </c>
      <c r="W1138">
        <v>5</v>
      </c>
    </row>
    <row r="1139" spans="1:23" x14ac:dyDescent="0.25">
      <c r="A1139" t="s">
        <v>1728</v>
      </c>
      <c r="B1139" s="1">
        <v>45727</v>
      </c>
      <c r="C1139" t="s">
        <v>1729</v>
      </c>
      <c r="D1139" t="s">
        <v>67</v>
      </c>
      <c r="E1139" t="s">
        <v>36</v>
      </c>
      <c r="F1139" t="s">
        <v>37</v>
      </c>
      <c r="G1139" t="s">
        <v>313</v>
      </c>
      <c r="H1139">
        <v>2</v>
      </c>
      <c r="I1139">
        <v>25538</v>
      </c>
      <c r="J1139">
        <v>25</v>
      </c>
      <c r="K1139">
        <v>12769</v>
      </c>
      <c r="L1139">
        <v>38307</v>
      </c>
      <c r="M1139">
        <v>28811.71</v>
      </c>
      <c r="N1139">
        <v>9495.2900000000009</v>
      </c>
      <c r="O1139" t="s">
        <v>39</v>
      </c>
      <c r="P1139">
        <v>1329.21</v>
      </c>
      <c r="Q1139" t="s">
        <v>30</v>
      </c>
      <c r="R1139" t="s">
        <v>31</v>
      </c>
      <c r="S1139">
        <v>5</v>
      </c>
      <c r="T1139">
        <v>2</v>
      </c>
      <c r="U1139" t="s">
        <v>32</v>
      </c>
      <c r="V1139" t="s">
        <v>33</v>
      </c>
      <c r="W1139">
        <v>5</v>
      </c>
    </row>
    <row r="1140" spans="1:23" x14ac:dyDescent="0.25">
      <c r="A1140" t="s">
        <v>1730</v>
      </c>
      <c r="B1140" s="1">
        <v>45693</v>
      </c>
      <c r="C1140" t="s">
        <v>1050</v>
      </c>
      <c r="D1140" t="s">
        <v>71</v>
      </c>
      <c r="E1140" t="s">
        <v>36</v>
      </c>
      <c r="F1140" t="s">
        <v>86</v>
      </c>
      <c r="G1140" t="s">
        <v>87</v>
      </c>
      <c r="H1140">
        <v>4</v>
      </c>
      <c r="I1140">
        <v>56298</v>
      </c>
      <c r="J1140">
        <v>5</v>
      </c>
      <c r="K1140">
        <v>11259.6</v>
      </c>
      <c r="L1140">
        <v>213932.4</v>
      </c>
      <c r="M1140">
        <v>135284.01999999999</v>
      </c>
      <c r="N1140">
        <v>78648.38</v>
      </c>
      <c r="O1140" t="s">
        <v>29</v>
      </c>
      <c r="P1140">
        <v>1334.86</v>
      </c>
      <c r="Q1140" t="s">
        <v>40</v>
      </c>
      <c r="R1140" t="s">
        <v>31</v>
      </c>
      <c r="S1140">
        <v>5</v>
      </c>
      <c r="T1140">
        <v>6</v>
      </c>
      <c r="U1140" t="s">
        <v>56</v>
      </c>
      <c r="V1140" t="s">
        <v>33</v>
      </c>
      <c r="W1140">
        <v>5</v>
      </c>
    </row>
    <row r="1141" spans="1:23" x14ac:dyDescent="0.25">
      <c r="A1141" t="s">
        <v>1731</v>
      </c>
      <c r="B1141" s="1">
        <v>45799</v>
      </c>
      <c r="C1141" t="s">
        <v>578</v>
      </c>
      <c r="D1141" t="s">
        <v>97</v>
      </c>
      <c r="E1141" t="s">
        <v>26</v>
      </c>
      <c r="F1141" t="s">
        <v>27</v>
      </c>
      <c r="G1141" t="s">
        <v>113</v>
      </c>
      <c r="H1141">
        <v>1</v>
      </c>
      <c r="I1141">
        <v>3956</v>
      </c>
      <c r="J1141">
        <v>0</v>
      </c>
      <c r="K1141">
        <v>0</v>
      </c>
      <c r="L1141">
        <v>3956</v>
      </c>
      <c r="M1141">
        <v>2424.19</v>
      </c>
      <c r="N1141">
        <v>1531.81</v>
      </c>
      <c r="O1141" t="s">
        <v>91</v>
      </c>
      <c r="P1141">
        <v>2300.23</v>
      </c>
      <c r="Q1141" t="s">
        <v>73</v>
      </c>
      <c r="R1141" t="s">
        <v>31</v>
      </c>
      <c r="S1141">
        <v>5</v>
      </c>
      <c r="T1141">
        <v>6</v>
      </c>
      <c r="U1141" t="s">
        <v>56</v>
      </c>
      <c r="V1141" t="s">
        <v>33</v>
      </c>
      <c r="W1141">
        <v>5</v>
      </c>
    </row>
    <row r="1142" spans="1:23" x14ac:dyDescent="0.25">
      <c r="A1142" t="s">
        <v>1732</v>
      </c>
      <c r="B1142" s="1">
        <v>45870</v>
      </c>
      <c r="C1142" t="s">
        <v>785</v>
      </c>
      <c r="D1142" t="s">
        <v>90</v>
      </c>
      <c r="E1142" t="s">
        <v>26</v>
      </c>
      <c r="F1142" t="s">
        <v>47</v>
      </c>
      <c r="G1142" t="s">
        <v>64</v>
      </c>
      <c r="H1142">
        <v>1</v>
      </c>
      <c r="I1142">
        <v>24334</v>
      </c>
      <c r="J1142">
        <v>0</v>
      </c>
      <c r="K1142">
        <v>0</v>
      </c>
      <c r="L1142">
        <v>24334</v>
      </c>
      <c r="M1142">
        <v>17688.54</v>
      </c>
      <c r="N1142">
        <v>6645.46</v>
      </c>
      <c r="O1142" t="s">
        <v>91</v>
      </c>
      <c r="P1142">
        <v>1605.79</v>
      </c>
      <c r="Q1142" t="s">
        <v>73</v>
      </c>
      <c r="R1142" t="s">
        <v>31</v>
      </c>
      <c r="S1142">
        <v>5</v>
      </c>
      <c r="T1142">
        <v>4</v>
      </c>
      <c r="U1142" t="s">
        <v>32</v>
      </c>
      <c r="V1142" t="s">
        <v>33</v>
      </c>
      <c r="W1142">
        <v>1</v>
      </c>
    </row>
    <row r="1143" spans="1:23" x14ac:dyDescent="0.25">
      <c r="A1143" t="s">
        <v>1733</v>
      </c>
      <c r="B1143" s="1">
        <v>45832</v>
      </c>
      <c r="C1143" t="s">
        <v>394</v>
      </c>
      <c r="D1143" t="s">
        <v>90</v>
      </c>
      <c r="E1143" t="s">
        <v>26</v>
      </c>
      <c r="F1143" t="s">
        <v>27</v>
      </c>
      <c r="G1143" t="s">
        <v>113</v>
      </c>
      <c r="H1143">
        <v>1</v>
      </c>
      <c r="I1143">
        <v>26092</v>
      </c>
      <c r="J1143">
        <v>0</v>
      </c>
      <c r="K1143">
        <v>0</v>
      </c>
      <c r="L1143">
        <v>26092</v>
      </c>
      <c r="M1143">
        <v>18331.12</v>
      </c>
      <c r="N1143">
        <v>7760.88</v>
      </c>
      <c r="O1143" t="s">
        <v>39</v>
      </c>
      <c r="P1143">
        <v>2495.0100000000002</v>
      </c>
      <c r="Q1143" t="s">
        <v>68</v>
      </c>
      <c r="R1143" t="s">
        <v>41</v>
      </c>
      <c r="S1143">
        <v>2</v>
      </c>
      <c r="T1143">
        <v>4</v>
      </c>
      <c r="U1143" t="s">
        <v>56</v>
      </c>
      <c r="V1143" t="s">
        <v>33</v>
      </c>
      <c r="W1143">
        <v>3</v>
      </c>
    </row>
    <row r="1144" spans="1:23" x14ac:dyDescent="0.25">
      <c r="A1144" t="s">
        <v>1734</v>
      </c>
      <c r="B1144" s="1">
        <v>45917</v>
      </c>
      <c r="C1144" t="s">
        <v>148</v>
      </c>
      <c r="D1144" t="s">
        <v>45</v>
      </c>
      <c r="E1144" t="s">
        <v>26</v>
      </c>
      <c r="F1144" t="s">
        <v>37</v>
      </c>
      <c r="G1144" t="s">
        <v>224</v>
      </c>
      <c r="H1144">
        <v>1</v>
      </c>
      <c r="I1144">
        <v>22156</v>
      </c>
      <c r="J1144">
        <v>25</v>
      </c>
      <c r="K1144">
        <v>5539</v>
      </c>
      <c r="L1144">
        <v>16617</v>
      </c>
      <c r="M1144">
        <v>13411.11</v>
      </c>
      <c r="N1144">
        <v>3205.89</v>
      </c>
      <c r="O1144" t="s">
        <v>60</v>
      </c>
      <c r="P1144">
        <v>1912.14</v>
      </c>
      <c r="Q1144" t="s">
        <v>73</v>
      </c>
      <c r="R1144" t="s">
        <v>41</v>
      </c>
      <c r="S1144">
        <v>2</v>
      </c>
      <c r="T1144">
        <v>1</v>
      </c>
      <c r="U1144" t="s">
        <v>32</v>
      </c>
      <c r="V1144" t="s">
        <v>33</v>
      </c>
      <c r="W1144">
        <v>2</v>
      </c>
    </row>
    <row r="1145" spans="1:23" x14ac:dyDescent="0.25">
      <c r="A1145" t="s">
        <v>1735</v>
      </c>
      <c r="B1145" s="1">
        <v>45794</v>
      </c>
      <c r="C1145" t="s">
        <v>983</v>
      </c>
      <c r="D1145" t="s">
        <v>154</v>
      </c>
      <c r="E1145" t="s">
        <v>46</v>
      </c>
      <c r="F1145" t="s">
        <v>37</v>
      </c>
      <c r="G1145" t="s">
        <v>100</v>
      </c>
      <c r="H1145">
        <v>4</v>
      </c>
      <c r="I1145">
        <v>22980</v>
      </c>
      <c r="J1145">
        <v>0</v>
      </c>
      <c r="K1145">
        <v>0</v>
      </c>
      <c r="L1145">
        <v>91920</v>
      </c>
      <c r="M1145">
        <v>57133.24</v>
      </c>
      <c r="N1145">
        <v>34786.76</v>
      </c>
      <c r="O1145" t="s">
        <v>91</v>
      </c>
      <c r="P1145">
        <v>429.26</v>
      </c>
      <c r="Q1145" t="s">
        <v>40</v>
      </c>
      <c r="R1145" t="s">
        <v>31</v>
      </c>
      <c r="S1145">
        <v>5</v>
      </c>
      <c r="T1145">
        <v>1</v>
      </c>
      <c r="U1145" t="s">
        <v>32</v>
      </c>
      <c r="V1145" t="s">
        <v>50</v>
      </c>
      <c r="W1145">
        <v>4</v>
      </c>
    </row>
    <row r="1146" spans="1:23" x14ac:dyDescent="0.25">
      <c r="A1146" t="s">
        <v>1736</v>
      </c>
      <c r="B1146" s="1">
        <v>45659</v>
      </c>
      <c r="C1146" t="s">
        <v>1449</v>
      </c>
      <c r="D1146" t="s">
        <v>124</v>
      </c>
      <c r="E1146" t="s">
        <v>46</v>
      </c>
      <c r="F1146" t="s">
        <v>37</v>
      </c>
      <c r="G1146" t="s">
        <v>224</v>
      </c>
      <c r="H1146">
        <v>1</v>
      </c>
      <c r="I1146">
        <v>35122</v>
      </c>
      <c r="J1146">
        <v>0</v>
      </c>
      <c r="K1146">
        <v>0</v>
      </c>
      <c r="L1146">
        <v>35122</v>
      </c>
      <c r="M1146">
        <v>20732.990000000002</v>
      </c>
      <c r="N1146">
        <v>14389.01</v>
      </c>
      <c r="O1146" t="s">
        <v>39</v>
      </c>
      <c r="P1146">
        <v>1701.43</v>
      </c>
      <c r="Q1146" t="s">
        <v>83</v>
      </c>
      <c r="R1146" t="s">
        <v>41</v>
      </c>
      <c r="S1146">
        <v>2</v>
      </c>
      <c r="T1146">
        <v>1</v>
      </c>
      <c r="U1146" t="s">
        <v>32</v>
      </c>
      <c r="V1146" t="s">
        <v>33</v>
      </c>
      <c r="W1146">
        <v>5</v>
      </c>
    </row>
    <row r="1147" spans="1:23" x14ac:dyDescent="0.25">
      <c r="A1147" t="s">
        <v>1737</v>
      </c>
      <c r="B1147" s="1">
        <v>45802</v>
      </c>
      <c r="C1147" t="s">
        <v>1346</v>
      </c>
      <c r="D1147" t="s">
        <v>45</v>
      </c>
      <c r="E1147" t="s">
        <v>26</v>
      </c>
      <c r="F1147" t="s">
        <v>47</v>
      </c>
      <c r="G1147" t="s">
        <v>138</v>
      </c>
      <c r="H1147">
        <v>1</v>
      </c>
      <c r="I1147">
        <v>34138</v>
      </c>
      <c r="J1147">
        <v>5</v>
      </c>
      <c r="K1147">
        <v>1706.9</v>
      </c>
      <c r="L1147">
        <v>32431.1</v>
      </c>
      <c r="M1147">
        <v>21420.84</v>
      </c>
      <c r="N1147">
        <v>11010.26</v>
      </c>
      <c r="O1147" t="s">
        <v>39</v>
      </c>
      <c r="P1147">
        <v>979.62</v>
      </c>
      <c r="Q1147" t="s">
        <v>30</v>
      </c>
      <c r="R1147" t="s">
        <v>31</v>
      </c>
      <c r="S1147">
        <v>5</v>
      </c>
      <c r="T1147">
        <v>0</v>
      </c>
      <c r="U1147" t="s">
        <v>32</v>
      </c>
      <c r="V1147" t="s">
        <v>42</v>
      </c>
    </row>
    <row r="1148" spans="1:23" x14ac:dyDescent="0.25">
      <c r="A1148" t="s">
        <v>1738</v>
      </c>
      <c r="B1148" s="1">
        <v>45810</v>
      </c>
      <c r="C1148" t="s">
        <v>770</v>
      </c>
      <c r="D1148" t="s">
        <v>90</v>
      </c>
      <c r="E1148" t="s">
        <v>26</v>
      </c>
      <c r="F1148" t="s">
        <v>37</v>
      </c>
      <c r="G1148" t="s">
        <v>313</v>
      </c>
      <c r="H1148">
        <v>1</v>
      </c>
      <c r="I1148">
        <v>34237</v>
      </c>
      <c r="J1148">
        <v>5</v>
      </c>
      <c r="K1148">
        <v>1711.85</v>
      </c>
      <c r="L1148">
        <v>32525.15</v>
      </c>
      <c r="M1148">
        <v>23292.58</v>
      </c>
      <c r="N1148">
        <v>9232.57</v>
      </c>
      <c r="O1148" t="s">
        <v>55</v>
      </c>
      <c r="P1148">
        <v>1990.99</v>
      </c>
      <c r="Q1148" t="s">
        <v>30</v>
      </c>
      <c r="R1148" t="s">
        <v>31</v>
      </c>
      <c r="S1148">
        <v>5</v>
      </c>
      <c r="T1148">
        <v>2</v>
      </c>
      <c r="U1148" t="s">
        <v>32</v>
      </c>
      <c r="V1148" t="s">
        <v>33</v>
      </c>
      <c r="W1148">
        <v>5</v>
      </c>
    </row>
    <row r="1149" spans="1:23" x14ac:dyDescent="0.25">
      <c r="A1149" t="s">
        <v>1739</v>
      </c>
      <c r="B1149" s="1">
        <v>45958</v>
      </c>
      <c r="C1149" t="s">
        <v>1386</v>
      </c>
      <c r="D1149" t="s">
        <v>79</v>
      </c>
      <c r="E1149" t="s">
        <v>26</v>
      </c>
      <c r="F1149" t="s">
        <v>47</v>
      </c>
      <c r="G1149" t="s">
        <v>146</v>
      </c>
      <c r="H1149">
        <v>1</v>
      </c>
      <c r="I1149">
        <v>40378</v>
      </c>
      <c r="J1149">
        <v>20</v>
      </c>
      <c r="K1149">
        <v>8075.6</v>
      </c>
      <c r="L1149">
        <v>32302.400000000001</v>
      </c>
      <c r="M1149">
        <v>19009.46</v>
      </c>
      <c r="N1149">
        <v>13292.94</v>
      </c>
      <c r="O1149" t="s">
        <v>91</v>
      </c>
      <c r="P1149">
        <v>2094.34</v>
      </c>
      <c r="Q1149" t="s">
        <v>73</v>
      </c>
      <c r="R1149" t="s">
        <v>31</v>
      </c>
      <c r="S1149">
        <v>5</v>
      </c>
      <c r="T1149">
        <v>2</v>
      </c>
      <c r="U1149" t="s">
        <v>32</v>
      </c>
      <c r="V1149" t="s">
        <v>33</v>
      </c>
      <c r="W1149">
        <v>5</v>
      </c>
    </row>
    <row r="1150" spans="1:23" x14ac:dyDescent="0.25">
      <c r="A1150" t="s">
        <v>1740</v>
      </c>
      <c r="B1150" s="1">
        <v>45954</v>
      </c>
      <c r="C1150" t="s">
        <v>1212</v>
      </c>
      <c r="D1150" t="s">
        <v>67</v>
      </c>
      <c r="E1150" t="s">
        <v>26</v>
      </c>
      <c r="F1150" t="s">
        <v>86</v>
      </c>
      <c r="G1150" t="s">
        <v>127</v>
      </c>
      <c r="H1150">
        <v>1</v>
      </c>
      <c r="I1150">
        <v>6824</v>
      </c>
      <c r="J1150">
        <v>10</v>
      </c>
      <c r="K1150">
        <v>682.4</v>
      </c>
      <c r="L1150">
        <v>6141.6</v>
      </c>
      <c r="M1150">
        <v>3783.95</v>
      </c>
      <c r="N1150">
        <v>2357.65</v>
      </c>
      <c r="O1150" t="s">
        <v>55</v>
      </c>
      <c r="P1150">
        <v>718.84</v>
      </c>
      <c r="Q1150" t="s">
        <v>73</v>
      </c>
      <c r="R1150" t="s">
        <v>31</v>
      </c>
      <c r="S1150">
        <v>5</v>
      </c>
      <c r="T1150">
        <v>8</v>
      </c>
      <c r="U1150" t="s">
        <v>56</v>
      </c>
      <c r="V1150" t="s">
        <v>33</v>
      </c>
      <c r="W1150">
        <v>5</v>
      </c>
    </row>
    <row r="1151" spans="1:23" x14ac:dyDescent="0.25">
      <c r="A1151" t="s">
        <v>1741</v>
      </c>
      <c r="B1151" s="1">
        <v>45995</v>
      </c>
      <c r="C1151" t="s">
        <v>221</v>
      </c>
      <c r="D1151" t="s">
        <v>25</v>
      </c>
      <c r="E1151" t="s">
        <v>46</v>
      </c>
      <c r="F1151" t="s">
        <v>86</v>
      </c>
      <c r="G1151" t="s">
        <v>87</v>
      </c>
      <c r="H1151">
        <v>1</v>
      </c>
      <c r="I1151">
        <v>29735</v>
      </c>
      <c r="J1151">
        <v>0</v>
      </c>
      <c r="K1151">
        <v>0</v>
      </c>
      <c r="L1151">
        <v>29735</v>
      </c>
      <c r="M1151">
        <v>17493.62</v>
      </c>
      <c r="N1151">
        <v>12241.38</v>
      </c>
      <c r="O1151" t="s">
        <v>91</v>
      </c>
      <c r="P1151">
        <v>901.71</v>
      </c>
      <c r="Q1151" t="s">
        <v>30</v>
      </c>
      <c r="R1151" t="s">
        <v>31</v>
      </c>
      <c r="S1151">
        <v>5</v>
      </c>
      <c r="T1151">
        <v>4</v>
      </c>
      <c r="U1151" t="s">
        <v>32</v>
      </c>
      <c r="V1151" t="s">
        <v>50</v>
      </c>
      <c r="W1151">
        <v>3</v>
      </c>
    </row>
    <row r="1152" spans="1:23" x14ac:dyDescent="0.25">
      <c r="A1152" t="s">
        <v>1742</v>
      </c>
      <c r="B1152" s="1">
        <v>45908</v>
      </c>
      <c r="C1152" t="s">
        <v>299</v>
      </c>
      <c r="D1152" t="s">
        <v>45</v>
      </c>
      <c r="E1152" t="s">
        <v>46</v>
      </c>
      <c r="F1152" t="s">
        <v>27</v>
      </c>
      <c r="G1152" t="s">
        <v>76</v>
      </c>
      <c r="H1152">
        <v>1</v>
      </c>
      <c r="I1152">
        <v>13848</v>
      </c>
      <c r="J1152">
        <v>5</v>
      </c>
      <c r="K1152">
        <v>692.4</v>
      </c>
      <c r="L1152">
        <v>13155.6</v>
      </c>
      <c r="M1152">
        <v>10513.91</v>
      </c>
      <c r="N1152">
        <v>2641.69</v>
      </c>
      <c r="O1152" t="s">
        <v>55</v>
      </c>
      <c r="P1152">
        <v>1698.56</v>
      </c>
      <c r="Q1152" t="s">
        <v>40</v>
      </c>
      <c r="R1152" t="s">
        <v>41</v>
      </c>
      <c r="S1152">
        <v>2</v>
      </c>
      <c r="T1152">
        <v>1</v>
      </c>
      <c r="U1152" t="s">
        <v>32</v>
      </c>
      <c r="V1152" t="s">
        <v>33</v>
      </c>
      <c r="W1152">
        <v>1</v>
      </c>
    </row>
    <row r="1153" spans="1:23" x14ac:dyDescent="0.25">
      <c r="A1153" t="s">
        <v>1743</v>
      </c>
      <c r="B1153" s="1">
        <v>45734</v>
      </c>
      <c r="C1153" t="s">
        <v>1744</v>
      </c>
      <c r="D1153" t="s">
        <v>154</v>
      </c>
      <c r="E1153" t="s">
        <v>36</v>
      </c>
      <c r="F1153" t="s">
        <v>86</v>
      </c>
      <c r="G1153" t="s">
        <v>110</v>
      </c>
      <c r="H1153">
        <v>2</v>
      </c>
      <c r="I1153">
        <v>76785</v>
      </c>
      <c r="J1153">
        <v>15</v>
      </c>
      <c r="K1153">
        <v>23035.5</v>
      </c>
      <c r="L1153">
        <v>130534.5</v>
      </c>
      <c r="M1153">
        <v>73099.97</v>
      </c>
      <c r="N1153">
        <v>57434.53</v>
      </c>
      <c r="O1153" t="s">
        <v>39</v>
      </c>
      <c r="P1153">
        <v>1735.05</v>
      </c>
      <c r="Q1153" t="s">
        <v>73</v>
      </c>
      <c r="R1153" t="s">
        <v>31</v>
      </c>
      <c r="S1153">
        <v>5</v>
      </c>
      <c r="T1153">
        <v>1</v>
      </c>
      <c r="U1153" t="s">
        <v>32</v>
      </c>
      <c r="V1153" t="s">
        <v>33</v>
      </c>
      <c r="W1153">
        <v>5</v>
      </c>
    </row>
    <row r="1154" spans="1:23" x14ac:dyDescent="0.25">
      <c r="A1154" t="s">
        <v>1745</v>
      </c>
      <c r="B1154" s="1">
        <v>45886</v>
      </c>
      <c r="C1154" t="s">
        <v>1116</v>
      </c>
      <c r="D1154" t="s">
        <v>154</v>
      </c>
      <c r="E1154" t="s">
        <v>26</v>
      </c>
      <c r="F1154" t="s">
        <v>37</v>
      </c>
      <c r="G1154" t="s">
        <v>38</v>
      </c>
      <c r="H1154">
        <v>1</v>
      </c>
      <c r="I1154">
        <v>39118</v>
      </c>
      <c r="J1154">
        <v>15</v>
      </c>
      <c r="K1154">
        <v>5867.7</v>
      </c>
      <c r="L1154">
        <v>33250.300000000003</v>
      </c>
      <c r="M1154">
        <v>20579.63</v>
      </c>
      <c r="N1154">
        <v>12670.67</v>
      </c>
      <c r="O1154" t="s">
        <v>60</v>
      </c>
      <c r="P1154">
        <v>2221.2600000000002</v>
      </c>
      <c r="Q1154" t="s">
        <v>40</v>
      </c>
      <c r="R1154" t="s">
        <v>41</v>
      </c>
      <c r="S1154">
        <v>2</v>
      </c>
      <c r="T1154">
        <v>6</v>
      </c>
      <c r="U1154" t="s">
        <v>32</v>
      </c>
      <c r="V1154" t="s">
        <v>42</v>
      </c>
    </row>
    <row r="1155" spans="1:23" x14ac:dyDescent="0.25">
      <c r="A1155" t="s">
        <v>1746</v>
      </c>
      <c r="B1155" s="1">
        <v>45933</v>
      </c>
      <c r="C1155" t="s">
        <v>324</v>
      </c>
      <c r="D1155" t="s">
        <v>67</v>
      </c>
      <c r="E1155" t="s">
        <v>36</v>
      </c>
      <c r="F1155" t="s">
        <v>27</v>
      </c>
      <c r="G1155" t="s">
        <v>76</v>
      </c>
      <c r="H1155">
        <v>3</v>
      </c>
      <c r="I1155">
        <v>13722</v>
      </c>
      <c r="J1155">
        <v>10</v>
      </c>
      <c r="K1155">
        <v>4116.6000000000004</v>
      </c>
      <c r="L1155">
        <v>37049.4</v>
      </c>
      <c r="M1155">
        <v>20613.599999999999</v>
      </c>
      <c r="N1155">
        <v>16435.8</v>
      </c>
      <c r="O1155" t="s">
        <v>60</v>
      </c>
      <c r="P1155">
        <v>1711.9</v>
      </c>
      <c r="Q1155" t="s">
        <v>83</v>
      </c>
      <c r="R1155" t="s">
        <v>31</v>
      </c>
      <c r="S1155">
        <v>5</v>
      </c>
      <c r="T1155">
        <v>3</v>
      </c>
      <c r="U1155" t="s">
        <v>32</v>
      </c>
      <c r="V1155" t="s">
        <v>50</v>
      </c>
      <c r="W1155">
        <v>5</v>
      </c>
    </row>
    <row r="1156" spans="1:23" x14ac:dyDescent="0.25">
      <c r="A1156" t="s">
        <v>1747</v>
      </c>
      <c r="B1156" s="1">
        <v>45905</v>
      </c>
      <c r="C1156" t="s">
        <v>310</v>
      </c>
      <c r="D1156" t="s">
        <v>90</v>
      </c>
      <c r="E1156" t="s">
        <v>46</v>
      </c>
      <c r="F1156" t="s">
        <v>37</v>
      </c>
      <c r="G1156" t="s">
        <v>224</v>
      </c>
      <c r="H1156">
        <v>2</v>
      </c>
      <c r="I1156">
        <v>6858</v>
      </c>
      <c r="J1156">
        <v>0</v>
      </c>
      <c r="K1156">
        <v>0</v>
      </c>
      <c r="L1156">
        <v>13716</v>
      </c>
      <c r="M1156">
        <v>9038.7000000000007</v>
      </c>
      <c r="N1156">
        <v>4677.3</v>
      </c>
      <c r="O1156" t="s">
        <v>60</v>
      </c>
      <c r="P1156">
        <v>2412.48</v>
      </c>
      <c r="Q1156" t="s">
        <v>68</v>
      </c>
      <c r="R1156" t="s">
        <v>31</v>
      </c>
      <c r="S1156">
        <v>5</v>
      </c>
      <c r="T1156">
        <v>3</v>
      </c>
      <c r="U1156" t="s">
        <v>32</v>
      </c>
      <c r="V1156" t="s">
        <v>50</v>
      </c>
      <c r="W1156">
        <v>5</v>
      </c>
    </row>
    <row r="1157" spans="1:23" x14ac:dyDescent="0.25">
      <c r="A1157" t="s">
        <v>1748</v>
      </c>
      <c r="B1157" s="1">
        <v>45834</v>
      </c>
      <c r="C1157" t="s">
        <v>1749</v>
      </c>
      <c r="D1157" t="s">
        <v>63</v>
      </c>
      <c r="E1157" t="s">
        <v>46</v>
      </c>
      <c r="F1157" t="s">
        <v>47</v>
      </c>
      <c r="G1157" t="s">
        <v>48</v>
      </c>
      <c r="H1157">
        <v>1</v>
      </c>
      <c r="I1157">
        <v>9560</v>
      </c>
      <c r="J1157">
        <v>5</v>
      </c>
      <c r="K1157">
        <v>478</v>
      </c>
      <c r="L1157">
        <v>9082</v>
      </c>
      <c r="M1157">
        <v>6402.83</v>
      </c>
      <c r="N1157">
        <v>2679.17</v>
      </c>
      <c r="O1157" t="s">
        <v>29</v>
      </c>
      <c r="P1157">
        <v>830.94</v>
      </c>
      <c r="Q1157" t="s">
        <v>68</v>
      </c>
      <c r="R1157" t="s">
        <v>41</v>
      </c>
      <c r="S1157">
        <v>2</v>
      </c>
      <c r="T1157">
        <v>2</v>
      </c>
      <c r="U1157" t="s">
        <v>32</v>
      </c>
      <c r="V1157" t="s">
        <v>42</v>
      </c>
    </row>
    <row r="1158" spans="1:23" x14ac:dyDescent="0.25">
      <c r="A1158" t="s">
        <v>1750</v>
      </c>
      <c r="B1158" s="1">
        <v>45828</v>
      </c>
      <c r="C1158" t="s">
        <v>335</v>
      </c>
      <c r="D1158" t="s">
        <v>79</v>
      </c>
      <c r="E1158" t="s">
        <v>46</v>
      </c>
      <c r="F1158" t="s">
        <v>47</v>
      </c>
      <c r="G1158" t="s">
        <v>138</v>
      </c>
      <c r="H1158">
        <v>2</v>
      </c>
      <c r="I1158">
        <v>16724</v>
      </c>
      <c r="J1158">
        <v>0</v>
      </c>
      <c r="K1158">
        <v>0</v>
      </c>
      <c r="L1158">
        <v>33448</v>
      </c>
      <c r="M1158">
        <v>26331.45</v>
      </c>
      <c r="N1158">
        <v>7116.55</v>
      </c>
      <c r="O1158" t="s">
        <v>91</v>
      </c>
      <c r="P1158">
        <v>247.43</v>
      </c>
      <c r="Q1158" t="s">
        <v>40</v>
      </c>
      <c r="R1158" t="s">
        <v>31</v>
      </c>
      <c r="S1158">
        <v>5</v>
      </c>
      <c r="T1158">
        <v>3</v>
      </c>
      <c r="U1158" t="s">
        <v>32</v>
      </c>
      <c r="V1158" t="s">
        <v>33</v>
      </c>
      <c r="W1158">
        <v>1</v>
      </c>
    </row>
    <row r="1159" spans="1:23" x14ac:dyDescent="0.25">
      <c r="A1159" t="s">
        <v>1751</v>
      </c>
      <c r="B1159" s="1">
        <v>45940</v>
      </c>
      <c r="C1159" t="s">
        <v>156</v>
      </c>
      <c r="D1159" t="s">
        <v>63</v>
      </c>
      <c r="E1159" t="s">
        <v>26</v>
      </c>
      <c r="F1159" t="s">
        <v>37</v>
      </c>
      <c r="G1159" t="s">
        <v>100</v>
      </c>
      <c r="H1159">
        <v>1</v>
      </c>
      <c r="I1159">
        <v>4316</v>
      </c>
      <c r="J1159">
        <v>0</v>
      </c>
      <c r="K1159">
        <v>0</v>
      </c>
      <c r="L1159">
        <v>4316</v>
      </c>
      <c r="M1159">
        <v>2975.29</v>
      </c>
      <c r="N1159">
        <v>1340.71</v>
      </c>
      <c r="O1159" t="s">
        <v>49</v>
      </c>
      <c r="P1159">
        <v>163.46</v>
      </c>
      <c r="Q1159" t="s">
        <v>30</v>
      </c>
      <c r="R1159" t="s">
        <v>31</v>
      </c>
      <c r="S1159">
        <v>5</v>
      </c>
      <c r="T1159">
        <v>0</v>
      </c>
      <c r="U1159" t="s">
        <v>32</v>
      </c>
      <c r="V1159" t="s">
        <v>42</v>
      </c>
    </row>
    <row r="1160" spans="1:23" x14ac:dyDescent="0.25">
      <c r="A1160" t="s">
        <v>1752</v>
      </c>
      <c r="B1160" s="1">
        <v>45936</v>
      </c>
      <c r="C1160" t="s">
        <v>633</v>
      </c>
      <c r="D1160" t="s">
        <v>79</v>
      </c>
      <c r="E1160" t="s">
        <v>26</v>
      </c>
      <c r="F1160" t="s">
        <v>53</v>
      </c>
      <c r="G1160" t="s">
        <v>151</v>
      </c>
      <c r="H1160">
        <v>2</v>
      </c>
      <c r="I1160">
        <v>28958</v>
      </c>
      <c r="J1160">
        <v>5</v>
      </c>
      <c r="K1160">
        <v>2895.8</v>
      </c>
      <c r="L1160">
        <v>55020.2</v>
      </c>
      <c r="M1160">
        <v>44133.41</v>
      </c>
      <c r="N1160">
        <v>10886.79</v>
      </c>
      <c r="O1160" t="s">
        <v>60</v>
      </c>
      <c r="P1160">
        <v>1620.88</v>
      </c>
      <c r="Q1160" t="s">
        <v>30</v>
      </c>
      <c r="R1160" t="s">
        <v>41</v>
      </c>
      <c r="S1160">
        <v>2</v>
      </c>
      <c r="T1160">
        <v>5</v>
      </c>
      <c r="U1160" t="s">
        <v>32</v>
      </c>
      <c r="V1160" t="s">
        <v>50</v>
      </c>
      <c r="W1160">
        <v>5</v>
      </c>
    </row>
    <row r="1161" spans="1:23" x14ac:dyDescent="0.25">
      <c r="A1161" t="s">
        <v>1753</v>
      </c>
      <c r="B1161" s="1">
        <v>45851</v>
      </c>
      <c r="C1161" t="s">
        <v>133</v>
      </c>
      <c r="D1161" t="s">
        <v>63</v>
      </c>
      <c r="E1161" t="s">
        <v>36</v>
      </c>
      <c r="F1161" t="s">
        <v>53</v>
      </c>
      <c r="G1161" t="s">
        <v>82</v>
      </c>
      <c r="H1161">
        <v>3</v>
      </c>
      <c r="I1161">
        <v>80776</v>
      </c>
      <c r="J1161">
        <v>5</v>
      </c>
      <c r="K1161">
        <v>12116.4</v>
      </c>
      <c r="L1161">
        <v>230211.6</v>
      </c>
      <c r="M1161">
        <v>129141.85</v>
      </c>
      <c r="N1161">
        <v>101069.75</v>
      </c>
      <c r="O1161" t="s">
        <v>29</v>
      </c>
      <c r="P1161">
        <v>703.97</v>
      </c>
      <c r="Q1161" t="s">
        <v>30</v>
      </c>
      <c r="R1161" t="s">
        <v>41</v>
      </c>
      <c r="S1161">
        <v>2</v>
      </c>
      <c r="T1161">
        <v>1</v>
      </c>
      <c r="U1161" t="s">
        <v>32</v>
      </c>
      <c r="V1161" t="s">
        <v>33</v>
      </c>
      <c r="W1161">
        <v>5</v>
      </c>
    </row>
    <row r="1162" spans="1:23" x14ac:dyDescent="0.25">
      <c r="A1162" t="s">
        <v>1754</v>
      </c>
      <c r="B1162" s="1">
        <v>45891</v>
      </c>
      <c r="C1162" t="s">
        <v>1094</v>
      </c>
      <c r="D1162" t="s">
        <v>67</v>
      </c>
      <c r="E1162" t="s">
        <v>36</v>
      </c>
      <c r="F1162" t="s">
        <v>53</v>
      </c>
      <c r="G1162" t="s">
        <v>151</v>
      </c>
      <c r="H1162">
        <v>1</v>
      </c>
      <c r="I1162">
        <v>20162</v>
      </c>
      <c r="J1162">
        <v>10</v>
      </c>
      <c r="K1162">
        <v>2016.2</v>
      </c>
      <c r="L1162">
        <v>18145.8</v>
      </c>
      <c r="M1162">
        <v>11595.64</v>
      </c>
      <c r="N1162">
        <v>6550.16</v>
      </c>
      <c r="O1162" t="s">
        <v>55</v>
      </c>
      <c r="P1162">
        <v>2437.39</v>
      </c>
      <c r="Q1162" t="s">
        <v>68</v>
      </c>
      <c r="R1162" t="s">
        <v>41</v>
      </c>
      <c r="S1162">
        <v>2</v>
      </c>
      <c r="T1162">
        <v>1</v>
      </c>
      <c r="U1162" t="s">
        <v>32</v>
      </c>
      <c r="V1162" t="s">
        <v>33</v>
      </c>
      <c r="W1162">
        <v>2</v>
      </c>
    </row>
    <row r="1163" spans="1:23" x14ac:dyDescent="0.25">
      <c r="A1163" t="s">
        <v>1755</v>
      </c>
      <c r="B1163" s="1">
        <v>45822</v>
      </c>
      <c r="C1163" t="s">
        <v>211</v>
      </c>
      <c r="D1163" t="s">
        <v>25</v>
      </c>
      <c r="E1163" t="s">
        <v>46</v>
      </c>
      <c r="F1163" t="s">
        <v>86</v>
      </c>
      <c r="G1163" t="s">
        <v>180</v>
      </c>
      <c r="H1163">
        <v>1</v>
      </c>
      <c r="I1163">
        <v>9928</v>
      </c>
      <c r="J1163">
        <v>15</v>
      </c>
      <c r="K1163">
        <v>1489.2</v>
      </c>
      <c r="L1163">
        <v>8438.7999999999993</v>
      </c>
      <c r="M1163">
        <v>6790.97</v>
      </c>
      <c r="N1163">
        <v>1647.83</v>
      </c>
      <c r="O1163" t="s">
        <v>91</v>
      </c>
      <c r="P1163">
        <v>1538.61</v>
      </c>
      <c r="Q1163" t="s">
        <v>73</v>
      </c>
      <c r="R1163" t="s">
        <v>41</v>
      </c>
      <c r="S1163">
        <v>2</v>
      </c>
      <c r="T1163">
        <v>2</v>
      </c>
      <c r="U1163" t="s">
        <v>32</v>
      </c>
      <c r="V1163" t="s">
        <v>42</v>
      </c>
    </row>
    <row r="1164" spans="1:23" x14ac:dyDescent="0.25">
      <c r="A1164" t="s">
        <v>1756</v>
      </c>
      <c r="B1164" s="1">
        <v>45754</v>
      </c>
      <c r="C1164" t="s">
        <v>514</v>
      </c>
      <c r="D1164" t="s">
        <v>154</v>
      </c>
      <c r="E1164" t="s">
        <v>46</v>
      </c>
      <c r="F1164" t="s">
        <v>27</v>
      </c>
      <c r="G1164" t="s">
        <v>113</v>
      </c>
      <c r="H1164">
        <v>1</v>
      </c>
      <c r="I1164">
        <v>8063</v>
      </c>
      <c r="J1164">
        <v>0</v>
      </c>
      <c r="K1164">
        <v>0</v>
      </c>
      <c r="L1164">
        <v>8063</v>
      </c>
      <c r="M1164">
        <v>5934</v>
      </c>
      <c r="N1164">
        <v>2129</v>
      </c>
      <c r="O1164" t="s">
        <v>49</v>
      </c>
      <c r="P1164">
        <v>150.12</v>
      </c>
      <c r="Q1164" t="s">
        <v>30</v>
      </c>
      <c r="R1164" t="s">
        <v>31</v>
      </c>
      <c r="S1164">
        <v>5</v>
      </c>
      <c r="T1164">
        <v>2</v>
      </c>
      <c r="U1164" t="s">
        <v>32</v>
      </c>
      <c r="V1164" t="s">
        <v>33</v>
      </c>
      <c r="W1164">
        <v>5</v>
      </c>
    </row>
    <row r="1165" spans="1:23" x14ac:dyDescent="0.25">
      <c r="A1165" t="s">
        <v>1757</v>
      </c>
      <c r="B1165" s="1">
        <v>46015</v>
      </c>
      <c r="C1165" t="s">
        <v>1492</v>
      </c>
      <c r="D1165" t="s">
        <v>154</v>
      </c>
      <c r="E1165" t="s">
        <v>46</v>
      </c>
      <c r="F1165" t="s">
        <v>37</v>
      </c>
      <c r="G1165" t="s">
        <v>313</v>
      </c>
      <c r="H1165">
        <v>1</v>
      </c>
      <c r="I1165">
        <v>25283</v>
      </c>
      <c r="J1165">
        <v>0</v>
      </c>
      <c r="K1165">
        <v>0</v>
      </c>
      <c r="L1165">
        <v>25283</v>
      </c>
      <c r="M1165">
        <v>17097.47</v>
      </c>
      <c r="N1165">
        <v>8185.53</v>
      </c>
      <c r="O1165" t="s">
        <v>60</v>
      </c>
      <c r="P1165">
        <v>916.62</v>
      </c>
      <c r="Q1165" t="s">
        <v>68</v>
      </c>
      <c r="R1165" t="s">
        <v>31</v>
      </c>
      <c r="S1165">
        <v>5</v>
      </c>
      <c r="T1165">
        <v>1</v>
      </c>
      <c r="U1165" t="s">
        <v>32</v>
      </c>
      <c r="V1165" t="s">
        <v>33</v>
      </c>
      <c r="W1165">
        <v>4</v>
      </c>
    </row>
    <row r="1166" spans="1:23" x14ac:dyDescent="0.25">
      <c r="A1166" t="s">
        <v>1758</v>
      </c>
      <c r="B1166" s="1">
        <v>45780</v>
      </c>
      <c r="C1166" t="s">
        <v>1759</v>
      </c>
      <c r="D1166" t="s">
        <v>90</v>
      </c>
      <c r="E1166" t="s">
        <v>46</v>
      </c>
      <c r="F1166" t="s">
        <v>86</v>
      </c>
      <c r="G1166" t="s">
        <v>127</v>
      </c>
      <c r="H1166">
        <v>2</v>
      </c>
      <c r="I1166">
        <v>24283</v>
      </c>
      <c r="J1166">
        <v>0</v>
      </c>
      <c r="K1166">
        <v>0</v>
      </c>
      <c r="L1166">
        <v>48566</v>
      </c>
      <c r="M1166">
        <v>33909.61</v>
      </c>
      <c r="N1166">
        <v>14656.39</v>
      </c>
      <c r="O1166" t="s">
        <v>39</v>
      </c>
      <c r="P1166">
        <v>606.39</v>
      </c>
      <c r="Q1166" t="s">
        <v>73</v>
      </c>
      <c r="R1166" t="s">
        <v>41</v>
      </c>
      <c r="S1166">
        <v>2</v>
      </c>
      <c r="T1166">
        <v>0</v>
      </c>
      <c r="U1166" t="s">
        <v>32</v>
      </c>
      <c r="V1166" t="s">
        <v>50</v>
      </c>
      <c r="W1166">
        <v>5</v>
      </c>
    </row>
    <row r="1167" spans="1:23" x14ac:dyDescent="0.25">
      <c r="A1167" t="s">
        <v>1760</v>
      </c>
      <c r="B1167" s="1">
        <v>45950</v>
      </c>
      <c r="C1167" t="s">
        <v>1615</v>
      </c>
      <c r="D1167" t="s">
        <v>63</v>
      </c>
      <c r="E1167" t="s">
        <v>36</v>
      </c>
      <c r="F1167" t="s">
        <v>86</v>
      </c>
      <c r="G1167" t="s">
        <v>110</v>
      </c>
      <c r="H1167">
        <v>1</v>
      </c>
      <c r="I1167">
        <v>66902</v>
      </c>
      <c r="J1167">
        <v>5</v>
      </c>
      <c r="K1167">
        <v>3345.1</v>
      </c>
      <c r="L1167">
        <v>63556.9</v>
      </c>
      <c r="M1167">
        <v>35906.660000000003</v>
      </c>
      <c r="N1167">
        <v>27650.240000000002</v>
      </c>
      <c r="O1167" t="s">
        <v>49</v>
      </c>
      <c r="P1167">
        <v>74.2</v>
      </c>
      <c r="Q1167" t="s">
        <v>68</v>
      </c>
      <c r="R1167" t="s">
        <v>41</v>
      </c>
      <c r="S1167">
        <v>2</v>
      </c>
      <c r="T1167">
        <v>6</v>
      </c>
      <c r="U1167" t="s">
        <v>56</v>
      </c>
      <c r="V1167" t="s">
        <v>33</v>
      </c>
      <c r="W1167">
        <v>1</v>
      </c>
    </row>
    <row r="1168" spans="1:23" x14ac:dyDescent="0.25">
      <c r="A1168" t="s">
        <v>1761</v>
      </c>
      <c r="B1168" s="1">
        <v>45854</v>
      </c>
      <c r="C1168" t="s">
        <v>1069</v>
      </c>
      <c r="D1168" t="s">
        <v>154</v>
      </c>
      <c r="E1168" t="s">
        <v>46</v>
      </c>
      <c r="F1168" t="s">
        <v>37</v>
      </c>
      <c r="G1168" t="s">
        <v>161</v>
      </c>
      <c r="H1168">
        <v>1</v>
      </c>
      <c r="I1168">
        <v>31998</v>
      </c>
      <c r="J1168">
        <v>0</v>
      </c>
      <c r="K1168">
        <v>0</v>
      </c>
      <c r="L1168">
        <v>31998</v>
      </c>
      <c r="M1168">
        <v>20630.03</v>
      </c>
      <c r="N1168">
        <v>11367.97</v>
      </c>
      <c r="O1168" t="s">
        <v>60</v>
      </c>
      <c r="P1168">
        <v>2280.23</v>
      </c>
      <c r="Q1168" t="s">
        <v>40</v>
      </c>
      <c r="R1168" t="s">
        <v>31</v>
      </c>
      <c r="S1168">
        <v>5</v>
      </c>
      <c r="T1168">
        <v>7</v>
      </c>
      <c r="U1168" t="s">
        <v>56</v>
      </c>
      <c r="V1168" t="s">
        <v>33</v>
      </c>
      <c r="W1168">
        <v>5</v>
      </c>
    </row>
    <row r="1169" spans="1:23" x14ac:dyDescent="0.25">
      <c r="A1169" t="s">
        <v>1762</v>
      </c>
      <c r="B1169" s="1">
        <v>45777</v>
      </c>
      <c r="C1169" t="s">
        <v>1763</v>
      </c>
      <c r="D1169" t="s">
        <v>71</v>
      </c>
      <c r="E1169" t="s">
        <v>26</v>
      </c>
      <c r="F1169" t="s">
        <v>86</v>
      </c>
      <c r="G1169" t="s">
        <v>180</v>
      </c>
      <c r="H1169">
        <v>1</v>
      </c>
      <c r="I1169">
        <v>39888</v>
      </c>
      <c r="J1169">
        <v>0</v>
      </c>
      <c r="K1169">
        <v>0</v>
      </c>
      <c r="L1169">
        <v>39888</v>
      </c>
      <c r="M1169">
        <v>32392.01</v>
      </c>
      <c r="N1169">
        <v>7495.99</v>
      </c>
      <c r="O1169" t="s">
        <v>60</v>
      </c>
      <c r="P1169">
        <v>2450.48</v>
      </c>
      <c r="Q1169" t="s">
        <v>30</v>
      </c>
      <c r="R1169" t="s">
        <v>31</v>
      </c>
      <c r="S1169">
        <v>5</v>
      </c>
      <c r="T1169">
        <v>6</v>
      </c>
      <c r="U1169" t="s">
        <v>56</v>
      </c>
      <c r="V1169" t="s">
        <v>33</v>
      </c>
      <c r="W1169">
        <v>2</v>
      </c>
    </row>
    <row r="1170" spans="1:23" x14ac:dyDescent="0.25">
      <c r="A1170" t="s">
        <v>1764</v>
      </c>
      <c r="B1170" s="1">
        <v>45868</v>
      </c>
      <c r="C1170" t="s">
        <v>606</v>
      </c>
      <c r="D1170" t="s">
        <v>90</v>
      </c>
      <c r="E1170" t="s">
        <v>26</v>
      </c>
      <c r="F1170" t="s">
        <v>47</v>
      </c>
      <c r="G1170" t="s">
        <v>48</v>
      </c>
      <c r="H1170">
        <v>1</v>
      </c>
      <c r="I1170">
        <v>30982</v>
      </c>
      <c r="J1170">
        <v>10</v>
      </c>
      <c r="K1170">
        <v>3098.2</v>
      </c>
      <c r="L1170">
        <v>27883.8</v>
      </c>
      <c r="M1170">
        <v>19038.8</v>
      </c>
      <c r="N1170">
        <v>8845</v>
      </c>
      <c r="O1170" t="s">
        <v>55</v>
      </c>
      <c r="P1170">
        <v>1004.36</v>
      </c>
      <c r="Q1170" t="s">
        <v>30</v>
      </c>
      <c r="R1170" t="s">
        <v>41</v>
      </c>
      <c r="S1170">
        <v>2</v>
      </c>
      <c r="T1170">
        <v>3</v>
      </c>
      <c r="U1170" t="s">
        <v>56</v>
      </c>
      <c r="V1170" t="s">
        <v>33</v>
      </c>
      <c r="W1170">
        <v>2</v>
      </c>
    </row>
    <row r="1171" spans="1:23" x14ac:dyDescent="0.25">
      <c r="A1171" t="s">
        <v>1765</v>
      </c>
      <c r="B1171" s="1">
        <v>45680</v>
      </c>
      <c r="C1171" t="s">
        <v>795</v>
      </c>
      <c r="D1171" t="s">
        <v>97</v>
      </c>
      <c r="E1171" t="s">
        <v>46</v>
      </c>
      <c r="F1171" t="s">
        <v>53</v>
      </c>
      <c r="G1171" t="s">
        <v>54</v>
      </c>
      <c r="H1171">
        <v>1</v>
      </c>
      <c r="I1171">
        <v>22311</v>
      </c>
      <c r="J1171">
        <v>15</v>
      </c>
      <c r="K1171">
        <v>3346.65</v>
      </c>
      <c r="L1171">
        <v>18964.349999999999</v>
      </c>
      <c r="M1171">
        <v>12750.25</v>
      </c>
      <c r="N1171">
        <v>6214.1</v>
      </c>
      <c r="O1171" t="s">
        <v>91</v>
      </c>
      <c r="P1171">
        <v>1162.0999999999999</v>
      </c>
      <c r="Q1171" t="s">
        <v>30</v>
      </c>
      <c r="R1171" t="s">
        <v>41</v>
      </c>
      <c r="S1171">
        <v>2</v>
      </c>
      <c r="T1171">
        <v>3</v>
      </c>
      <c r="U1171" t="s">
        <v>56</v>
      </c>
      <c r="V1171" t="s">
        <v>33</v>
      </c>
      <c r="W1171">
        <v>5</v>
      </c>
    </row>
    <row r="1172" spans="1:23" x14ac:dyDescent="0.25">
      <c r="A1172" t="s">
        <v>1766</v>
      </c>
      <c r="B1172" s="1">
        <v>45820</v>
      </c>
      <c r="C1172" t="s">
        <v>255</v>
      </c>
      <c r="D1172" t="s">
        <v>154</v>
      </c>
      <c r="E1172" t="s">
        <v>36</v>
      </c>
      <c r="F1172" t="s">
        <v>86</v>
      </c>
      <c r="G1172" t="s">
        <v>127</v>
      </c>
      <c r="H1172">
        <v>3</v>
      </c>
      <c r="I1172">
        <v>59578</v>
      </c>
      <c r="J1172">
        <v>25</v>
      </c>
      <c r="K1172">
        <v>44683.5</v>
      </c>
      <c r="L1172">
        <v>134050.5</v>
      </c>
      <c r="M1172">
        <v>104718.91</v>
      </c>
      <c r="N1172">
        <v>29331.59</v>
      </c>
      <c r="O1172" t="s">
        <v>39</v>
      </c>
      <c r="P1172">
        <v>1274.29</v>
      </c>
      <c r="Q1172" t="s">
        <v>83</v>
      </c>
      <c r="R1172" t="s">
        <v>41</v>
      </c>
      <c r="S1172">
        <v>2</v>
      </c>
      <c r="T1172">
        <v>3</v>
      </c>
      <c r="U1172" t="s">
        <v>56</v>
      </c>
      <c r="V1172" t="s">
        <v>33</v>
      </c>
      <c r="W1172">
        <v>4</v>
      </c>
    </row>
    <row r="1173" spans="1:23" x14ac:dyDescent="0.25">
      <c r="A1173" t="s">
        <v>1767</v>
      </c>
      <c r="B1173" s="1">
        <v>45900</v>
      </c>
      <c r="C1173" t="s">
        <v>1306</v>
      </c>
      <c r="D1173" t="s">
        <v>124</v>
      </c>
      <c r="E1173" t="s">
        <v>46</v>
      </c>
      <c r="F1173" t="s">
        <v>47</v>
      </c>
      <c r="G1173" t="s">
        <v>64</v>
      </c>
      <c r="H1173">
        <v>1</v>
      </c>
      <c r="I1173">
        <v>40440</v>
      </c>
      <c r="J1173">
        <v>10</v>
      </c>
      <c r="K1173">
        <v>4044</v>
      </c>
      <c r="L1173">
        <v>36396</v>
      </c>
      <c r="M1173">
        <v>29584.84</v>
      </c>
      <c r="N1173">
        <v>6811.16</v>
      </c>
      <c r="O1173" t="s">
        <v>39</v>
      </c>
      <c r="P1173">
        <v>2187.42</v>
      </c>
      <c r="Q1173" t="s">
        <v>68</v>
      </c>
      <c r="R1173" t="s">
        <v>31</v>
      </c>
      <c r="S1173">
        <v>5</v>
      </c>
      <c r="T1173">
        <v>5</v>
      </c>
      <c r="U1173" t="s">
        <v>32</v>
      </c>
      <c r="V1173" t="s">
        <v>33</v>
      </c>
      <c r="W1173">
        <v>3</v>
      </c>
    </row>
    <row r="1174" spans="1:23" x14ac:dyDescent="0.25">
      <c r="A1174" t="s">
        <v>1768</v>
      </c>
      <c r="B1174" s="1">
        <v>46019</v>
      </c>
      <c r="C1174" t="s">
        <v>1769</v>
      </c>
      <c r="D1174" t="s">
        <v>71</v>
      </c>
      <c r="E1174" t="s">
        <v>26</v>
      </c>
      <c r="F1174" t="s">
        <v>86</v>
      </c>
      <c r="G1174" t="s">
        <v>180</v>
      </c>
      <c r="H1174">
        <v>1</v>
      </c>
      <c r="I1174">
        <v>17387</v>
      </c>
      <c r="J1174">
        <v>10</v>
      </c>
      <c r="K1174">
        <v>1738.7</v>
      </c>
      <c r="L1174">
        <v>15648.3</v>
      </c>
      <c r="M1174">
        <v>11161.03</v>
      </c>
      <c r="N1174">
        <v>4487.2700000000004</v>
      </c>
      <c r="O1174" t="s">
        <v>49</v>
      </c>
      <c r="P1174">
        <v>165.55</v>
      </c>
      <c r="Q1174" t="s">
        <v>68</v>
      </c>
      <c r="R1174" t="s">
        <v>31</v>
      </c>
      <c r="S1174">
        <v>5</v>
      </c>
      <c r="T1174">
        <v>5</v>
      </c>
      <c r="U1174" t="s">
        <v>32</v>
      </c>
      <c r="V1174" t="s">
        <v>33</v>
      </c>
      <c r="W1174">
        <v>3</v>
      </c>
    </row>
    <row r="1175" spans="1:23" x14ac:dyDescent="0.25">
      <c r="A1175" t="s">
        <v>1770</v>
      </c>
      <c r="B1175" s="1">
        <v>45853</v>
      </c>
      <c r="C1175" t="s">
        <v>1485</v>
      </c>
      <c r="D1175" t="s">
        <v>63</v>
      </c>
      <c r="E1175" t="s">
        <v>36</v>
      </c>
      <c r="F1175" t="s">
        <v>53</v>
      </c>
      <c r="G1175" t="s">
        <v>54</v>
      </c>
      <c r="H1175">
        <v>2</v>
      </c>
      <c r="I1175">
        <v>22248</v>
      </c>
      <c r="J1175">
        <v>25</v>
      </c>
      <c r="K1175">
        <v>11124</v>
      </c>
      <c r="L1175">
        <v>33372</v>
      </c>
      <c r="M1175">
        <v>23314.23</v>
      </c>
      <c r="N1175">
        <v>10057.77</v>
      </c>
      <c r="O1175" t="s">
        <v>49</v>
      </c>
      <c r="P1175">
        <v>162.08000000000001</v>
      </c>
      <c r="Q1175" t="s">
        <v>30</v>
      </c>
      <c r="R1175" t="s">
        <v>31</v>
      </c>
      <c r="S1175">
        <v>5</v>
      </c>
      <c r="T1175">
        <v>3</v>
      </c>
      <c r="U1175" t="s">
        <v>32</v>
      </c>
      <c r="V1175" t="s">
        <v>42</v>
      </c>
    </row>
    <row r="1176" spans="1:23" x14ac:dyDescent="0.25">
      <c r="A1176" t="s">
        <v>1771</v>
      </c>
      <c r="B1176" s="1">
        <v>45855</v>
      </c>
      <c r="C1176" t="s">
        <v>115</v>
      </c>
      <c r="D1176" t="s">
        <v>25</v>
      </c>
      <c r="E1176" t="s">
        <v>26</v>
      </c>
      <c r="F1176" t="s">
        <v>47</v>
      </c>
      <c r="G1176" t="s">
        <v>48</v>
      </c>
      <c r="H1176">
        <v>1</v>
      </c>
      <c r="I1176">
        <v>18715</v>
      </c>
      <c r="J1176">
        <v>10</v>
      </c>
      <c r="K1176">
        <v>1871.5</v>
      </c>
      <c r="L1176">
        <v>16843.5</v>
      </c>
      <c r="M1176">
        <v>11932.03</v>
      </c>
      <c r="N1176">
        <v>4911.47</v>
      </c>
      <c r="O1176" t="s">
        <v>49</v>
      </c>
      <c r="P1176">
        <v>232.32</v>
      </c>
      <c r="Q1176" t="s">
        <v>83</v>
      </c>
      <c r="R1176" t="s">
        <v>31</v>
      </c>
      <c r="S1176">
        <v>5</v>
      </c>
      <c r="T1176">
        <v>3</v>
      </c>
      <c r="U1176" t="s">
        <v>32</v>
      </c>
      <c r="V1176" t="s">
        <v>33</v>
      </c>
    </row>
    <row r="1177" spans="1:23" x14ac:dyDescent="0.25">
      <c r="A1177" t="s">
        <v>1772</v>
      </c>
      <c r="B1177" s="1">
        <v>45997</v>
      </c>
      <c r="C1177" t="s">
        <v>742</v>
      </c>
      <c r="D1177" t="s">
        <v>90</v>
      </c>
      <c r="E1177" t="s">
        <v>46</v>
      </c>
      <c r="F1177" t="s">
        <v>86</v>
      </c>
      <c r="G1177" t="s">
        <v>180</v>
      </c>
      <c r="H1177">
        <v>2</v>
      </c>
      <c r="I1177">
        <v>31699</v>
      </c>
      <c r="J1177">
        <v>0</v>
      </c>
      <c r="K1177">
        <v>0</v>
      </c>
      <c r="L1177">
        <v>63398</v>
      </c>
      <c r="M1177">
        <v>48599.62</v>
      </c>
      <c r="N1177">
        <v>14798.38</v>
      </c>
      <c r="O1177" t="s">
        <v>91</v>
      </c>
      <c r="P1177">
        <v>267.41000000000003</v>
      </c>
      <c r="Q1177" t="s">
        <v>30</v>
      </c>
      <c r="R1177" t="s">
        <v>31</v>
      </c>
      <c r="S1177">
        <v>5</v>
      </c>
      <c r="T1177">
        <v>4</v>
      </c>
      <c r="U1177" t="s">
        <v>32</v>
      </c>
      <c r="V1177" t="s">
        <v>33</v>
      </c>
      <c r="W1177">
        <v>5</v>
      </c>
    </row>
    <row r="1178" spans="1:23" x14ac:dyDescent="0.25">
      <c r="A1178" t="s">
        <v>1773</v>
      </c>
      <c r="B1178" s="1">
        <v>45991</v>
      </c>
      <c r="C1178" t="s">
        <v>952</v>
      </c>
      <c r="D1178" t="s">
        <v>71</v>
      </c>
      <c r="E1178" t="s">
        <v>36</v>
      </c>
      <c r="F1178" t="s">
        <v>53</v>
      </c>
      <c r="G1178" t="s">
        <v>59</v>
      </c>
      <c r="H1178">
        <v>1</v>
      </c>
      <c r="I1178">
        <v>27648</v>
      </c>
      <c r="J1178">
        <v>0</v>
      </c>
      <c r="K1178">
        <v>0</v>
      </c>
      <c r="L1178">
        <v>27648</v>
      </c>
      <c r="M1178">
        <v>16719.07</v>
      </c>
      <c r="N1178">
        <v>10928.93</v>
      </c>
      <c r="O1178" t="s">
        <v>55</v>
      </c>
      <c r="P1178">
        <v>1567.75</v>
      </c>
      <c r="Q1178" t="s">
        <v>40</v>
      </c>
      <c r="R1178" t="s">
        <v>31</v>
      </c>
      <c r="S1178">
        <v>5</v>
      </c>
      <c r="T1178">
        <v>1</v>
      </c>
      <c r="U1178" t="s">
        <v>32</v>
      </c>
      <c r="V1178" t="s">
        <v>33</v>
      </c>
      <c r="W1178">
        <v>1</v>
      </c>
    </row>
    <row r="1179" spans="1:23" x14ac:dyDescent="0.25">
      <c r="A1179" t="s">
        <v>1774</v>
      </c>
      <c r="B1179" s="1">
        <v>45735</v>
      </c>
      <c r="C1179" t="s">
        <v>1775</v>
      </c>
      <c r="D1179" t="s">
        <v>79</v>
      </c>
      <c r="E1179" t="s">
        <v>36</v>
      </c>
      <c r="F1179" t="s">
        <v>37</v>
      </c>
      <c r="G1179" t="s">
        <v>38</v>
      </c>
      <c r="H1179">
        <v>1</v>
      </c>
      <c r="I1179">
        <v>11653</v>
      </c>
      <c r="J1179">
        <v>5</v>
      </c>
      <c r="K1179">
        <v>582.65</v>
      </c>
      <c r="L1179">
        <v>11070.35</v>
      </c>
      <c r="M1179">
        <v>6408.33</v>
      </c>
      <c r="N1179">
        <v>4662.0200000000004</v>
      </c>
      <c r="O1179" t="s">
        <v>55</v>
      </c>
      <c r="P1179">
        <v>1556.3</v>
      </c>
      <c r="Q1179" t="s">
        <v>30</v>
      </c>
      <c r="R1179" t="s">
        <v>41</v>
      </c>
      <c r="S1179">
        <v>2</v>
      </c>
      <c r="T1179">
        <v>5</v>
      </c>
      <c r="U1179" t="s">
        <v>32</v>
      </c>
      <c r="V1179" t="s">
        <v>50</v>
      </c>
      <c r="W1179">
        <v>1</v>
      </c>
    </row>
    <row r="1180" spans="1:23" x14ac:dyDescent="0.25">
      <c r="A1180" t="s">
        <v>1776</v>
      </c>
      <c r="B1180" s="1">
        <v>45911</v>
      </c>
      <c r="C1180" t="s">
        <v>582</v>
      </c>
      <c r="D1180" t="s">
        <v>79</v>
      </c>
      <c r="E1180" t="s">
        <v>26</v>
      </c>
      <c r="F1180" t="s">
        <v>37</v>
      </c>
      <c r="G1180" t="s">
        <v>100</v>
      </c>
      <c r="H1180">
        <v>3</v>
      </c>
      <c r="I1180">
        <v>37248</v>
      </c>
      <c r="J1180">
        <v>10</v>
      </c>
      <c r="K1180">
        <v>11174.4</v>
      </c>
      <c r="L1180">
        <v>100569.60000000001</v>
      </c>
      <c r="M1180">
        <v>57988.53</v>
      </c>
      <c r="N1180">
        <v>42581.07</v>
      </c>
      <c r="O1180" t="s">
        <v>49</v>
      </c>
      <c r="P1180">
        <v>260</v>
      </c>
      <c r="Q1180" t="s">
        <v>40</v>
      </c>
      <c r="R1180" t="s">
        <v>41</v>
      </c>
      <c r="S1180">
        <v>2</v>
      </c>
      <c r="T1180">
        <v>6</v>
      </c>
      <c r="U1180" t="s">
        <v>32</v>
      </c>
      <c r="V1180" t="s">
        <v>50</v>
      </c>
      <c r="W1180">
        <v>5</v>
      </c>
    </row>
    <row r="1181" spans="1:23" x14ac:dyDescent="0.25">
      <c r="A1181" t="s">
        <v>1777</v>
      </c>
      <c r="B1181" s="1">
        <v>45676</v>
      </c>
      <c r="C1181" t="s">
        <v>1063</v>
      </c>
      <c r="D1181" t="s">
        <v>79</v>
      </c>
      <c r="E1181" t="s">
        <v>46</v>
      </c>
      <c r="F1181" t="s">
        <v>86</v>
      </c>
      <c r="G1181" t="s">
        <v>94</v>
      </c>
      <c r="H1181">
        <v>1</v>
      </c>
      <c r="I1181">
        <v>75482</v>
      </c>
      <c r="J1181">
        <v>0</v>
      </c>
      <c r="K1181">
        <v>0</v>
      </c>
      <c r="L1181">
        <v>75482</v>
      </c>
      <c r="M1181">
        <v>51145.7</v>
      </c>
      <c r="N1181">
        <v>24336.3</v>
      </c>
      <c r="O1181" t="s">
        <v>55</v>
      </c>
      <c r="P1181">
        <v>1912.76</v>
      </c>
      <c r="Q1181" t="s">
        <v>30</v>
      </c>
      <c r="R1181" t="s">
        <v>41</v>
      </c>
      <c r="S1181">
        <v>2</v>
      </c>
      <c r="T1181">
        <v>1</v>
      </c>
      <c r="U1181" t="s">
        <v>32</v>
      </c>
      <c r="V1181" t="s">
        <v>33</v>
      </c>
      <c r="W1181">
        <v>5</v>
      </c>
    </row>
    <row r="1182" spans="1:23" x14ac:dyDescent="0.25">
      <c r="A1182" t="s">
        <v>1778</v>
      </c>
      <c r="B1182" s="1">
        <v>45722</v>
      </c>
      <c r="C1182" t="s">
        <v>288</v>
      </c>
      <c r="D1182" t="s">
        <v>124</v>
      </c>
      <c r="E1182" t="s">
        <v>46</v>
      </c>
      <c r="F1182" t="s">
        <v>47</v>
      </c>
      <c r="G1182" t="s">
        <v>105</v>
      </c>
      <c r="H1182">
        <v>1</v>
      </c>
      <c r="I1182">
        <v>8801</v>
      </c>
      <c r="J1182">
        <v>0</v>
      </c>
      <c r="K1182">
        <v>0</v>
      </c>
      <c r="L1182">
        <v>8801</v>
      </c>
      <c r="M1182">
        <v>6692.13</v>
      </c>
      <c r="N1182">
        <v>2108.87</v>
      </c>
      <c r="O1182" t="s">
        <v>60</v>
      </c>
      <c r="P1182">
        <v>2255.64</v>
      </c>
      <c r="Q1182" t="s">
        <v>40</v>
      </c>
      <c r="R1182" t="s">
        <v>31</v>
      </c>
      <c r="S1182">
        <v>5</v>
      </c>
      <c r="T1182">
        <v>5</v>
      </c>
      <c r="U1182" t="s">
        <v>32</v>
      </c>
      <c r="V1182" t="s">
        <v>33</v>
      </c>
      <c r="W1182">
        <v>2</v>
      </c>
    </row>
    <row r="1183" spans="1:23" x14ac:dyDescent="0.25">
      <c r="A1183" t="s">
        <v>1779</v>
      </c>
      <c r="B1183" s="1">
        <v>45915</v>
      </c>
      <c r="C1183" t="s">
        <v>1065</v>
      </c>
      <c r="D1183" t="s">
        <v>67</v>
      </c>
      <c r="E1183" t="s">
        <v>26</v>
      </c>
      <c r="F1183" t="s">
        <v>37</v>
      </c>
      <c r="G1183" t="s">
        <v>100</v>
      </c>
      <c r="H1183">
        <v>1</v>
      </c>
      <c r="I1183">
        <v>33321</v>
      </c>
      <c r="J1183">
        <v>15</v>
      </c>
      <c r="K1183">
        <v>4998.1499999999996</v>
      </c>
      <c r="L1183">
        <v>28322.85</v>
      </c>
      <c r="M1183">
        <v>19857.37</v>
      </c>
      <c r="N1183">
        <v>8465.48</v>
      </c>
      <c r="O1183" t="s">
        <v>60</v>
      </c>
      <c r="P1183">
        <v>2036.02</v>
      </c>
      <c r="Q1183" t="s">
        <v>40</v>
      </c>
      <c r="R1183" t="s">
        <v>31</v>
      </c>
      <c r="S1183">
        <v>5</v>
      </c>
      <c r="T1183">
        <v>7</v>
      </c>
      <c r="U1183" t="s">
        <v>56</v>
      </c>
      <c r="V1183" t="s">
        <v>33</v>
      </c>
      <c r="W1183">
        <v>2</v>
      </c>
    </row>
    <row r="1184" spans="1:23" x14ac:dyDescent="0.25">
      <c r="A1184" t="s">
        <v>1780</v>
      </c>
      <c r="B1184" s="1">
        <v>45960</v>
      </c>
      <c r="C1184" t="s">
        <v>1078</v>
      </c>
      <c r="D1184" t="s">
        <v>25</v>
      </c>
      <c r="E1184" t="s">
        <v>36</v>
      </c>
      <c r="F1184" t="s">
        <v>53</v>
      </c>
      <c r="G1184" t="s">
        <v>82</v>
      </c>
      <c r="H1184">
        <v>1</v>
      </c>
      <c r="I1184">
        <v>10930</v>
      </c>
      <c r="J1184">
        <v>5</v>
      </c>
      <c r="K1184">
        <v>546.5</v>
      </c>
      <c r="L1184">
        <v>10383.5</v>
      </c>
      <c r="M1184">
        <v>7949.28</v>
      </c>
      <c r="N1184">
        <v>2434.2199999999998</v>
      </c>
      <c r="O1184" t="s">
        <v>60</v>
      </c>
      <c r="P1184">
        <v>2417.2199999999998</v>
      </c>
      <c r="Q1184" t="s">
        <v>68</v>
      </c>
      <c r="R1184" t="s">
        <v>31</v>
      </c>
      <c r="S1184">
        <v>5</v>
      </c>
      <c r="T1184">
        <v>6</v>
      </c>
      <c r="U1184" t="s">
        <v>56</v>
      </c>
      <c r="V1184" t="s">
        <v>33</v>
      </c>
      <c r="W1184">
        <v>4</v>
      </c>
    </row>
    <row r="1185" spans="1:23" x14ac:dyDescent="0.25">
      <c r="A1185" t="s">
        <v>1781</v>
      </c>
      <c r="B1185" s="1">
        <v>45827</v>
      </c>
      <c r="C1185" t="s">
        <v>199</v>
      </c>
      <c r="D1185" t="s">
        <v>90</v>
      </c>
      <c r="E1185" t="s">
        <v>26</v>
      </c>
      <c r="F1185" t="s">
        <v>53</v>
      </c>
      <c r="G1185" t="s">
        <v>54</v>
      </c>
      <c r="H1185">
        <v>2</v>
      </c>
      <c r="I1185">
        <v>81284</v>
      </c>
      <c r="J1185">
        <v>20</v>
      </c>
      <c r="K1185">
        <v>32513.599999999999</v>
      </c>
      <c r="L1185">
        <v>130054.39999999999</v>
      </c>
      <c r="M1185">
        <v>72229.509999999995</v>
      </c>
      <c r="N1185">
        <v>57824.89</v>
      </c>
      <c r="O1185" t="s">
        <v>60</v>
      </c>
      <c r="P1185">
        <v>1204.94</v>
      </c>
      <c r="Q1185" t="s">
        <v>83</v>
      </c>
      <c r="R1185" t="s">
        <v>41</v>
      </c>
      <c r="S1185">
        <v>2</v>
      </c>
      <c r="T1185">
        <v>1</v>
      </c>
      <c r="U1185" t="s">
        <v>32</v>
      </c>
      <c r="V1185" t="s">
        <v>33</v>
      </c>
      <c r="W1185">
        <v>1</v>
      </c>
    </row>
    <row r="1186" spans="1:23" x14ac:dyDescent="0.25">
      <c r="A1186" t="s">
        <v>1782</v>
      </c>
      <c r="B1186" s="1">
        <v>45709</v>
      </c>
      <c r="C1186" t="s">
        <v>1783</v>
      </c>
      <c r="D1186" t="s">
        <v>154</v>
      </c>
      <c r="E1186" t="s">
        <v>46</v>
      </c>
      <c r="F1186" t="s">
        <v>47</v>
      </c>
      <c r="G1186" t="s">
        <v>64</v>
      </c>
      <c r="H1186">
        <v>2</v>
      </c>
      <c r="I1186">
        <v>33645</v>
      </c>
      <c r="J1186">
        <v>0</v>
      </c>
      <c r="K1186">
        <v>0</v>
      </c>
      <c r="L1186">
        <v>67290</v>
      </c>
      <c r="M1186">
        <v>37089.660000000003</v>
      </c>
      <c r="N1186">
        <v>30200.34</v>
      </c>
      <c r="O1186" t="s">
        <v>55</v>
      </c>
      <c r="P1186">
        <v>1037.1500000000001</v>
      </c>
      <c r="Q1186" t="s">
        <v>40</v>
      </c>
      <c r="R1186" t="s">
        <v>31</v>
      </c>
      <c r="S1186">
        <v>5</v>
      </c>
      <c r="T1186">
        <v>3</v>
      </c>
      <c r="U1186" t="s">
        <v>32</v>
      </c>
      <c r="V1186" t="s">
        <v>33</v>
      </c>
      <c r="W1186">
        <v>2</v>
      </c>
    </row>
    <row r="1187" spans="1:23" x14ac:dyDescent="0.25">
      <c r="A1187" t="s">
        <v>1784</v>
      </c>
      <c r="B1187" s="1">
        <v>45883</v>
      </c>
      <c r="C1187" t="s">
        <v>1234</v>
      </c>
      <c r="D1187" t="s">
        <v>124</v>
      </c>
      <c r="E1187" t="s">
        <v>26</v>
      </c>
      <c r="F1187" t="s">
        <v>86</v>
      </c>
      <c r="G1187" t="s">
        <v>87</v>
      </c>
      <c r="H1187">
        <v>1</v>
      </c>
      <c r="I1187">
        <v>81744</v>
      </c>
      <c r="J1187">
        <v>25</v>
      </c>
      <c r="K1187">
        <v>20436</v>
      </c>
      <c r="L1187">
        <v>61308</v>
      </c>
      <c r="M1187">
        <v>47876.98</v>
      </c>
      <c r="N1187">
        <v>13431.02</v>
      </c>
      <c r="O1187" t="s">
        <v>49</v>
      </c>
      <c r="P1187">
        <v>60.61</v>
      </c>
      <c r="Q1187" t="s">
        <v>73</v>
      </c>
      <c r="R1187" t="s">
        <v>31</v>
      </c>
      <c r="S1187">
        <v>5</v>
      </c>
      <c r="T1187">
        <v>1</v>
      </c>
      <c r="U1187" t="s">
        <v>32</v>
      </c>
      <c r="V1187" t="s">
        <v>42</v>
      </c>
    </row>
    <row r="1188" spans="1:23" x14ac:dyDescent="0.25">
      <c r="A1188" t="s">
        <v>1785</v>
      </c>
      <c r="B1188" s="1">
        <v>45709</v>
      </c>
      <c r="C1188" t="s">
        <v>958</v>
      </c>
      <c r="D1188" t="s">
        <v>90</v>
      </c>
      <c r="E1188" t="s">
        <v>36</v>
      </c>
      <c r="F1188" t="s">
        <v>53</v>
      </c>
      <c r="G1188" t="s">
        <v>54</v>
      </c>
      <c r="H1188">
        <v>1</v>
      </c>
      <c r="I1188">
        <v>22229</v>
      </c>
      <c r="J1188">
        <v>10</v>
      </c>
      <c r="K1188">
        <v>2222.9</v>
      </c>
      <c r="L1188">
        <v>20006.099999999999</v>
      </c>
      <c r="M1188">
        <v>15128.33</v>
      </c>
      <c r="N1188">
        <v>4877.7700000000004</v>
      </c>
      <c r="O1188" t="s">
        <v>39</v>
      </c>
      <c r="P1188">
        <v>1129.8399999999999</v>
      </c>
      <c r="Q1188" t="s">
        <v>68</v>
      </c>
      <c r="R1188" t="s">
        <v>41</v>
      </c>
      <c r="S1188">
        <v>2</v>
      </c>
      <c r="T1188">
        <v>5</v>
      </c>
      <c r="U1188" t="s">
        <v>32</v>
      </c>
      <c r="V1188" t="s">
        <v>50</v>
      </c>
      <c r="W1188">
        <v>3</v>
      </c>
    </row>
    <row r="1189" spans="1:23" x14ac:dyDescent="0.25">
      <c r="A1189" t="s">
        <v>1786</v>
      </c>
      <c r="B1189" s="1">
        <v>45927</v>
      </c>
      <c r="C1189" t="s">
        <v>1787</v>
      </c>
      <c r="D1189" t="s">
        <v>124</v>
      </c>
      <c r="E1189" t="s">
        <v>26</v>
      </c>
      <c r="F1189" t="s">
        <v>47</v>
      </c>
      <c r="G1189" t="s">
        <v>64</v>
      </c>
      <c r="H1189">
        <v>1</v>
      </c>
      <c r="I1189">
        <v>8119</v>
      </c>
      <c r="J1189">
        <v>20</v>
      </c>
      <c r="K1189">
        <v>1623.8</v>
      </c>
      <c r="L1189">
        <v>6495.2</v>
      </c>
      <c r="M1189">
        <v>4309.99</v>
      </c>
      <c r="N1189">
        <v>2185.21</v>
      </c>
      <c r="O1189" t="s">
        <v>39</v>
      </c>
      <c r="P1189">
        <v>2086.6</v>
      </c>
      <c r="Q1189" t="s">
        <v>40</v>
      </c>
      <c r="R1189" t="s">
        <v>41</v>
      </c>
      <c r="S1189">
        <v>2</v>
      </c>
      <c r="T1189">
        <v>1</v>
      </c>
      <c r="U1189" t="s">
        <v>32</v>
      </c>
      <c r="V1189" t="s">
        <v>33</v>
      </c>
      <c r="W1189">
        <v>5</v>
      </c>
    </row>
    <row r="1190" spans="1:23" x14ac:dyDescent="0.25">
      <c r="A1190" t="s">
        <v>1788</v>
      </c>
      <c r="B1190" s="1">
        <v>45891</v>
      </c>
      <c r="C1190" t="s">
        <v>312</v>
      </c>
      <c r="D1190" t="s">
        <v>67</v>
      </c>
      <c r="E1190" t="s">
        <v>26</v>
      </c>
      <c r="F1190" t="s">
        <v>27</v>
      </c>
      <c r="G1190" t="s">
        <v>164</v>
      </c>
      <c r="H1190">
        <v>1</v>
      </c>
      <c r="I1190">
        <v>21391</v>
      </c>
      <c r="J1190">
        <v>20</v>
      </c>
      <c r="K1190">
        <v>4278.2</v>
      </c>
      <c r="L1190">
        <v>17112.8</v>
      </c>
      <c r="M1190">
        <v>13605.6</v>
      </c>
      <c r="N1190">
        <v>3507.2</v>
      </c>
      <c r="O1190" t="s">
        <v>91</v>
      </c>
      <c r="P1190">
        <v>738.68</v>
      </c>
      <c r="Q1190" t="s">
        <v>73</v>
      </c>
      <c r="R1190" t="s">
        <v>31</v>
      </c>
      <c r="S1190">
        <v>5</v>
      </c>
      <c r="T1190">
        <v>6</v>
      </c>
      <c r="U1190" t="s">
        <v>56</v>
      </c>
      <c r="V1190" t="s">
        <v>33</v>
      </c>
      <c r="W1190">
        <v>2</v>
      </c>
    </row>
    <row r="1191" spans="1:23" x14ac:dyDescent="0.25">
      <c r="A1191" t="s">
        <v>1789</v>
      </c>
      <c r="B1191" s="1">
        <v>45665</v>
      </c>
      <c r="C1191" t="s">
        <v>1790</v>
      </c>
      <c r="D1191" t="s">
        <v>79</v>
      </c>
      <c r="E1191" t="s">
        <v>46</v>
      </c>
      <c r="F1191" t="s">
        <v>37</v>
      </c>
      <c r="G1191" t="s">
        <v>100</v>
      </c>
      <c r="H1191">
        <v>1</v>
      </c>
      <c r="I1191">
        <v>14536</v>
      </c>
      <c r="J1191">
        <v>5</v>
      </c>
      <c r="K1191">
        <v>726.8</v>
      </c>
      <c r="L1191">
        <v>13809.2</v>
      </c>
      <c r="M1191">
        <v>10333.08</v>
      </c>
      <c r="N1191">
        <v>3476.12</v>
      </c>
      <c r="O1191" t="s">
        <v>39</v>
      </c>
      <c r="P1191">
        <v>2009.57</v>
      </c>
      <c r="Q1191" t="s">
        <v>30</v>
      </c>
      <c r="R1191" t="s">
        <v>31</v>
      </c>
      <c r="S1191">
        <v>5</v>
      </c>
      <c r="T1191">
        <v>3</v>
      </c>
      <c r="U1191" t="s">
        <v>32</v>
      </c>
      <c r="V1191" t="s">
        <v>33</v>
      </c>
      <c r="W1191">
        <v>3</v>
      </c>
    </row>
    <row r="1192" spans="1:23" x14ac:dyDescent="0.25">
      <c r="A1192" t="s">
        <v>1791</v>
      </c>
      <c r="B1192" s="1">
        <v>45731</v>
      </c>
      <c r="C1192" t="s">
        <v>706</v>
      </c>
      <c r="D1192" t="s">
        <v>67</v>
      </c>
      <c r="E1192" t="s">
        <v>46</v>
      </c>
      <c r="F1192" t="s">
        <v>86</v>
      </c>
      <c r="G1192" t="s">
        <v>94</v>
      </c>
      <c r="H1192">
        <v>1</v>
      </c>
      <c r="I1192">
        <v>9580</v>
      </c>
      <c r="J1192">
        <v>0</v>
      </c>
      <c r="K1192">
        <v>0</v>
      </c>
      <c r="L1192">
        <v>9580</v>
      </c>
      <c r="M1192">
        <v>7407.89</v>
      </c>
      <c r="N1192">
        <v>2172.11</v>
      </c>
      <c r="O1192" t="s">
        <v>60</v>
      </c>
      <c r="P1192">
        <v>1083.83</v>
      </c>
      <c r="Q1192" t="s">
        <v>73</v>
      </c>
      <c r="R1192" t="s">
        <v>31</v>
      </c>
      <c r="S1192">
        <v>5</v>
      </c>
      <c r="T1192">
        <v>5</v>
      </c>
      <c r="U1192" t="s">
        <v>32</v>
      </c>
      <c r="V1192" t="s">
        <v>33</v>
      </c>
      <c r="W1192">
        <v>3</v>
      </c>
    </row>
    <row r="1193" spans="1:23" x14ac:dyDescent="0.25">
      <c r="A1193" t="s">
        <v>1792</v>
      </c>
      <c r="B1193" s="1">
        <v>45867</v>
      </c>
      <c r="C1193" t="s">
        <v>1749</v>
      </c>
      <c r="D1193" t="s">
        <v>67</v>
      </c>
      <c r="E1193" t="s">
        <v>26</v>
      </c>
      <c r="F1193" t="s">
        <v>27</v>
      </c>
      <c r="G1193" t="s">
        <v>28</v>
      </c>
      <c r="H1193">
        <v>1</v>
      </c>
      <c r="I1193">
        <v>10979</v>
      </c>
      <c r="J1193">
        <v>0</v>
      </c>
      <c r="K1193">
        <v>0</v>
      </c>
      <c r="L1193">
        <v>10979</v>
      </c>
      <c r="M1193">
        <v>8339.7099999999991</v>
      </c>
      <c r="N1193">
        <v>2639.29</v>
      </c>
      <c r="O1193" t="s">
        <v>49</v>
      </c>
      <c r="P1193">
        <v>82.8</v>
      </c>
      <c r="Q1193" t="s">
        <v>73</v>
      </c>
      <c r="R1193" t="s">
        <v>41</v>
      </c>
      <c r="S1193">
        <v>2</v>
      </c>
      <c r="T1193">
        <v>1</v>
      </c>
      <c r="U1193" t="s">
        <v>32</v>
      </c>
      <c r="V1193" t="s">
        <v>33</v>
      </c>
      <c r="W1193">
        <v>5</v>
      </c>
    </row>
    <row r="1194" spans="1:23" x14ac:dyDescent="0.25">
      <c r="A1194" t="s">
        <v>1793</v>
      </c>
      <c r="B1194" s="1">
        <v>45993</v>
      </c>
      <c r="C1194" t="s">
        <v>140</v>
      </c>
      <c r="D1194" t="s">
        <v>154</v>
      </c>
      <c r="E1194" t="s">
        <v>46</v>
      </c>
      <c r="F1194" t="s">
        <v>37</v>
      </c>
      <c r="G1194" t="s">
        <v>313</v>
      </c>
      <c r="H1194">
        <v>2</v>
      </c>
      <c r="I1194">
        <v>38608</v>
      </c>
      <c r="J1194">
        <v>15</v>
      </c>
      <c r="K1194">
        <v>11582.4</v>
      </c>
      <c r="L1194">
        <v>65633.600000000006</v>
      </c>
      <c r="M1194">
        <v>53487.55</v>
      </c>
      <c r="N1194">
        <v>12146.05</v>
      </c>
      <c r="O1194" t="s">
        <v>60</v>
      </c>
      <c r="P1194">
        <v>1387.25</v>
      </c>
      <c r="Q1194" t="s">
        <v>73</v>
      </c>
      <c r="R1194" t="s">
        <v>31</v>
      </c>
      <c r="S1194">
        <v>5</v>
      </c>
      <c r="T1194">
        <v>3</v>
      </c>
      <c r="U1194" t="s">
        <v>32</v>
      </c>
      <c r="V1194" t="s">
        <v>33</v>
      </c>
      <c r="W1194">
        <v>5</v>
      </c>
    </row>
    <row r="1195" spans="1:23" x14ac:dyDescent="0.25">
      <c r="A1195" t="s">
        <v>1794</v>
      </c>
      <c r="B1195" s="1">
        <v>45737</v>
      </c>
      <c r="C1195" t="s">
        <v>482</v>
      </c>
      <c r="D1195" t="s">
        <v>71</v>
      </c>
      <c r="E1195" t="s">
        <v>46</v>
      </c>
      <c r="F1195" t="s">
        <v>53</v>
      </c>
      <c r="G1195" t="s">
        <v>54</v>
      </c>
      <c r="H1195">
        <v>1</v>
      </c>
      <c r="I1195">
        <v>58446</v>
      </c>
      <c r="J1195">
        <v>0</v>
      </c>
      <c r="K1195">
        <v>0</v>
      </c>
      <c r="L1195">
        <v>58446</v>
      </c>
      <c r="M1195">
        <v>45711.199999999997</v>
      </c>
      <c r="N1195">
        <v>12734.8</v>
      </c>
      <c r="O1195" t="s">
        <v>39</v>
      </c>
      <c r="P1195">
        <v>1871.25</v>
      </c>
      <c r="Q1195" t="s">
        <v>30</v>
      </c>
      <c r="R1195" t="s">
        <v>31</v>
      </c>
      <c r="S1195">
        <v>5</v>
      </c>
      <c r="T1195">
        <v>2</v>
      </c>
      <c r="U1195" t="s">
        <v>32</v>
      </c>
      <c r="V1195" t="s">
        <v>50</v>
      </c>
      <c r="W1195">
        <v>2</v>
      </c>
    </row>
    <row r="1196" spans="1:23" x14ac:dyDescent="0.25">
      <c r="A1196" t="s">
        <v>1795</v>
      </c>
      <c r="B1196" s="1">
        <v>45696</v>
      </c>
      <c r="C1196" t="s">
        <v>417</v>
      </c>
      <c r="D1196" t="s">
        <v>25</v>
      </c>
      <c r="E1196" t="s">
        <v>46</v>
      </c>
      <c r="F1196" t="s">
        <v>27</v>
      </c>
      <c r="G1196" t="s">
        <v>113</v>
      </c>
      <c r="H1196">
        <v>3</v>
      </c>
      <c r="I1196">
        <v>19070</v>
      </c>
      <c r="J1196">
        <v>15</v>
      </c>
      <c r="K1196">
        <v>8581.5</v>
      </c>
      <c r="L1196">
        <v>48628.5</v>
      </c>
      <c r="M1196">
        <v>38508.839999999997</v>
      </c>
      <c r="N1196">
        <v>10119.66</v>
      </c>
      <c r="O1196" t="s">
        <v>29</v>
      </c>
      <c r="P1196">
        <v>1389.13</v>
      </c>
      <c r="Q1196" t="s">
        <v>40</v>
      </c>
      <c r="R1196" t="s">
        <v>31</v>
      </c>
      <c r="S1196">
        <v>5</v>
      </c>
      <c r="T1196">
        <v>6</v>
      </c>
      <c r="U1196" t="s">
        <v>32</v>
      </c>
      <c r="V1196" t="s">
        <v>50</v>
      </c>
      <c r="W1196">
        <v>3</v>
      </c>
    </row>
    <row r="1197" spans="1:23" x14ac:dyDescent="0.25">
      <c r="A1197" t="s">
        <v>1796</v>
      </c>
      <c r="B1197" s="1">
        <v>45898</v>
      </c>
      <c r="C1197" t="s">
        <v>1091</v>
      </c>
      <c r="D1197" t="s">
        <v>154</v>
      </c>
      <c r="E1197" t="s">
        <v>26</v>
      </c>
      <c r="F1197" t="s">
        <v>27</v>
      </c>
      <c r="G1197" t="s">
        <v>28</v>
      </c>
      <c r="H1197">
        <v>2</v>
      </c>
      <c r="I1197">
        <v>3697</v>
      </c>
      <c r="J1197">
        <v>0</v>
      </c>
      <c r="K1197">
        <v>0</v>
      </c>
      <c r="L1197">
        <v>7394</v>
      </c>
      <c r="M1197">
        <v>5438.82</v>
      </c>
      <c r="N1197">
        <v>1955.18</v>
      </c>
      <c r="O1197" t="s">
        <v>55</v>
      </c>
      <c r="P1197">
        <v>660.03</v>
      </c>
      <c r="Q1197" t="s">
        <v>30</v>
      </c>
      <c r="R1197" t="s">
        <v>31</v>
      </c>
      <c r="S1197">
        <v>5</v>
      </c>
      <c r="T1197">
        <v>3</v>
      </c>
      <c r="U1197" t="s">
        <v>32</v>
      </c>
      <c r="V1197" t="s">
        <v>42</v>
      </c>
    </row>
    <row r="1198" spans="1:23" x14ac:dyDescent="0.25">
      <c r="A1198" t="s">
        <v>1797</v>
      </c>
      <c r="B1198" s="1">
        <v>45793</v>
      </c>
      <c r="C1198" t="s">
        <v>1353</v>
      </c>
      <c r="D1198" t="s">
        <v>71</v>
      </c>
      <c r="E1198" t="s">
        <v>26</v>
      </c>
      <c r="F1198" t="s">
        <v>53</v>
      </c>
      <c r="G1198" t="s">
        <v>59</v>
      </c>
      <c r="H1198">
        <v>1</v>
      </c>
      <c r="I1198">
        <v>98366</v>
      </c>
      <c r="J1198">
        <v>0</v>
      </c>
      <c r="K1198">
        <v>0</v>
      </c>
      <c r="L1198">
        <v>98366</v>
      </c>
      <c r="M1198">
        <v>73668.39</v>
      </c>
      <c r="N1198">
        <v>24697.61</v>
      </c>
      <c r="O1198" t="s">
        <v>39</v>
      </c>
      <c r="P1198">
        <v>1834.56</v>
      </c>
      <c r="Q1198" t="s">
        <v>73</v>
      </c>
      <c r="R1198" t="s">
        <v>41</v>
      </c>
      <c r="S1198">
        <v>2</v>
      </c>
      <c r="T1198">
        <v>3</v>
      </c>
      <c r="U1198" t="s">
        <v>32</v>
      </c>
      <c r="V1198" t="s">
        <v>42</v>
      </c>
    </row>
    <row r="1199" spans="1:23" x14ac:dyDescent="0.25">
      <c r="A1199" t="s">
        <v>1798</v>
      </c>
      <c r="B1199" s="1">
        <v>45831</v>
      </c>
      <c r="C1199" t="s">
        <v>1314</v>
      </c>
      <c r="D1199" t="s">
        <v>79</v>
      </c>
      <c r="E1199" t="s">
        <v>26</v>
      </c>
      <c r="F1199" t="s">
        <v>86</v>
      </c>
      <c r="G1199" t="s">
        <v>87</v>
      </c>
      <c r="H1199">
        <v>1</v>
      </c>
      <c r="I1199">
        <v>40035</v>
      </c>
      <c r="J1199">
        <v>20</v>
      </c>
      <c r="K1199">
        <v>8007</v>
      </c>
      <c r="L1199">
        <v>32028</v>
      </c>
      <c r="M1199">
        <v>19431.89</v>
      </c>
      <c r="N1199">
        <v>12596.11</v>
      </c>
      <c r="O1199" t="s">
        <v>29</v>
      </c>
      <c r="P1199">
        <v>1875.88</v>
      </c>
      <c r="Q1199" t="s">
        <v>68</v>
      </c>
      <c r="R1199" t="s">
        <v>31</v>
      </c>
      <c r="S1199">
        <v>5</v>
      </c>
      <c r="T1199">
        <v>6</v>
      </c>
      <c r="U1199" t="s">
        <v>56</v>
      </c>
      <c r="V1199" t="s">
        <v>33</v>
      </c>
      <c r="W1199">
        <v>4</v>
      </c>
    </row>
    <row r="1200" spans="1:23" x14ac:dyDescent="0.25">
      <c r="A1200" t="s">
        <v>1799</v>
      </c>
      <c r="B1200" s="1">
        <v>45977</v>
      </c>
      <c r="C1200" t="s">
        <v>176</v>
      </c>
      <c r="D1200" t="s">
        <v>154</v>
      </c>
      <c r="E1200" t="s">
        <v>46</v>
      </c>
      <c r="F1200" t="s">
        <v>53</v>
      </c>
      <c r="G1200" t="s">
        <v>268</v>
      </c>
      <c r="H1200">
        <v>2</v>
      </c>
      <c r="I1200">
        <v>118565</v>
      </c>
      <c r="J1200">
        <v>15</v>
      </c>
      <c r="K1200">
        <v>35569.5</v>
      </c>
      <c r="L1200">
        <v>201560.5</v>
      </c>
      <c r="M1200">
        <v>143878.26999999999</v>
      </c>
      <c r="N1200">
        <v>57682.23</v>
      </c>
      <c r="O1200" t="s">
        <v>60</v>
      </c>
      <c r="P1200">
        <v>578.08000000000004</v>
      </c>
      <c r="Q1200" t="s">
        <v>73</v>
      </c>
      <c r="R1200" t="s">
        <v>31</v>
      </c>
      <c r="S1200">
        <v>5</v>
      </c>
      <c r="T1200">
        <v>5</v>
      </c>
      <c r="U1200" t="s">
        <v>32</v>
      </c>
      <c r="V1200" t="s">
        <v>33</v>
      </c>
      <c r="W1200">
        <v>4</v>
      </c>
    </row>
    <row r="1201" spans="1:23" x14ac:dyDescent="0.25">
      <c r="A1201" t="s">
        <v>1800</v>
      </c>
      <c r="B1201" s="1">
        <v>46012</v>
      </c>
      <c r="C1201" t="s">
        <v>378</v>
      </c>
      <c r="D1201" t="s">
        <v>25</v>
      </c>
      <c r="E1201" t="s">
        <v>46</v>
      </c>
      <c r="F1201" t="s">
        <v>47</v>
      </c>
      <c r="G1201" t="s">
        <v>64</v>
      </c>
      <c r="H1201">
        <v>2</v>
      </c>
      <c r="I1201">
        <v>44822</v>
      </c>
      <c r="J1201">
        <v>10</v>
      </c>
      <c r="K1201">
        <v>8964.4</v>
      </c>
      <c r="L1201">
        <v>80679.600000000006</v>
      </c>
      <c r="M1201">
        <v>48201.61</v>
      </c>
      <c r="N1201">
        <v>32477.99</v>
      </c>
      <c r="O1201" t="s">
        <v>55</v>
      </c>
      <c r="P1201">
        <v>218.09</v>
      </c>
      <c r="Q1201" t="s">
        <v>40</v>
      </c>
      <c r="R1201" t="s">
        <v>41</v>
      </c>
      <c r="S1201">
        <v>2</v>
      </c>
      <c r="T1201">
        <v>4</v>
      </c>
      <c r="U1201" t="s">
        <v>56</v>
      </c>
      <c r="V1201" t="s">
        <v>33</v>
      </c>
      <c r="W1201">
        <v>5</v>
      </c>
    </row>
    <row r="1202" spans="1:23" x14ac:dyDescent="0.25">
      <c r="A1202" t="s">
        <v>1801</v>
      </c>
      <c r="B1202" s="1">
        <v>45861</v>
      </c>
      <c r="C1202" t="s">
        <v>770</v>
      </c>
      <c r="D1202" t="s">
        <v>154</v>
      </c>
      <c r="E1202" t="s">
        <v>46</v>
      </c>
      <c r="F1202" t="s">
        <v>47</v>
      </c>
      <c r="G1202" t="s">
        <v>146</v>
      </c>
      <c r="H1202">
        <v>3</v>
      </c>
      <c r="I1202">
        <v>43018</v>
      </c>
      <c r="J1202">
        <v>0</v>
      </c>
      <c r="K1202">
        <v>0</v>
      </c>
      <c r="L1202">
        <v>129054</v>
      </c>
      <c r="M1202">
        <v>94625.52</v>
      </c>
      <c r="N1202">
        <v>34428.480000000003</v>
      </c>
      <c r="O1202" t="s">
        <v>49</v>
      </c>
      <c r="P1202">
        <v>84.84</v>
      </c>
      <c r="Q1202" t="s">
        <v>30</v>
      </c>
      <c r="R1202" t="s">
        <v>41</v>
      </c>
      <c r="S1202">
        <v>2</v>
      </c>
      <c r="T1202">
        <v>2</v>
      </c>
      <c r="U1202" t="s">
        <v>32</v>
      </c>
      <c r="V1202" t="s">
        <v>33</v>
      </c>
      <c r="W1202">
        <v>5</v>
      </c>
    </row>
    <row r="1203" spans="1:23" x14ac:dyDescent="0.25">
      <c r="A1203" t="s">
        <v>1802</v>
      </c>
      <c r="B1203" s="1">
        <v>45990</v>
      </c>
      <c r="C1203" t="s">
        <v>550</v>
      </c>
      <c r="D1203" t="s">
        <v>67</v>
      </c>
      <c r="E1203" t="s">
        <v>36</v>
      </c>
      <c r="F1203" t="s">
        <v>37</v>
      </c>
      <c r="G1203" t="s">
        <v>224</v>
      </c>
      <c r="H1203">
        <v>2</v>
      </c>
      <c r="I1203">
        <v>33206</v>
      </c>
      <c r="J1203">
        <v>0</v>
      </c>
      <c r="K1203">
        <v>0</v>
      </c>
      <c r="L1203">
        <v>66412</v>
      </c>
      <c r="M1203">
        <v>52452.63</v>
      </c>
      <c r="N1203">
        <v>13959.37</v>
      </c>
      <c r="O1203" t="s">
        <v>60</v>
      </c>
      <c r="P1203">
        <v>1541.6</v>
      </c>
      <c r="Q1203" t="s">
        <v>68</v>
      </c>
      <c r="R1203" t="s">
        <v>31</v>
      </c>
      <c r="S1203">
        <v>5</v>
      </c>
      <c r="T1203">
        <v>0</v>
      </c>
      <c r="U1203" t="s">
        <v>32</v>
      </c>
      <c r="V1203" t="s">
        <v>50</v>
      </c>
      <c r="W1203">
        <v>3</v>
      </c>
    </row>
    <row r="1204" spans="1:23" x14ac:dyDescent="0.25">
      <c r="A1204" t="s">
        <v>1803</v>
      </c>
      <c r="B1204" s="1">
        <v>45699</v>
      </c>
      <c r="C1204" t="s">
        <v>618</v>
      </c>
      <c r="D1204" t="s">
        <v>154</v>
      </c>
      <c r="E1204" t="s">
        <v>36</v>
      </c>
      <c r="F1204" t="s">
        <v>47</v>
      </c>
      <c r="G1204" t="s">
        <v>105</v>
      </c>
      <c r="H1204">
        <v>1</v>
      </c>
      <c r="I1204">
        <v>14414</v>
      </c>
      <c r="J1204">
        <v>20</v>
      </c>
      <c r="K1204">
        <v>2882.8</v>
      </c>
      <c r="L1204">
        <v>11531.2</v>
      </c>
      <c r="M1204">
        <v>7690.99</v>
      </c>
      <c r="N1204">
        <v>3840.21</v>
      </c>
      <c r="O1204" t="s">
        <v>39</v>
      </c>
      <c r="P1204">
        <v>711.27</v>
      </c>
      <c r="Q1204" t="s">
        <v>40</v>
      </c>
      <c r="R1204" t="s">
        <v>31</v>
      </c>
      <c r="S1204">
        <v>5</v>
      </c>
      <c r="T1204">
        <v>5</v>
      </c>
      <c r="U1204" t="s">
        <v>32</v>
      </c>
      <c r="V1204" t="s">
        <v>33</v>
      </c>
      <c r="W1204">
        <v>5</v>
      </c>
    </row>
    <row r="1205" spans="1:23" x14ac:dyDescent="0.25">
      <c r="A1205" t="s">
        <v>1804</v>
      </c>
      <c r="B1205" s="1">
        <v>45826</v>
      </c>
      <c r="C1205" t="s">
        <v>1805</v>
      </c>
      <c r="D1205" t="s">
        <v>63</v>
      </c>
      <c r="E1205" t="s">
        <v>46</v>
      </c>
      <c r="F1205" t="s">
        <v>53</v>
      </c>
      <c r="G1205" t="s">
        <v>54</v>
      </c>
      <c r="H1205">
        <v>1</v>
      </c>
      <c r="I1205">
        <v>104489</v>
      </c>
      <c r="J1205">
        <v>5</v>
      </c>
      <c r="K1205">
        <v>5224.45</v>
      </c>
      <c r="L1205">
        <v>99264.55</v>
      </c>
      <c r="M1205">
        <v>74379.25</v>
      </c>
      <c r="N1205">
        <v>24885.3</v>
      </c>
      <c r="O1205" t="s">
        <v>55</v>
      </c>
      <c r="P1205">
        <v>1811.64</v>
      </c>
      <c r="Q1205" t="s">
        <v>30</v>
      </c>
      <c r="R1205" t="s">
        <v>31</v>
      </c>
      <c r="S1205">
        <v>5</v>
      </c>
      <c r="T1205">
        <v>6</v>
      </c>
      <c r="U1205" t="s">
        <v>56</v>
      </c>
      <c r="V1205" t="s">
        <v>33</v>
      </c>
      <c r="W1205">
        <v>4</v>
      </c>
    </row>
    <row r="1206" spans="1:23" x14ac:dyDescent="0.25">
      <c r="A1206" t="s">
        <v>1806</v>
      </c>
      <c r="B1206" s="1">
        <v>46003</v>
      </c>
      <c r="C1206" t="s">
        <v>1288</v>
      </c>
      <c r="D1206" t="s">
        <v>154</v>
      </c>
      <c r="E1206" t="s">
        <v>46</v>
      </c>
      <c r="F1206" t="s">
        <v>47</v>
      </c>
      <c r="G1206" t="s">
        <v>64</v>
      </c>
      <c r="H1206">
        <v>1</v>
      </c>
      <c r="I1206">
        <v>49743</v>
      </c>
      <c r="J1206">
        <v>0</v>
      </c>
      <c r="K1206">
        <v>0</v>
      </c>
      <c r="L1206">
        <v>49743</v>
      </c>
      <c r="M1206">
        <v>29043.37</v>
      </c>
      <c r="N1206">
        <v>20699.63</v>
      </c>
      <c r="O1206" t="s">
        <v>29</v>
      </c>
      <c r="P1206">
        <v>1108.81</v>
      </c>
      <c r="Q1206" t="s">
        <v>73</v>
      </c>
      <c r="R1206" t="s">
        <v>41</v>
      </c>
      <c r="S1206">
        <v>2</v>
      </c>
      <c r="T1206">
        <v>2</v>
      </c>
      <c r="U1206" t="s">
        <v>32</v>
      </c>
      <c r="V1206" t="s">
        <v>33</v>
      </c>
      <c r="W1206">
        <v>4</v>
      </c>
    </row>
    <row r="1207" spans="1:23" x14ac:dyDescent="0.25">
      <c r="A1207" t="s">
        <v>1807</v>
      </c>
      <c r="B1207" s="1">
        <v>45931</v>
      </c>
      <c r="C1207" t="s">
        <v>1030</v>
      </c>
      <c r="D1207" t="s">
        <v>97</v>
      </c>
      <c r="E1207" t="s">
        <v>46</v>
      </c>
      <c r="F1207" t="s">
        <v>47</v>
      </c>
      <c r="G1207" t="s">
        <v>105</v>
      </c>
      <c r="H1207">
        <v>4</v>
      </c>
      <c r="I1207">
        <v>39063</v>
      </c>
      <c r="J1207">
        <v>0</v>
      </c>
      <c r="K1207">
        <v>0</v>
      </c>
      <c r="L1207">
        <v>156252</v>
      </c>
      <c r="M1207">
        <v>105034.74</v>
      </c>
      <c r="N1207">
        <v>51217.26</v>
      </c>
      <c r="O1207" t="s">
        <v>49</v>
      </c>
      <c r="P1207">
        <v>417.23</v>
      </c>
      <c r="Q1207" t="s">
        <v>30</v>
      </c>
      <c r="R1207" t="s">
        <v>41</v>
      </c>
      <c r="S1207">
        <v>2</v>
      </c>
      <c r="T1207">
        <v>2</v>
      </c>
      <c r="U1207" t="s">
        <v>32</v>
      </c>
      <c r="V1207" t="s">
        <v>33</v>
      </c>
      <c r="W1207">
        <v>3</v>
      </c>
    </row>
    <row r="1208" spans="1:23" x14ac:dyDescent="0.25">
      <c r="A1208" t="s">
        <v>1808</v>
      </c>
      <c r="B1208" s="1">
        <v>45852</v>
      </c>
      <c r="C1208" t="s">
        <v>429</v>
      </c>
      <c r="D1208" t="s">
        <v>90</v>
      </c>
      <c r="E1208" t="s">
        <v>46</v>
      </c>
      <c r="F1208" t="s">
        <v>27</v>
      </c>
      <c r="G1208" t="s">
        <v>72</v>
      </c>
      <c r="H1208">
        <v>1</v>
      </c>
      <c r="I1208">
        <v>9128</v>
      </c>
      <c r="J1208">
        <v>0</v>
      </c>
      <c r="K1208">
        <v>0</v>
      </c>
      <c r="L1208">
        <v>9128</v>
      </c>
      <c r="M1208">
        <v>5479.23</v>
      </c>
      <c r="N1208">
        <v>3648.77</v>
      </c>
      <c r="O1208" t="s">
        <v>91</v>
      </c>
      <c r="P1208">
        <v>2098.14</v>
      </c>
      <c r="Q1208" t="s">
        <v>73</v>
      </c>
      <c r="R1208" t="s">
        <v>41</v>
      </c>
      <c r="S1208">
        <v>2</v>
      </c>
      <c r="T1208">
        <v>1</v>
      </c>
      <c r="U1208" t="s">
        <v>32</v>
      </c>
      <c r="V1208" t="s">
        <v>33</v>
      </c>
      <c r="W1208">
        <v>5</v>
      </c>
    </row>
    <row r="1209" spans="1:23" x14ac:dyDescent="0.25">
      <c r="A1209" t="s">
        <v>1809</v>
      </c>
      <c r="B1209" s="1">
        <v>45820</v>
      </c>
      <c r="C1209" t="s">
        <v>102</v>
      </c>
      <c r="D1209" t="s">
        <v>63</v>
      </c>
      <c r="E1209" t="s">
        <v>26</v>
      </c>
      <c r="F1209" t="s">
        <v>47</v>
      </c>
      <c r="G1209" t="s">
        <v>64</v>
      </c>
      <c r="H1209">
        <v>3</v>
      </c>
      <c r="I1209">
        <v>21756</v>
      </c>
      <c r="J1209">
        <v>5</v>
      </c>
      <c r="K1209">
        <v>3263.4</v>
      </c>
      <c r="L1209">
        <v>62004.6</v>
      </c>
      <c r="M1209">
        <v>38242.07</v>
      </c>
      <c r="N1209">
        <v>23762.53</v>
      </c>
      <c r="O1209" t="s">
        <v>39</v>
      </c>
      <c r="P1209">
        <v>762.76</v>
      </c>
      <c r="Q1209" t="s">
        <v>83</v>
      </c>
      <c r="R1209" t="s">
        <v>31</v>
      </c>
      <c r="S1209">
        <v>5</v>
      </c>
      <c r="T1209">
        <v>3</v>
      </c>
      <c r="U1209" t="s">
        <v>32</v>
      </c>
      <c r="V1209" t="s">
        <v>33</v>
      </c>
      <c r="W1209">
        <v>2</v>
      </c>
    </row>
    <row r="1210" spans="1:23" x14ac:dyDescent="0.25">
      <c r="A1210" t="s">
        <v>1810</v>
      </c>
      <c r="B1210" s="1">
        <v>45978</v>
      </c>
      <c r="C1210" t="s">
        <v>1106</v>
      </c>
      <c r="D1210" t="s">
        <v>25</v>
      </c>
      <c r="E1210" t="s">
        <v>36</v>
      </c>
      <c r="F1210" t="s">
        <v>53</v>
      </c>
      <c r="G1210" t="s">
        <v>268</v>
      </c>
      <c r="H1210">
        <v>1</v>
      </c>
      <c r="I1210">
        <v>90027</v>
      </c>
      <c r="J1210">
        <v>10</v>
      </c>
      <c r="K1210">
        <v>9002.7000000000007</v>
      </c>
      <c r="L1210">
        <v>81024.3</v>
      </c>
      <c r="M1210">
        <v>61981.8</v>
      </c>
      <c r="N1210">
        <v>19042.5</v>
      </c>
      <c r="O1210" t="s">
        <v>39</v>
      </c>
      <c r="P1210">
        <v>1131.0899999999999</v>
      </c>
      <c r="Q1210" t="s">
        <v>40</v>
      </c>
      <c r="R1210" t="s">
        <v>31</v>
      </c>
      <c r="S1210">
        <v>5</v>
      </c>
      <c r="T1210">
        <v>1</v>
      </c>
      <c r="U1210" t="s">
        <v>32</v>
      </c>
      <c r="V1210" t="s">
        <v>50</v>
      </c>
      <c r="W1210">
        <v>5</v>
      </c>
    </row>
    <row r="1211" spans="1:23" x14ac:dyDescent="0.25">
      <c r="A1211" t="s">
        <v>1811</v>
      </c>
      <c r="B1211" s="1">
        <v>45907</v>
      </c>
      <c r="C1211" t="s">
        <v>695</v>
      </c>
      <c r="D1211" t="s">
        <v>124</v>
      </c>
      <c r="E1211" t="s">
        <v>46</v>
      </c>
      <c r="F1211" t="s">
        <v>37</v>
      </c>
      <c r="G1211" t="s">
        <v>38</v>
      </c>
      <c r="H1211">
        <v>2</v>
      </c>
      <c r="I1211">
        <v>29828</v>
      </c>
      <c r="J1211">
        <v>0</v>
      </c>
      <c r="K1211">
        <v>0</v>
      </c>
      <c r="L1211">
        <v>59656</v>
      </c>
      <c r="M1211">
        <v>42347.75</v>
      </c>
      <c r="N1211">
        <v>17308.25</v>
      </c>
      <c r="O1211" t="s">
        <v>29</v>
      </c>
      <c r="P1211">
        <v>1436.03</v>
      </c>
      <c r="Q1211" t="s">
        <v>73</v>
      </c>
      <c r="R1211" t="s">
        <v>31</v>
      </c>
      <c r="S1211">
        <v>5</v>
      </c>
      <c r="T1211">
        <v>8</v>
      </c>
      <c r="U1211" t="s">
        <v>56</v>
      </c>
      <c r="V1211" t="s">
        <v>33</v>
      </c>
      <c r="W1211">
        <v>5</v>
      </c>
    </row>
    <row r="1212" spans="1:23" x14ac:dyDescent="0.25">
      <c r="A1212" t="s">
        <v>1812</v>
      </c>
      <c r="B1212" s="1">
        <v>45935</v>
      </c>
      <c r="C1212" t="s">
        <v>449</v>
      </c>
      <c r="D1212" t="s">
        <v>79</v>
      </c>
      <c r="E1212" t="s">
        <v>36</v>
      </c>
      <c r="F1212" t="s">
        <v>37</v>
      </c>
      <c r="G1212" t="s">
        <v>38</v>
      </c>
      <c r="H1212">
        <v>2</v>
      </c>
      <c r="I1212">
        <v>7770</v>
      </c>
      <c r="J1212">
        <v>20</v>
      </c>
      <c r="K1212">
        <v>3108</v>
      </c>
      <c r="L1212">
        <v>12432</v>
      </c>
      <c r="M1212">
        <v>9456.0300000000007</v>
      </c>
      <c r="N1212">
        <v>2975.97</v>
      </c>
      <c r="O1212" t="s">
        <v>91</v>
      </c>
      <c r="P1212">
        <v>2287.65</v>
      </c>
      <c r="Q1212" t="s">
        <v>40</v>
      </c>
      <c r="R1212" t="s">
        <v>41</v>
      </c>
      <c r="S1212">
        <v>2</v>
      </c>
      <c r="T1212">
        <v>2</v>
      </c>
      <c r="U1212" t="s">
        <v>32</v>
      </c>
      <c r="V1212" t="s">
        <v>42</v>
      </c>
    </row>
    <row r="1213" spans="1:23" x14ac:dyDescent="0.25">
      <c r="A1213" t="s">
        <v>1813</v>
      </c>
      <c r="B1213" s="1">
        <v>45676</v>
      </c>
      <c r="C1213" t="s">
        <v>394</v>
      </c>
      <c r="D1213" t="s">
        <v>90</v>
      </c>
      <c r="E1213" t="s">
        <v>46</v>
      </c>
      <c r="F1213" t="s">
        <v>37</v>
      </c>
      <c r="G1213" t="s">
        <v>38</v>
      </c>
      <c r="H1213">
        <v>3</v>
      </c>
      <c r="I1213">
        <v>34132</v>
      </c>
      <c r="J1213">
        <v>10</v>
      </c>
      <c r="K1213">
        <v>10239.6</v>
      </c>
      <c r="L1213">
        <v>92156.4</v>
      </c>
      <c r="M1213">
        <v>65316.72</v>
      </c>
      <c r="N1213">
        <v>26839.68</v>
      </c>
      <c r="O1213" t="s">
        <v>55</v>
      </c>
      <c r="P1213">
        <v>2284.75</v>
      </c>
      <c r="Q1213" t="s">
        <v>30</v>
      </c>
      <c r="R1213" t="s">
        <v>31</v>
      </c>
      <c r="S1213">
        <v>5</v>
      </c>
      <c r="T1213">
        <v>3</v>
      </c>
      <c r="U1213" t="s">
        <v>32</v>
      </c>
      <c r="V1213" t="s">
        <v>33</v>
      </c>
      <c r="W1213">
        <v>1</v>
      </c>
    </row>
    <row r="1214" spans="1:23" x14ac:dyDescent="0.25">
      <c r="A1214" t="s">
        <v>1814</v>
      </c>
      <c r="B1214" s="1">
        <v>45974</v>
      </c>
      <c r="C1214" t="s">
        <v>1048</v>
      </c>
      <c r="D1214" t="s">
        <v>79</v>
      </c>
      <c r="E1214" t="s">
        <v>46</v>
      </c>
      <c r="F1214" t="s">
        <v>47</v>
      </c>
      <c r="G1214" t="s">
        <v>64</v>
      </c>
      <c r="H1214">
        <v>1</v>
      </c>
      <c r="I1214">
        <v>13408</v>
      </c>
      <c r="J1214">
        <v>15</v>
      </c>
      <c r="K1214">
        <v>2011.2</v>
      </c>
      <c r="L1214">
        <v>11396.8</v>
      </c>
      <c r="M1214">
        <v>7641.68</v>
      </c>
      <c r="N1214">
        <v>3755.12</v>
      </c>
      <c r="O1214" t="s">
        <v>29</v>
      </c>
      <c r="P1214">
        <v>1056.47</v>
      </c>
      <c r="Q1214" t="s">
        <v>30</v>
      </c>
      <c r="R1214" t="s">
        <v>31</v>
      </c>
      <c r="S1214">
        <v>5</v>
      </c>
      <c r="T1214">
        <v>0</v>
      </c>
      <c r="U1214" t="s">
        <v>32</v>
      </c>
      <c r="V1214" t="s">
        <v>50</v>
      </c>
      <c r="W1214">
        <v>4</v>
      </c>
    </row>
    <row r="1215" spans="1:23" x14ac:dyDescent="0.25">
      <c r="A1215" t="s">
        <v>1815</v>
      </c>
      <c r="B1215" s="1">
        <v>45693</v>
      </c>
      <c r="C1215" t="s">
        <v>402</v>
      </c>
      <c r="D1215" t="s">
        <v>67</v>
      </c>
      <c r="E1215" t="s">
        <v>46</v>
      </c>
      <c r="F1215" t="s">
        <v>47</v>
      </c>
      <c r="G1215" t="s">
        <v>105</v>
      </c>
      <c r="H1215">
        <v>3</v>
      </c>
      <c r="I1215">
        <v>33125</v>
      </c>
      <c r="J1215">
        <v>0</v>
      </c>
      <c r="K1215">
        <v>0</v>
      </c>
      <c r="L1215">
        <v>99375</v>
      </c>
      <c r="M1215">
        <v>73470.850000000006</v>
      </c>
      <c r="N1215">
        <v>25904.15</v>
      </c>
      <c r="O1215" t="s">
        <v>39</v>
      </c>
      <c r="P1215">
        <v>1231.71</v>
      </c>
      <c r="Q1215" t="s">
        <v>68</v>
      </c>
      <c r="R1215" t="s">
        <v>41</v>
      </c>
      <c r="S1215">
        <v>2</v>
      </c>
      <c r="T1215">
        <v>0</v>
      </c>
      <c r="U1215" t="s">
        <v>32</v>
      </c>
      <c r="V1215" t="s">
        <v>42</v>
      </c>
    </row>
    <row r="1216" spans="1:23" x14ac:dyDescent="0.25">
      <c r="A1216" t="s">
        <v>1816</v>
      </c>
      <c r="B1216" s="1">
        <v>45778</v>
      </c>
      <c r="C1216" t="s">
        <v>370</v>
      </c>
      <c r="D1216" t="s">
        <v>45</v>
      </c>
      <c r="E1216" t="s">
        <v>26</v>
      </c>
      <c r="F1216" t="s">
        <v>53</v>
      </c>
      <c r="G1216" t="s">
        <v>151</v>
      </c>
      <c r="H1216">
        <v>3</v>
      </c>
      <c r="I1216">
        <v>44203</v>
      </c>
      <c r="J1216">
        <v>5</v>
      </c>
      <c r="K1216">
        <v>6630.45</v>
      </c>
      <c r="L1216">
        <v>125978.55</v>
      </c>
      <c r="M1216">
        <v>74941.89</v>
      </c>
      <c r="N1216">
        <v>51036.66</v>
      </c>
      <c r="O1216" t="s">
        <v>91</v>
      </c>
      <c r="P1216">
        <v>1789.49</v>
      </c>
      <c r="Q1216" t="s">
        <v>73</v>
      </c>
      <c r="R1216" t="s">
        <v>31</v>
      </c>
      <c r="S1216">
        <v>5</v>
      </c>
      <c r="T1216">
        <v>4</v>
      </c>
      <c r="U1216" t="s">
        <v>32</v>
      </c>
      <c r="V1216" t="s">
        <v>33</v>
      </c>
      <c r="W1216">
        <v>3</v>
      </c>
    </row>
    <row r="1217" spans="1:23" x14ac:dyDescent="0.25">
      <c r="A1217" t="s">
        <v>1817</v>
      </c>
      <c r="B1217" s="1">
        <v>45981</v>
      </c>
      <c r="C1217" t="s">
        <v>854</v>
      </c>
      <c r="D1217" t="s">
        <v>79</v>
      </c>
      <c r="E1217" t="s">
        <v>46</v>
      </c>
      <c r="F1217" t="s">
        <v>86</v>
      </c>
      <c r="G1217" t="s">
        <v>180</v>
      </c>
      <c r="H1217">
        <v>2</v>
      </c>
      <c r="I1217">
        <v>19771</v>
      </c>
      <c r="J1217">
        <v>0</v>
      </c>
      <c r="K1217">
        <v>0</v>
      </c>
      <c r="L1217">
        <v>39542</v>
      </c>
      <c r="M1217">
        <v>27272.3</v>
      </c>
      <c r="N1217">
        <v>12269.7</v>
      </c>
      <c r="O1217" t="s">
        <v>39</v>
      </c>
      <c r="P1217">
        <v>1260.29</v>
      </c>
      <c r="Q1217" t="s">
        <v>68</v>
      </c>
      <c r="R1217" t="s">
        <v>41</v>
      </c>
      <c r="S1217">
        <v>2</v>
      </c>
      <c r="T1217">
        <v>4</v>
      </c>
      <c r="U1217" t="s">
        <v>56</v>
      </c>
      <c r="V1217" t="s">
        <v>33</v>
      </c>
      <c r="W1217">
        <v>5</v>
      </c>
    </row>
    <row r="1218" spans="1:23" x14ac:dyDescent="0.25">
      <c r="A1218" t="s">
        <v>1818</v>
      </c>
      <c r="B1218" s="1">
        <v>46008</v>
      </c>
      <c r="C1218" t="s">
        <v>1591</v>
      </c>
      <c r="D1218" t="s">
        <v>25</v>
      </c>
      <c r="E1218" t="s">
        <v>26</v>
      </c>
      <c r="F1218" t="s">
        <v>86</v>
      </c>
      <c r="G1218" t="s">
        <v>127</v>
      </c>
      <c r="H1218">
        <v>3</v>
      </c>
      <c r="I1218">
        <v>71761</v>
      </c>
      <c r="J1218">
        <v>10</v>
      </c>
      <c r="K1218">
        <v>21528.3</v>
      </c>
      <c r="L1218">
        <v>193754.7</v>
      </c>
      <c r="M1218">
        <v>139432.91</v>
      </c>
      <c r="N1218">
        <v>54321.79</v>
      </c>
      <c r="O1218" t="s">
        <v>49</v>
      </c>
      <c r="P1218">
        <v>406.05</v>
      </c>
      <c r="Q1218" t="s">
        <v>40</v>
      </c>
      <c r="R1218" t="s">
        <v>41</v>
      </c>
      <c r="S1218">
        <v>2</v>
      </c>
      <c r="T1218">
        <v>5</v>
      </c>
      <c r="U1218" t="s">
        <v>32</v>
      </c>
      <c r="V1218" t="s">
        <v>50</v>
      </c>
      <c r="W1218">
        <v>5</v>
      </c>
    </row>
    <row r="1219" spans="1:23" x14ac:dyDescent="0.25">
      <c r="A1219" t="s">
        <v>1819</v>
      </c>
      <c r="B1219" s="1">
        <v>45805</v>
      </c>
      <c r="C1219" t="s">
        <v>496</v>
      </c>
      <c r="D1219" t="s">
        <v>97</v>
      </c>
      <c r="E1219" t="s">
        <v>26</v>
      </c>
      <c r="F1219" t="s">
        <v>47</v>
      </c>
      <c r="G1219" t="s">
        <v>138</v>
      </c>
      <c r="H1219">
        <v>1</v>
      </c>
      <c r="I1219">
        <v>32048</v>
      </c>
      <c r="J1219">
        <v>5</v>
      </c>
      <c r="K1219">
        <v>1602.4</v>
      </c>
      <c r="L1219">
        <v>30445.599999999999</v>
      </c>
      <c r="M1219">
        <v>22972.41</v>
      </c>
      <c r="N1219">
        <v>7473.19</v>
      </c>
      <c r="O1219" t="s">
        <v>60</v>
      </c>
      <c r="P1219">
        <v>419.13</v>
      </c>
      <c r="Q1219" t="s">
        <v>40</v>
      </c>
      <c r="R1219" t="s">
        <v>41</v>
      </c>
      <c r="S1219">
        <v>2</v>
      </c>
      <c r="T1219">
        <v>2</v>
      </c>
      <c r="U1219" t="s">
        <v>32</v>
      </c>
      <c r="V1219" t="s">
        <v>42</v>
      </c>
    </row>
    <row r="1220" spans="1:23" x14ac:dyDescent="0.25">
      <c r="A1220" t="s">
        <v>1820</v>
      </c>
      <c r="B1220" s="1">
        <v>45774</v>
      </c>
      <c r="C1220" t="s">
        <v>1821</v>
      </c>
      <c r="D1220" t="s">
        <v>67</v>
      </c>
      <c r="E1220" t="s">
        <v>26</v>
      </c>
      <c r="F1220" t="s">
        <v>53</v>
      </c>
      <c r="G1220" t="s">
        <v>268</v>
      </c>
      <c r="H1220">
        <v>1</v>
      </c>
      <c r="I1220">
        <v>65792</v>
      </c>
      <c r="J1220">
        <v>25</v>
      </c>
      <c r="K1220">
        <v>16448</v>
      </c>
      <c r="L1220">
        <v>49344</v>
      </c>
      <c r="M1220">
        <v>37605.79</v>
      </c>
      <c r="N1220">
        <v>11738.21</v>
      </c>
      <c r="O1220" t="s">
        <v>49</v>
      </c>
      <c r="P1220">
        <v>382.47</v>
      </c>
      <c r="Q1220" t="s">
        <v>68</v>
      </c>
      <c r="R1220" t="s">
        <v>31</v>
      </c>
      <c r="S1220">
        <v>5</v>
      </c>
      <c r="T1220">
        <v>3</v>
      </c>
      <c r="U1220" t="s">
        <v>32</v>
      </c>
      <c r="V1220" t="s">
        <v>33</v>
      </c>
      <c r="W1220">
        <v>5</v>
      </c>
    </row>
    <row r="1221" spans="1:23" x14ac:dyDescent="0.25">
      <c r="A1221" t="s">
        <v>1822</v>
      </c>
      <c r="B1221" s="1">
        <v>45704</v>
      </c>
      <c r="C1221" t="s">
        <v>1162</v>
      </c>
      <c r="D1221" t="s">
        <v>154</v>
      </c>
      <c r="E1221" t="s">
        <v>26</v>
      </c>
      <c r="F1221" t="s">
        <v>86</v>
      </c>
      <c r="G1221" t="s">
        <v>127</v>
      </c>
      <c r="H1221">
        <v>1</v>
      </c>
      <c r="I1221">
        <v>58153</v>
      </c>
      <c r="J1221">
        <v>0</v>
      </c>
      <c r="K1221">
        <v>0</v>
      </c>
      <c r="L1221">
        <v>58153</v>
      </c>
      <c r="M1221">
        <v>37674.5</v>
      </c>
      <c r="N1221">
        <v>20478.5</v>
      </c>
      <c r="O1221" t="s">
        <v>60</v>
      </c>
      <c r="P1221">
        <v>1058.43</v>
      </c>
      <c r="Q1221" t="s">
        <v>40</v>
      </c>
      <c r="R1221" t="s">
        <v>41</v>
      </c>
      <c r="S1221">
        <v>2</v>
      </c>
      <c r="T1221">
        <v>6</v>
      </c>
      <c r="U1221" t="s">
        <v>56</v>
      </c>
      <c r="V1221" t="s">
        <v>33</v>
      </c>
      <c r="W1221">
        <v>5</v>
      </c>
    </row>
    <row r="1222" spans="1:23" x14ac:dyDescent="0.25">
      <c r="A1222" t="s">
        <v>1823</v>
      </c>
      <c r="B1222" s="1">
        <v>45880</v>
      </c>
      <c r="C1222" t="s">
        <v>744</v>
      </c>
      <c r="D1222" t="s">
        <v>154</v>
      </c>
      <c r="E1222" t="s">
        <v>46</v>
      </c>
      <c r="F1222" t="s">
        <v>27</v>
      </c>
      <c r="G1222" t="s">
        <v>76</v>
      </c>
      <c r="H1222">
        <v>1</v>
      </c>
      <c r="I1222">
        <v>9508</v>
      </c>
      <c r="J1222">
        <v>15</v>
      </c>
      <c r="K1222">
        <v>1426.2</v>
      </c>
      <c r="L1222">
        <v>8081.8</v>
      </c>
      <c r="M1222">
        <v>4811.59</v>
      </c>
      <c r="N1222">
        <v>3270.21</v>
      </c>
      <c r="O1222" t="s">
        <v>91</v>
      </c>
      <c r="P1222">
        <v>1470.68</v>
      </c>
      <c r="Q1222" t="s">
        <v>68</v>
      </c>
      <c r="R1222" t="s">
        <v>41</v>
      </c>
      <c r="S1222">
        <v>2</v>
      </c>
      <c r="T1222">
        <v>1</v>
      </c>
      <c r="U1222" t="s">
        <v>32</v>
      </c>
      <c r="V1222" t="s">
        <v>33</v>
      </c>
      <c r="W1222">
        <v>2</v>
      </c>
    </row>
    <row r="1223" spans="1:23" x14ac:dyDescent="0.25">
      <c r="A1223" t="s">
        <v>1824</v>
      </c>
      <c r="B1223" s="1">
        <v>45708</v>
      </c>
      <c r="C1223" t="s">
        <v>96</v>
      </c>
      <c r="D1223" t="s">
        <v>90</v>
      </c>
      <c r="E1223" t="s">
        <v>36</v>
      </c>
      <c r="F1223" t="s">
        <v>37</v>
      </c>
      <c r="G1223" t="s">
        <v>313</v>
      </c>
      <c r="H1223">
        <v>1</v>
      </c>
      <c r="I1223">
        <v>22839</v>
      </c>
      <c r="J1223">
        <v>0</v>
      </c>
      <c r="K1223">
        <v>0</v>
      </c>
      <c r="L1223">
        <v>22839</v>
      </c>
      <c r="M1223">
        <v>16224.5</v>
      </c>
      <c r="N1223">
        <v>6614.5</v>
      </c>
      <c r="O1223" t="s">
        <v>55</v>
      </c>
      <c r="P1223">
        <v>591.54999999999995</v>
      </c>
      <c r="Q1223" t="s">
        <v>30</v>
      </c>
      <c r="R1223" t="s">
        <v>41</v>
      </c>
      <c r="S1223">
        <v>2</v>
      </c>
      <c r="T1223">
        <v>2</v>
      </c>
      <c r="U1223" t="s">
        <v>32</v>
      </c>
      <c r="V1223" t="s">
        <v>33</v>
      </c>
      <c r="W1223">
        <v>4</v>
      </c>
    </row>
    <row r="1224" spans="1:23" x14ac:dyDescent="0.25">
      <c r="A1224" t="s">
        <v>1825</v>
      </c>
      <c r="B1224" s="1">
        <v>45982</v>
      </c>
      <c r="C1224" t="s">
        <v>795</v>
      </c>
      <c r="D1224" t="s">
        <v>71</v>
      </c>
      <c r="E1224" t="s">
        <v>46</v>
      </c>
      <c r="F1224" t="s">
        <v>53</v>
      </c>
      <c r="G1224" t="s">
        <v>268</v>
      </c>
      <c r="H1224">
        <v>2</v>
      </c>
      <c r="I1224">
        <v>53917</v>
      </c>
      <c r="J1224">
        <v>5</v>
      </c>
      <c r="K1224">
        <v>5391.7</v>
      </c>
      <c r="L1224">
        <v>102442.3</v>
      </c>
      <c r="M1224">
        <v>61463.34</v>
      </c>
      <c r="N1224">
        <v>40978.959999999999</v>
      </c>
      <c r="O1224" t="s">
        <v>55</v>
      </c>
      <c r="P1224">
        <v>290.48</v>
      </c>
      <c r="Q1224" t="s">
        <v>68</v>
      </c>
      <c r="R1224" t="s">
        <v>41</v>
      </c>
      <c r="S1224">
        <v>2</v>
      </c>
      <c r="T1224">
        <v>3</v>
      </c>
      <c r="U1224" t="s">
        <v>56</v>
      </c>
      <c r="V1224" t="s">
        <v>33</v>
      </c>
      <c r="W1224">
        <v>5</v>
      </c>
    </row>
    <row r="1225" spans="1:23" x14ac:dyDescent="0.25">
      <c r="A1225" t="s">
        <v>1826</v>
      </c>
      <c r="B1225" s="1">
        <v>46018</v>
      </c>
      <c r="C1225" t="s">
        <v>349</v>
      </c>
      <c r="D1225" t="s">
        <v>79</v>
      </c>
      <c r="E1225" t="s">
        <v>46</v>
      </c>
      <c r="F1225" t="s">
        <v>37</v>
      </c>
      <c r="G1225" t="s">
        <v>224</v>
      </c>
      <c r="H1225">
        <v>1</v>
      </c>
      <c r="I1225">
        <v>14506</v>
      </c>
      <c r="J1225">
        <v>10</v>
      </c>
      <c r="K1225">
        <v>1450.6</v>
      </c>
      <c r="L1225">
        <v>13055.4</v>
      </c>
      <c r="M1225">
        <v>10128.58</v>
      </c>
      <c r="N1225">
        <v>2926.82</v>
      </c>
      <c r="O1225" t="s">
        <v>29</v>
      </c>
      <c r="P1225">
        <v>711.04</v>
      </c>
      <c r="Q1225" t="s">
        <v>83</v>
      </c>
      <c r="R1225" t="s">
        <v>31</v>
      </c>
      <c r="S1225">
        <v>5</v>
      </c>
      <c r="T1225">
        <v>5</v>
      </c>
      <c r="U1225" t="s">
        <v>32</v>
      </c>
      <c r="V1225" t="s">
        <v>33</v>
      </c>
      <c r="W1225">
        <v>5</v>
      </c>
    </row>
    <row r="1226" spans="1:23" x14ac:dyDescent="0.25">
      <c r="A1226" t="s">
        <v>1827</v>
      </c>
      <c r="B1226" s="1">
        <v>45709</v>
      </c>
      <c r="C1226" t="s">
        <v>1050</v>
      </c>
      <c r="D1226" t="s">
        <v>97</v>
      </c>
      <c r="E1226" t="s">
        <v>26</v>
      </c>
      <c r="F1226" t="s">
        <v>53</v>
      </c>
      <c r="G1226" t="s">
        <v>54</v>
      </c>
      <c r="H1226">
        <v>2</v>
      </c>
      <c r="I1226">
        <v>50991</v>
      </c>
      <c r="J1226">
        <v>15</v>
      </c>
      <c r="K1226">
        <v>15297.3</v>
      </c>
      <c r="L1226">
        <v>86684.7</v>
      </c>
      <c r="M1226">
        <v>67124.94</v>
      </c>
      <c r="N1226">
        <v>19559.759999999998</v>
      </c>
      <c r="O1226" t="s">
        <v>91</v>
      </c>
      <c r="P1226">
        <v>2201.71</v>
      </c>
      <c r="Q1226" t="s">
        <v>30</v>
      </c>
      <c r="R1226" t="s">
        <v>41</v>
      </c>
      <c r="S1226">
        <v>2</v>
      </c>
      <c r="T1226">
        <v>1</v>
      </c>
      <c r="U1226" t="s">
        <v>32</v>
      </c>
      <c r="V1226" t="s">
        <v>33</v>
      </c>
      <c r="W1226">
        <v>4</v>
      </c>
    </row>
    <row r="1227" spans="1:23" x14ac:dyDescent="0.25">
      <c r="A1227" t="s">
        <v>1828</v>
      </c>
      <c r="B1227" s="1">
        <v>45885</v>
      </c>
      <c r="C1227" t="s">
        <v>1411</v>
      </c>
      <c r="D1227" t="s">
        <v>25</v>
      </c>
      <c r="E1227" t="s">
        <v>46</v>
      </c>
      <c r="F1227" t="s">
        <v>86</v>
      </c>
      <c r="G1227" t="s">
        <v>87</v>
      </c>
      <c r="H1227">
        <v>1</v>
      </c>
      <c r="I1227">
        <v>32199</v>
      </c>
      <c r="J1227">
        <v>0</v>
      </c>
      <c r="K1227">
        <v>0</v>
      </c>
      <c r="L1227">
        <v>32199</v>
      </c>
      <c r="M1227">
        <v>21575.49</v>
      </c>
      <c r="N1227">
        <v>10623.51</v>
      </c>
      <c r="O1227" t="s">
        <v>55</v>
      </c>
      <c r="P1227">
        <v>712.74</v>
      </c>
      <c r="Q1227" t="s">
        <v>83</v>
      </c>
      <c r="R1227" t="s">
        <v>31</v>
      </c>
      <c r="S1227">
        <v>5</v>
      </c>
      <c r="T1227">
        <v>4</v>
      </c>
      <c r="U1227" t="s">
        <v>32</v>
      </c>
      <c r="V1227" t="s">
        <v>33</v>
      </c>
      <c r="W1227">
        <v>5</v>
      </c>
    </row>
    <row r="1228" spans="1:23" x14ac:dyDescent="0.25">
      <c r="A1228" t="s">
        <v>1829</v>
      </c>
      <c r="B1228" s="1">
        <v>45743</v>
      </c>
      <c r="C1228" t="s">
        <v>677</v>
      </c>
      <c r="D1228" t="s">
        <v>79</v>
      </c>
      <c r="E1228" t="s">
        <v>26</v>
      </c>
      <c r="F1228" t="s">
        <v>47</v>
      </c>
      <c r="G1228" t="s">
        <v>146</v>
      </c>
      <c r="H1228">
        <v>2</v>
      </c>
      <c r="I1228">
        <v>25554</v>
      </c>
      <c r="J1228">
        <v>0</v>
      </c>
      <c r="K1228">
        <v>0</v>
      </c>
      <c r="L1228">
        <v>51108</v>
      </c>
      <c r="M1228">
        <v>41062.550000000003</v>
      </c>
      <c r="N1228">
        <v>10045.450000000001</v>
      </c>
      <c r="O1228" t="s">
        <v>55</v>
      </c>
      <c r="P1228">
        <v>834.85</v>
      </c>
      <c r="Q1228" t="s">
        <v>73</v>
      </c>
      <c r="R1228" t="s">
        <v>31</v>
      </c>
      <c r="S1228">
        <v>5</v>
      </c>
      <c r="T1228">
        <v>3</v>
      </c>
      <c r="U1228" t="s">
        <v>32</v>
      </c>
      <c r="V1228" t="s">
        <v>50</v>
      </c>
      <c r="W1228">
        <v>3</v>
      </c>
    </row>
    <row r="1229" spans="1:23" x14ac:dyDescent="0.25">
      <c r="A1229" t="s">
        <v>1830</v>
      </c>
      <c r="B1229" s="1">
        <v>46013</v>
      </c>
      <c r="C1229" t="s">
        <v>140</v>
      </c>
      <c r="D1229" t="s">
        <v>154</v>
      </c>
      <c r="E1229" t="s">
        <v>26</v>
      </c>
      <c r="F1229" t="s">
        <v>53</v>
      </c>
      <c r="G1229" t="s">
        <v>268</v>
      </c>
      <c r="H1229">
        <v>3</v>
      </c>
      <c r="I1229">
        <v>77597</v>
      </c>
      <c r="J1229">
        <v>15</v>
      </c>
      <c r="K1229">
        <v>34918.65</v>
      </c>
      <c r="L1229">
        <v>197872.35</v>
      </c>
      <c r="M1229">
        <v>154703.79</v>
      </c>
      <c r="N1229">
        <v>43168.56</v>
      </c>
      <c r="O1229" t="s">
        <v>60</v>
      </c>
      <c r="P1229">
        <v>872.33</v>
      </c>
      <c r="Q1229" t="s">
        <v>40</v>
      </c>
      <c r="R1229" t="s">
        <v>41</v>
      </c>
      <c r="S1229">
        <v>2</v>
      </c>
      <c r="T1229">
        <v>1</v>
      </c>
      <c r="U1229" t="s">
        <v>32</v>
      </c>
      <c r="V1229" t="s">
        <v>33</v>
      </c>
      <c r="W1229">
        <v>5</v>
      </c>
    </row>
    <row r="1230" spans="1:23" x14ac:dyDescent="0.25">
      <c r="A1230" t="s">
        <v>1831</v>
      </c>
      <c r="B1230" s="1">
        <v>45811</v>
      </c>
      <c r="C1230" t="s">
        <v>1832</v>
      </c>
      <c r="D1230" t="s">
        <v>79</v>
      </c>
      <c r="E1230" t="s">
        <v>46</v>
      </c>
      <c r="F1230" t="s">
        <v>53</v>
      </c>
      <c r="G1230" t="s">
        <v>59</v>
      </c>
      <c r="H1230">
        <v>1</v>
      </c>
      <c r="I1230">
        <v>76056</v>
      </c>
      <c r="J1230">
        <v>20</v>
      </c>
      <c r="K1230">
        <v>15211.2</v>
      </c>
      <c r="L1230">
        <v>60844.800000000003</v>
      </c>
      <c r="M1230">
        <v>43645.5</v>
      </c>
      <c r="N1230">
        <v>17199.3</v>
      </c>
      <c r="O1230" t="s">
        <v>60</v>
      </c>
      <c r="P1230">
        <v>889.49</v>
      </c>
      <c r="Q1230" t="s">
        <v>68</v>
      </c>
      <c r="R1230" t="s">
        <v>31</v>
      </c>
      <c r="S1230">
        <v>5</v>
      </c>
      <c r="T1230">
        <v>1</v>
      </c>
      <c r="U1230" t="s">
        <v>32</v>
      </c>
      <c r="V1230" t="s">
        <v>42</v>
      </c>
    </row>
    <row r="1231" spans="1:23" x14ac:dyDescent="0.25">
      <c r="A1231" t="s">
        <v>1833</v>
      </c>
      <c r="B1231" s="1">
        <v>45672</v>
      </c>
      <c r="C1231" t="s">
        <v>719</v>
      </c>
      <c r="D1231" t="s">
        <v>97</v>
      </c>
      <c r="E1231" t="s">
        <v>46</v>
      </c>
      <c r="F1231" t="s">
        <v>53</v>
      </c>
      <c r="G1231" t="s">
        <v>268</v>
      </c>
      <c r="H1231">
        <v>1</v>
      </c>
      <c r="I1231">
        <v>44038</v>
      </c>
      <c r="J1231">
        <v>10</v>
      </c>
      <c r="K1231">
        <v>4403.8</v>
      </c>
      <c r="L1231">
        <v>39634.199999999997</v>
      </c>
      <c r="M1231">
        <v>25494.49</v>
      </c>
      <c r="N1231">
        <v>14139.71</v>
      </c>
      <c r="O1231" t="s">
        <v>91</v>
      </c>
      <c r="P1231">
        <v>2095</v>
      </c>
      <c r="Q1231" t="s">
        <v>40</v>
      </c>
      <c r="R1231" t="s">
        <v>31</v>
      </c>
      <c r="S1231">
        <v>5</v>
      </c>
      <c r="T1231">
        <v>9</v>
      </c>
      <c r="U1231" t="s">
        <v>56</v>
      </c>
      <c r="V1231" t="s">
        <v>33</v>
      </c>
      <c r="W1231">
        <v>5</v>
      </c>
    </row>
    <row r="1232" spans="1:23" x14ac:dyDescent="0.25">
      <c r="A1232" t="s">
        <v>1834</v>
      </c>
      <c r="B1232" s="1">
        <v>45681</v>
      </c>
      <c r="C1232" t="s">
        <v>185</v>
      </c>
      <c r="D1232" t="s">
        <v>90</v>
      </c>
      <c r="E1232" t="s">
        <v>46</v>
      </c>
      <c r="F1232" t="s">
        <v>86</v>
      </c>
      <c r="G1232" t="s">
        <v>127</v>
      </c>
      <c r="H1232">
        <v>1</v>
      </c>
      <c r="I1232">
        <v>35542</v>
      </c>
      <c r="J1232">
        <v>15</v>
      </c>
      <c r="K1232">
        <v>5331.3</v>
      </c>
      <c r="L1232">
        <v>30210.7</v>
      </c>
      <c r="M1232">
        <v>21178.95</v>
      </c>
      <c r="N1232">
        <v>9031.75</v>
      </c>
      <c r="O1232" t="s">
        <v>91</v>
      </c>
      <c r="P1232">
        <v>1275.5</v>
      </c>
      <c r="Q1232" t="s">
        <v>68</v>
      </c>
      <c r="R1232" t="s">
        <v>41</v>
      </c>
      <c r="S1232">
        <v>2</v>
      </c>
      <c r="T1232">
        <v>1</v>
      </c>
      <c r="U1232" t="s">
        <v>32</v>
      </c>
      <c r="V1232" t="s">
        <v>33</v>
      </c>
      <c r="W1232">
        <v>5</v>
      </c>
    </row>
    <row r="1233" spans="1:23" x14ac:dyDescent="0.25">
      <c r="A1233" t="s">
        <v>1835</v>
      </c>
      <c r="B1233" s="1">
        <v>45824</v>
      </c>
      <c r="C1233" t="s">
        <v>1291</v>
      </c>
      <c r="D1233" t="s">
        <v>79</v>
      </c>
      <c r="E1233" t="s">
        <v>46</v>
      </c>
      <c r="F1233" t="s">
        <v>37</v>
      </c>
      <c r="G1233" t="s">
        <v>100</v>
      </c>
      <c r="H1233">
        <v>3</v>
      </c>
      <c r="I1233">
        <v>26099</v>
      </c>
      <c r="J1233">
        <v>10</v>
      </c>
      <c r="K1233">
        <v>7829.7</v>
      </c>
      <c r="L1233">
        <v>70467.3</v>
      </c>
      <c r="M1233">
        <v>47922.09</v>
      </c>
      <c r="N1233">
        <v>22545.21</v>
      </c>
      <c r="O1233" t="s">
        <v>49</v>
      </c>
      <c r="P1233">
        <v>225.87</v>
      </c>
      <c r="Q1233" t="s">
        <v>73</v>
      </c>
      <c r="R1233" t="s">
        <v>31</v>
      </c>
      <c r="S1233">
        <v>5</v>
      </c>
      <c r="T1233">
        <v>2</v>
      </c>
      <c r="U1233" t="s">
        <v>32</v>
      </c>
      <c r="V1233" t="s">
        <v>33</v>
      </c>
      <c r="W1233">
        <v>1</v>
      </c>
    </row>
    <row r="1234" spans="1:23" x14ac:dyDescent="0.25">
      <c r="A1234" t="s">
        <v>1836</v>
      </c>
      <c r="B1234" s="1">
        <v>45686</v>
      </c>
      <c r="C1234" t="s">
        <v>195</v>
      </c>
      <c r="D1234" t="s">
        <v>90</v>
      </c>
      <c r="E1234" t="s">
        <v>26</v>
      </c>
      <c r="F1234" t="s">
        <v>47</v>
      </c>
      <c r="G1234" t="s">
        <v>48</v>
      </c>
      <c r="H1234">
        <v>1</v>
      </c>
      <c r="I1234">
        <v>24160</v>
      </c>
      <c r="J1234">
        <v>20</v>
      </c>
      <c r="K1234">
        <v>4832</v>
      </c>
      <c r="L1234">
        <v>19328</v>
      </c>
      <c r="M1234">
        <v>15047.55</v>
      </c>
      <c r="N1234">
        <v>4280.45</v>
      </c>
      <c r="O1234" t="s">
        <v>29</v>
      </c>
      <c r="P1234">
        <v>875.28</v>
      </c>
      <c r="Q1234" t="s">
        <v>30</v>
      </c>
      <c r="R1234" t="s">
        <v>41</v>
      </c>
      <c r="S1234">
        <v>2</v>
      </c>
      <c r="T1234">
        <v>5</v>
      </c>
      <c r="U1234" t="s">
        <v>32</v>
      </c>
      <c r="V1234" t="s">
        <v>50</v>
      </c>
      <c r="W1234">
        <v>1</v>
      </c>
    </row>
    <row r="1235" spans="1:23" x14ac:dyDescent="0.25">
      <c r="A1235" t="s">
        <v>1837</v>
      </c>
      <c r="B1235" s="1">
        <v>45808</v>
      </c>
      <c r="C1235" t="s">
        <v>1012</v>
      </c>
      <c r="D1235" t="s">
        <v>63</v>
      </c>
      <c r="E1235" t="s">
        <v>26</v>
      </c>
      <c r="F1235" t="s">
        <v>37</v>
      </c>
      <c r="G1235" t="s">
        <v>38</v>
      </c>
      <c r="H1235">
        <v>1</v>
      </c>
      <c r="I1235">
        <v>33581</v>
      </c>
      <c r="J1235">
        <v>10</v>
      </c>
      <c r="K1235">
        <v>3358.1</v>
      </c>
      <c r="L1235">
        <v>30222.9</v>
      </c>
      <c r="M1235">
        <v>23791.07</v>
      </c>
      <c r="N1235">
        <v>6431.83</v>
      </c>
      <c r="O1235" t="s">
        <v>91</v>
      </c>
      <c r="P1235">
        <v>1274.9100000000001</v>
      </c>
      <c r="Q1235" t="s">
        <v>30</v>
      </c>
      <c r="R1235" t="s">
        <v>41</v>
      </c>
      <c r="S1235">
        <v>2</v>
      </c>
      <c r="T1235">
        <v>7</v>
      </c>
      <c r="U1235" t="s">
        <v>56</v>
      </c>
      <c r="V1235" t="s">
        <v>33</v>
      </c>
    </row>
    <row r="1236" spans="1:23" x14ac:dyDescent="0.25">
      <c r="A1236" t="s">
        <v>1838</v>
      </c>
      <c r="B1236" s="1">
        <v>45841</v>
      </c>
      <c r="C1236" t="s">
        <v>265</v>
      </c>
      <c r="D1236" t="s">
        <v>79</v>
      </c>
      <c r="E1236" t="s">
        <v>26</v>
      </c>
      <c r="F1236" t="s">
        <v>47</v>
      </c>
      <c r="G1236" t="s">
        <v>105</v>
      </c>
      <c r="H1236">
        <v>3</v>
      </c>
      <c r="I1236">
        <v>41043</v>
      </c>
      <c r="J1236">
        <v>0</v>
      </c>
      <c r="K1236">
        <v>0</v>
      </c>
      <c r="L1236">
        <v>123129</v>
      </c>
      <c r="M1236">
        <v>72679.509999999995</v>
      </c>
      <c r="N1236">
        <v>50449.49</v>
      </c>
      <c r="O1236" t="s">
        <v>39</v>
      </c>
      <c r="P1236">
        <v>2139.1799999999998</v>
      </c>
      <c r="Q1236" t="s">
        <v>83</v>
      </c>
      <c r="R1236" t="s">
        <v>31</v>
      </c>
      <c r="S1236">
        <v>5</v>
      </c>
      <c r="T1236">
        <v>3</v>
      </c>
      <c r="U1236" t="s">
        <v>32</v>
      </c>
      <c r="V1236" t="s">
        <v>33</v>
      </c>
      <c r="W1236">
        <v>5</v>
      </c>
    </row>
    <row r="1237" spans="1:23" x14ac:dyDescent="0.25">
      <c r="A1237" t="s">
        <v>1839</v>
      </c>
      <c r="B1237" s="1">
        <v>45849</v>
      </c>
      <c r="C1237" t="s">
        <v>591</v>
      </c>
      <c r="D1237" t="s">
        <v>90</v>
      </c>
      <c r="E1237" t="s">
        <v>26</v>
      </c>
      <c r="F1237" t="s">
        <v>37</v>
      </c>
      <c r="G1237" t="s">
        <v>313</v>
      </c>
      <c r="H1237">
        <v>2</v>
      </c>
      <c r="I1237">
        <v>19478</v>
      </c>
      <c r="J1237">
        <v>10</v>
      </c>
      <c r="K1237">
        <v>3895.6</v>
      </c>
      <c r="L1237">
        <v>35060.400000000001</v>
      </c>
      <c r="M1237">
        <v>23182.37</v>
      </c>
      <c r="N1237">
        <v>11878.03</v>
      </c>
      <c r="O1237" t="s">
        <v>49</v>
      </c>
      <c r="P1237">
        <v>454.74</v>
      </c>
      <c r="Q1237" t="s">
        <v>68</v>
      </c>
      <c r="R1237" t="s">
        <v>31</v>
      </c>
      <c r="S1237">
        <v>5</v>
      </c>
      <c r="T1237">
        <v>8</v>
      </c>
      <c r="U1237" t="s">
        <v>56</v>
      </c>
      <c r="V1237" t="s">
        <v>33</v>
      </c>
      <c r="W1237">
        <v>3</v>
      </c>
    </row>
    <row r="1238" spans="1:23" x14ac:dyDescent="0.25">
      <c r="A1238" t="s">
        <v>1840</v>
      </c>
      <c r="B1238" s="1">
        <v>45878</v>
      </c>
      <c r="C1238" t="s">
        <v>237</v>
      </c>
      <c r="D1238" t="s">
        <v>71</v>
      </c>
      <c r="E1238" t="s">
        <v>26</v>
      </c>
      <c r="F1238" t="s">
        <v>47</v>
      </c>
      <c r="G1238" t="s">
        <v>105</v>
      </c>
      <c r="H1238">
        <v>1</v>
      </c>
      <c r="I1238">
        <v>38656</v>
      </c>
      <c r="J1238">
        <v>0</v>
      </c>
      <c r="K1238">
        <v>0</v>
      </c>
      <c r="L1238">
        <v>38656</v>
      </c>
      <c r="M1238">
        <v>29792.35</v>
      </c>
      <c r="N1238">
        <v>8863.65</v>
      </c>
      <c r="O1238" t="s">
        <v>29</v>
      </c>
      <c r="P1238">
        <v>2345.94</v>
      </c>
      <c r="Q1238" t="s">
        <v>68</v>
      </c>
      <c r="R1238" t="s">
        <v>31</v>
      </c>
      <c r="S1238">
        <v>5</v>
      </c>
      <c r="T1238">
        <v>8</v>
      </c>
      <c r="U1238" t="s">
        <v>56</v>
      </c>
      <c r="V1238" t="s">
        <v>33</v>
      </c>
      <c r="W1238">
        <v>5</v>
      </c>
    </row>
    <row r="1239" spans="1:23" x14ac:dyDescent="0.25">
      <c r="A1239" t="s">
        <v>1841</v>
      </c>
      <c r="B1239" s="1">
        <v>45732</v>
      </c>
      <c r="C1239" t="s">
        <v>677</v>
      </c>
      <c r="D1239" t="s">
        <v>67</v>
      </c>
      <c r="E1239" t="s">
        <v>26</v>
      </c>
      <c r="F1239" t="s">
        <v>47</v>
      </c>
      <c r="G1239" t="s">
        <v>105</v>
      </c>
      <c r="H1239">
        <v>2</v>
      </c>
      <c r="I1239">
        <v>8058</v>
      </c>
      <c r="J1239">
        <v>25</v>
      </c>
      <c r="K1239">
        <v>4029</v>
      </c>
      <c r="L1239">
        <v>12087</v>
      </c>
      <c r="M1239">
        <v>8054.11</v>
      </c>
      <c r="N1239">
        <v>4032.89</v>
      </c>
      <c r="O1239" t="s">
        <v>29</v>
      </c>
      <c r="P1239">
        <v>1574.93</v>
      </c>
      <c r="Q1239" t="s">
        <v>83</v>
      </c>
      <c r="R1239" t="s">
        <v>41</v>
      </c>
      <c r="S1239">
        <v>2</v>
      </c>
      <c r="T1239">
        <v>1</v>
      </c>
      <c r="U1239" t="s">
        <v>32</v>
      </c>
      <c r="V1239" t="s">
        <v>33</v>
      </c>
      <c r="W1239">
        <v>5</v>
      </c>
    </row>
    <row r="1240" spans="1:23" x14ac:dyDescent="0.25">
      <c r="A1240" t="s">
        <v>1842</v>
      </c>
      <c r="B1240" s="1">
        <v>45783</v>
      </c>
      <c r="C1240" t="s">
        <v>163</v>
      </c>
      <c r="D1240" t="s">
        <v>45</v>
      </c>
      <c r="E1240" t="s">
        <v>46</v>
      </c>
      <c r="F1240" t="s">
        <v>27</v>
      </c>
      <c r="G1240" t="s">
        <v>113</v>
      </c>
      <c r="H1240">
        <v>2</v>
      </c>
      <c r="I1240">
        <v>26227</v>
      </c>
      <c r="J1240">
        <v>20</v>
      </c>
      <c r="K1240">
        <v>10490.8</v>
      </c>
      <c r="L1240">
        <v>41963.199999999997</v>
      </c>
      <c r="M1240">
        <v>34267.19</v>
      </c>
      <c r="N1240">
        <v>7696.01</v>
      </c>
      <c r="O1240" t="s">
        <v>60</v>
      </c>
      <c r="P1240">
        <v>2486.79</v>
      </c>
      <c r="Q1240" t="s">
        <v>73</v>
      </c>
      <c r="R1240" t="s">
        <v>41</v>
      </c>
      <c r="S1240">
        <v>2</v>
      </c>
      <c r="T1240">
        <v>3</v>
      </c>
      <c r="U1240" t="s">
        <v>56</v>
      </c>
      <c r="V1240" t="s">
        <v>33</v>
      </c>
      <c r="W1240">
        <v>5</v>
      </c>
    </row>
    <row r="1241" spans="1:23" x14ac:dyDescent="0.25">
      <c r="A1241" t="s">
        <v>1843</v>
      </c>
      <c r="B1241" s="1">
        <v>45929</v>
      </c>
      <c r="C1241" t="s">
        <v>370</v>
      </c>
      <c r="D1241" t="s">
        <v>154</v>
      </c>
      <c r="E1241" t="s">
        <v>36</v>
      </c>
      <c r="F1241" t="s">
        <v>53</v>
      </c>
      <c r="G1241" t="s">
        <v>59</v>
      </c>
      <c r="H1241">
        <v>2</v>
      </c>
      <c r="I1241">
        <v>16691</v>
      </c>
      <c r="J1241">
        <v>25</v>
      </c>
      <c r="K1241">
        <v>8345.5</v>
      </c>
      <c r="L1241">
        <v>25036.5</v>
      </c>
      <c r="M1241">
        <v>19612.740000000002</v>
      </c>
      <c r="N1241">
        <v>5423.76</v>
      </c>
      <c r="O1241" t="s">
        <v>91</v>
      </c>
      <c r="P1241">
        <v>1098.73</v>
      </c>
      <c r="Q1241" t="s">
        <v>68</v>
      </c>
      <c r="R1241" t="s">
        <v>41</v>
      </c>
      <c r="S1241">
        <v>2</v>
      </c>
      <c r="T1241">
        <v>0</v>
      </c>
      <c r="U1241" t="s">
        <v>32</v>
      </c>
      <c r="V1241" t="s">
        <v>50</v>
      </c>
      <c r="W1241">
        <v>4</v>
      </c>
    </row>
    <row r="1242" spans="1:23" x14ac:dyDescent="0.25">
      <c r="A1242" t="s">
        <v>1844</v>
      </c>
      <c r="B1242" s="1">
        <v>45868</v>
      </c>
      <c r="C1242" t="s">
        <v>1172</v>
      </c>
      <c r="D1242" t="s">
        <v>154</v>
      </c>
      <c r="E1242" t="s">
        <v>36</v>
      </c>
      <c r="F1242" t="s">
        <v>53</v>
      </c>
      <c r="G1242" t="s">
        <v>151</v>
      </c>
      <c r="H1242">
        <v>2</v>
      </c>
      <c r="I1242">
        <v>10943</v>
      </c>
      <c r="J1242">
        <v>25</v>
      </c>
      <c r="K1242">
        <v>5471.5</v>
      </c>
      <c r="L1242">
        <v>16414.5</v>
      </c>
      <c r="M1242">
        <v>12747.71</v>
      </c>
      <c r="N1242">
        <v>3666.79</v>
      </c>
      <c r="O1242" t="s">
        <v>29</v>
      </c>
      <c r="P1242">
        <v>476</v>
      </c>
      <c r="Q1242" t="s">
        <v>68</v>
      </c>
      <c r="R1242" t="s">
        <v>31</v>
      </c>
      <c r="S1242">
        <v>5</v>
      </c>
      <c r="T1242">
        <v>4</v>
      </c>
      <c r="U1242" t="s">
        <v>32</v>
      </c>
      <c r="V1242" t="s">
        <v>33</v>
      </c>
      <c r="W1242">
        <v>4</v>
      </c>
    </row>
    <row r="1243" spans="1:23" x14ac:dyDescent="0.25">
      <c r="A1243" t="s">
        <v>1845</v>
      </c>
      <c r="B1243" s="1">
        <v>45947</v>
      </c>
      <c r="C1243" t="s">
        <v>1538</v>
      </c>
      <c r="D1243" t="s">
        <v>124</v>
      </c>
      <c r="E1243" t="s">
        <v>46</v>
      </c>
      <c r="F1243" t="s">
        <v>27</v>
      </c>
      <c r="G1243" t="s">
        <v>72</v>
      </c>
      <c r="H1243">
        <v>2</v>
      </c>
      <c r="I1243">
        <v>13591</v>
      </c>
      <c r="J1243">
        <v>0</v>
      </c>
      <c r="K1243">
        <v>0</v>
      </c>
      <c r="L1243">
        <v>27182</v>
      </c>
      <c r="M1243">
        <v>17924.099999999999</v>
      </c>
      <c r="N1243">
        <v>9257.9</v>
      </c>
      <c r="O1243" t="s">
        <v>60</v>
      </c>
      <c r="P1243">
        <v>674.37</v>
      </c>
      <c r="Q1243" t="s">
        <v>40</v>
      </c>
      <c r="R1243" t="s">
        <v>31</v>
      </c>
      <c r="S1243">
        <v>5</v>
      </c>
      <c r="T1243">
        <v>4</v>
      </c>
      <c r="U1243" t="s">
        <v>32</v>
      </c>
      <c r="V1243" t="s">
        <v>33</v>
      </c>
      <c r="W1243">
        <v>1</v>
      </c>
    </row>
    <row r="1244" spans="1:23" x14ac:dyDescent="0.25">
      <c r="A1244" t="s">
        <v>1846</v>
      </c>
      <c r="B1244" s="1">
        <v>46007</v>
      </c>
      <c r="C1244" t="s">
        <v>1288</v>
      </c>
      <c r="D1244" t="s">
        <v>124</v>
      </c>
      <c r="E1244" t="s">
        <v>46</v>
      </c>
      <c r="F1244" t="s">
        <v>37</v>
      </c>
      <c r="G1244" t="s">
        <v>161</v>
      </c>
      <c r="H1244">
        <v>4</v>
      </c>
      <c r="I1244">
        <v>22499</v>
      </c>
      <c r="J1244">
        <v>10</v>
      </c>
      <c r="K1244">
        <v>8999.6</v>
      </c>
      <c r="L1244">
        <v>80996.399999999994</v>
      </c>
      <c r="M1244">
        <v>61498.43</v>
      </c>
      <c r="N1244">
        <v>19497.97</v>
      </c>
      <c r="O1244" t="s">
        <v>39</v>
      </c>
      <c r="P1244">
        <v>261.60000000000002</v>
      </c>
      <c r="Q1244" t="s">
        <v>30</v>
      </c>
      <c r="R1244" t="s">
        <v>41</v>
      </c>
      <c r="S1244">
        <v>2</v>
      </c>
      <c r="T1244">
        <v>3</v>
      </c>
      <c r="U1244" t="s">
        <v>32</v>
      </c>
      <c r="V1244" t="s">
        <v>42</v>
      </c>
    </row>
    <row r="1245" spans="1:23" x14ac:dyDescent="0.25">
      <c r="A1245" t="s">
        <v>1847</v>
      </c>
      <c r="B1245" s="1">
        <v>45750</v>
      </c>
      <c r="C1245" t="s">
        <v>1451</v>
      </c>
      <c r="D1245" t="s">
        <v>45</v>
      </c>
      <c r="E1245" t="s">
        <v>36</v>
      </c>
      <c r="F1245" t="s">
        <v>37</v>
      </c>
      <c r="G1245" t="s">
        <v>161</v>
      </c>
      <c r="H1245">
        <v>1</v>
      </c>
      <c r="I1245">
        <v>38766</v>
      </c>
      <c r="J1245">
        <v>0</v>
      </c>
      <c r="K1245">
        <v>0</v>
      </c>
      <c r="L1245">
        <v>38766</v>
      </c>
      <c r="M1245">
        <v>31354.69</v>
      </c>
      <c r="N1245">
        <v>7411.31</v>
      </c>
      <c r="O1245" t="s">
        <v>39</v>
      </c>
      <c r="P1245">
        <v>2298.66</v>
      </c>
      <c r="Q1245" t="s">
        <v>73</v>
      </c>
      <c r="R1245" t="s">
        <v>31</v>
      </c>
      <c r="S1245">
        <v>5</v>
      </c>
      <c r="T1245">
        <v>2</v>
      </c>
      <c r="U1245" t="s">
        <v>32</v>
      </c>
      <c r="V1245" t="s">
        <v>33</v>
      </c>
      <c r="W1245">
        <v>5</v>
      </c>
    </row>
    <row r="1246" spans="1:23" x14ac:dyDescent="0.25">
      <c r="A1246" t="s">
        <v>1848</v>
      </c>
      <c r="B1246" s="1">
        <v>45745</v>
      </c>
      <c r="C1246" t="s">
        <v>1017</v>
      </c>
      <c r="D1246" t="s">
        <v>79</v>
      </c>
      <c r="E1246" t="s">
        <v>26</v>
      </c>
      <c r="F1246" t="s">
        <v>47</v>
      </c>
      <c r="G1246" t="s">
        <v>138</v>
      </c>
      <c r="H1246">
        <v>1</v>
      </c>
      <c r="I1246">
        <v>39898</v>
      </c>
      <c r="J1246">
        <v>10</v>
      </c>
      <c r="K1246">
        <v>3989.8</v>
      </c>
      <c r="L1246">
        <v>35908.199999999997</v>
      </c>
      <c r="M1246">
        <v>26180.58</v>
      </c>
      <c r="N1246">
        <v>9727.6200000000008</v>
      </c>
      <c r="O1246" t="s">
        <v>60</v>
      </c>
      <c r="P1246">
        <v>1413.72</v>
      </c>
      <c r="Q1246" t="s">
        <v>83</v>
      </c>
      <c r="R1246" t="s">
        <v>31</v>
      </c>
      <c r="S1246">
        <v>5</v>
      </c>
      <c r="T1246">
        <v>2</v>
      </c>
      <c r="U1246" t="s">
        <v>32</v>
      </c>
      <c r="V1246" t="s">
        <v>50</v>
      </c>
      <c r="W1246">
        <v>5</v>
      </c>
    </row>
    <row r="1247" spans="1:23" x14ac:dyDescent="0.25">
      <c r="A1247" t="s">
        <v>1849</v>
      </c>
      <c r="B1247" s="1">
        <v>45747</v>
      </c>
      <c r="C1247" t="s">
        <v>1850</v>
      </c>
      <c r="D1247" t="s">
        <v>45</v>
      </c>
      <c r="E1247" t="s">
        <v>26</v>
      </c>
      <c r="F1247" t="s">
        <v>53</v>
      </c>
      <c r="G1247" t="s">
        <v>54</v>
      </c>
      <c r="H1247">
        <v>3</v>
      </c>
      <c r="I1247">
        <v>94727</v>
      </c>
      <c r="J1247">
        <v>5</v>
      </c>
      <c r="K1247">
        <v>14209.05</v>
      </c>
      <c r="L1247">
        <v>269971.95</v>
      </c>
      <c r="M1247">
        <v>216965.72</v>
      </c>
      <c r="N1247">
        <v>53006.23</v>
      </c>
      <c r="O1247" t="s">
        <v>49</v>
      </c>
      <c r="P1247">
        <v>74.48</v>
      </c>
      <c r="Q1247" t="s">
        <v>40</v>
      </c>
      <c r="R1247" t="s">
        <v>31</v>
      </c>
      <c r="S1247">
        <v>5</v>
      </c>
      <c r="T1247">
        <v>2</v>
      </c>
      <c r="U1247" t="s">
        <v>32</v>
      </c>
      <c r="V1247" t="s">
        <v>33</v>
      </c>
      <c r="W1247">
        <v>4</v>
      </c>
    </row>
    <row r="1248" spans="1:23" x14ac:dyDescent="0.25">
      <c r="A1248" t="s">
        <v>1851</v>
      </c>
      <c r="B1248" s="1">
        <v>45698</v>
      </c>
      <c r="C1248" t="s">
        <v>150</v>
      </c>
      <c r="D1248" t="s">
        <v>90</v>
      </c>
      <c r="E1248" t="s">
        <v>36</v>
      </c>
      <c r="F1248" t="s">
        <v>47</v>
      </c>
      <c r="G1248" t="s">
        <v>105</v>
      </c>
      <c r="H1248">
        <v>1</v>
      </c>
      <c r="I1248">
        <v>48228</v>
      </c>
      <c r="J1248">
        <v>0</v>
      </c>
      <c r="K1248">
        <v>0</v>
      </c>
      <c r="L1248">
        <v>48228</v>
      </c>
      <c r="M1248">
        <v>32440.59</v>
      </c>
      <c r="N1248">
        <v>15787.41</v>
      </c>
      <c r="O1248" t="s">
        <v>60</v>
      </c>
      <c r="P1248">
        <v>580.89</v>
      </c>
      <c r="Q1248" t="s">
        <v>30</v>
      </c>
      <c r="R1248" t="s">
        <v>31</v>
      </c>
      <c r="S1248">
        <v>5</v>
      </c>
      <c r="T1248">
        <v>5</v>
      </c>
      <c r="U1248" t="s">
        <v>32</v>
      </c>
      <c r="V1248" t="s">
        <v>33</v>
      </c>
      <c r="W1248">
        <v>5</v>
      </c>
    </row>
    <row r="1249" spans="1:23" x14ac:dyDescent="0.25">
      <c r="A1249" t="s">
        <v>1852</v>
      </c>
      <c r="B1249" s="1">
        <v>45970</v>
      </c>
      <c r="C1249" t="s">
        <v>1186</v>
      </c>
      <c r="D1249" t="s">
        <v>63</v>
      </c>
      <c r="E1249" t="s">
        <v>46</v>
      </c>
      <c r="F1249" t="s">
        <v>37</v>
      </c>
      <c r="G1249" t="s">
        <v>161</v>
      </c>
      <c r="H1249">
        <v>3</v>
      </c>
      <c r="I1249">
        <v>37838</v>
      </c>
      <c r="J1249">
        <v>25</v>
      </c>
      <c r="K1249">
        <v>28378.5</v>
      </c>
      <c r="L1249">
        <v>85135.5</v>
      </c>
      <c r="M1249">
        <v>61990.41</v>
      </c>
      <c r="N1249">
        <v>23145.09</v>
      </c>
      <c r="O1249" t="s">
        <v>29</v>
      </c>
      <c r="P1249">
        <v>1687.75</v>
      </c>
      <c r="Q1249" t="s">
        <v>73</v>
      </c>
      <c r="R1249" t="s">
        <v>31</v>
      </c>
      <c r="S1249">
        <v>5</v>
      </c>
      <c r="T1249">
        <v>3</v>
      </c>
      <c r="U1249" t="s">
        <v>32</v>
      </c>
      <c r="V1249" t="s">
        <v>33</v>
      </c>
      <c r="W1249">
        <v>5</v>
      </c>
    </row>
    <row r="1250" spans="1:23" x14ac:dyDescent="0.25">
      <c r="A1250" t="s">
        <v>1853</v>
      </c>
      <c r="B1250" s="1">
        <v>45853</v>
      </c>
      <c r="C1250" t="s">
        <v>785</v>
      </c>
      <c r="D1250" t="s">
        <v>97</v>
      </c>
      <c r="E1250" t="s">
        <v>46</v>
      </c>
      <c r="F1250" t="s">
        <v>53</v>
      </c>
      <c r="G1250" t="s">
        <v>151</v>
      </c>
      <c r="H1250">
        <v>2</v>
      </c>
      <c r="I1250">
        <v>23723</v>
      </c>
      <c r="J1250">
        <v>0</v>
      </c>
      <c r="K1250">
        <v>0</v>
      </c>
      <c r="L1250">
        <v>47446</v>
      </c>
      <c r="M1250">
        <v>36341.19</v>
      </c>
      <c r="N1250">
        <v>11104.81</v>
      </c>
      <c r="O1250" t="s">
        <v>55</v>
      </c>
      <c r="P1250">
        <v>235.78</v>
      </c>
      <c r="Q1250" t="s">
        <v>83</v>
      </c>
      <c r="R1250" t="s">
        <v>41</v>
      </c>
      <c r="S1250">
        <v>2</v>
      </c>
      <c r="T1250">
        <v>2</v>
      </c>
      <c r="U1250" t="s">
        <v>32</v>
      </c>
      <c r="V1250" t="s">
        <v>33</v>
      </c>
      <c r="W1250">
        <v>2</v>
      </c>
    </row>
    <row r="1251" spans="1:23" x14ac:dyDescent="0.25">
      <c r="A1251" t="s">
        <v>1854</v>
      </c>
      <c r="B1251" s="1">
        <v>45975</v>
      </c>
      <c r="C1251" t="s">
        <v>1759</v>
      </c>
      <c r="D1251" t="s">
        <v>124</v>
      </c>
      <c r="E1251" t="s">
        <v>46</v>
      </c>
      <c r="F1251" t="s">
        <v>37</v>
      </c>
      <c r="G1251" t="s">
        <v>161</v>
      </c>
      <c r="H1251">
        <v>1</v>
      </c>
      <c r="I1251">
        <v>21338</v>
      </c>
      <c r="J1251">
        <v>10</v>
      </c>
      <c r="K1251">
        <v>2133.8000000000002</v>
      </c>
      <c r="L1251">
        <v>19204.2</v>
      </c>
      <c r="M1251">
        <v>11958.79</v>
      </c>
      <c r="N1251">
        <v>7245.41</v>
      </c>
      <c r="O1251" t="s">
        <v>29</v>
      </c>
      <c r="P1251">
        <v>1697.21</v>
      </c>
      <c r="Q1251" t="s">
        <v>73</v>
      </c>
      <c r="R1251" t="s">
        <v>41</v>
      </c>
      <c r="S1251">
        <v>2</v>
      </c>
      <c r="T1251">
        <v>1</v>
      </c>
      <c r="U1251" t="s">
        <v>32</v>
      </c>
      <c r="V1251" t="s">
        <v>33</v>
      </c>
      <c r="W1251">
        <v>5</v>
      </c>
    </row>
    <row r="1252" spans="1:23" x14ac:dyDescent="0.25">
      <c r="A1252" t="s">
        <v>1855</v>
      </c>
      <c r="B1252" s="1">
        <v>46007</v>
      </c>
      <c r="C1252" t="s">
        <v>729</v>
      </c>
      <c r="D1252" t="s">
        <v>90</v>
      </c>
      <c r="E1252" t="s">
        <v>46</v>
      </c>
      <c r="F1252" t="s">
        <v>86</v>
      </c>
      <c r="G1252" t="s">
        <v>110</v>
      </c>
      <c r="H1252">
        <v>2</v>
      </c>
      <c r="I1252">
        <v>24691</v>
      </c>
      <c r="J1252">
        <v>10</v>
      </c>
      <c r="K1252">
        <v>4938.2</v>
      </c>
      <c r="L1252">
        <v>44443.8</v>
      </c>
      <c r="M1252">
        <v>27023.45</v>
      </c>
      <c r="N1252">
        <v>17420.349999999999</v>
      </c>
      <c r="O1252" t="s">
        <v>55</v>
      </c>
      <c r="P1252">
        <v>407.06</v>
      </c>
      <c r="Q1252" t="s">
        <v>68</v>
      </c>
      <c r="R1252" t="s">
        <v>31</v>
      </c>
      <c r="S1252">
        <v>5</v>
      </c>
      <c r="T1252">
        <v>4</v>
      </c>
      <c r="U1252" t="s">
        <v>32</v>
      </c>
      <c r="V1252" t="s">
        <v>42</v>
      </c>
    </row>
    <row r="1253" spans="1:23" x14ac:dyDescent="0.25">
      <c r="A1253" t="s">
        <v>1856</v>
      </c>
      <c r="B1253" s="1">
        <v>45781</v>
      </c>
      <c r="C1253" t="s">
        <v>1249</v>
      </c>
      <c r="D1253" t="s">
        <v>124</v>
      </c>
      <c r="E1253" t="s">
        <v>46</v>
      </c>
      <c r="F1253" t="s">
        <v>47</v>
      </c>
      <c r="G1253" t="s">
        <v>105</v>
      </c>
      <c r="H1253">
        <v>3</v>
      </c>
      <c r="I1253">
        <v>36579</v>
      </c>
      <c r="J1253">
        <v>5</v>
      </c>
      <c r="K1253">
        <v>5486.85</v>
      </c>
      <c r="L1253">
        <v>104250.15</v>
      </c>
      <c r="M1253">
        <v>74508.850000000006</v>
      </c>
      <c r="N1253">
        <v>29741.3</v>
      </c>
      <c r="O1253" t="s">
        <v>55</v>
      </c>
      <c r="P1253">
        <v>2312.0700000000002</v>
      </c>
      <c r="Q1253" t="s">
        <v>73</v>
      </c>
      <c r="R1253" t="s">
        <v>41</v>
      </c>
      <c r="S1253">
        <v>2</v>
      </c>
      <c r="T1253">
        <v>0</v>
      </c>
      <c r="U1253" t="s">
        <v>32</v>
      </c>
      <c r="V1253" t="s">
        <v>50</v>
      </c>
      <c r="W1253">
        <v>2</v>
      </c>
    </row>
    <row r="1254" spans="1:23" x14ac:dyDescent="0.25">
      <c r="A1254" t="s">
        <v>1857</v>
      </c>
      <c r="B1254" s="1">
        <v>45912</v>
      </c>
      <c r="C1254" t="s">
        <v>854</v>
      </c>
      <c r="D1254" t="s">
        <v>154</v>
      </c>
      <c r="E1254" t="s">
        <v>46</v>
      </c>
      <c r="F1254" t="s">
        <v>47</v>
      </c>
      <c r="G1254" t="s">
        <v>105</v>
      </c>
      <c r="H1254">
        <v>1</v>
      </c>
      <c r="I1254">
        <v>52770</v>
      </c>
      <c r="J1254">
        <v>0</v>
      </c>
      <c r="K1254">
        <v>0</v>
      </c>
      <c r="L1254">
        <v>52770</v>
      </c>
      <c r="M1254">
        <v>38995.78</v>
      </c>
      <c r="N1254">
        <v>13774.22</v>
      </c>
      <c r="O1254" t="s">
        <v>49</v>
      </c>
      <c r="P1254">
        <v>473.73</v>
      </c>
      <c r="Q1254" t="s">
        <v>83</v>
      </c>
      <c r="R1254" t="s">
        <v>41</v>
      </c>
      <c r="S1254">
        <v>2</v>
      </c>
      <c r="T1254">
        <v>1</v>
      </c>
      <c r="U1254" t="s">
        <v>32</v>
      </c>
      <c r="V1254" t="s">
        <v>33</v>
      </c>
      <c r="W1254">
        <v>5</v>
      </c>
    </row>
    <row r="1255" spans="1:23" x14ac:dyDescent="0.25">
      <c r="A1255" t="s">
        <v>1858</v>
      </c>
      <c r="B1255" s="1">
        <v>45956</v>
      </c>
      <c r="C1255" t="s">
        <v>451</v>
      </c>
      <c r="D1255" t="s">
        <v>97</v>
      </c>
      <c r="E1255" t="s">
        <v>46</v>
      </c>
      <c r="F1255" t="s">
        <v>47</v>
      </c>
      <c r="G1255" t="s">
        <v>105</v>
      </c>
      <c r="H1255">
        <v>1</v>
      </c>
      <c r="I1255">
        <v>44352</v>
      </c>
      <c r="J1255">
        <v>25</v>
      </c>
      <c r="K1255">
        <v>11088</v>
      </c>
      <c r="L1255">
        <v>33264</v>
      </c>
      <c r="M1255">
        <v>21613.23</v>
      </c>
      <c r="N1255">
        <v>11650.77</v>
      </c>
      <c r="O1255" t="s">
        <v>29</v>
      </c>
      <c r="P1255">
        <v>2497.84</v>
      </c>
      <c r="Q1255" t="s">
        <v>68</v>
      </c>
      <c r="R1255" t="s">
        <v>41</v>
      </c>
      <c r="S1255">
        <v>2</v>
      </c>
      <c r="T1255">
        <v>3</v>
      </c>
      <c r="U1255" t="s">
        <v>32</v>
      </c>
      <c r="V1255" t="s">
        <v>50</v>
      </c>
      <c r="W1255">
        <v>2</v>
      </c>
    </row>
    <row r="1256" spans="1:23" x14ac:dyDescent="0.25">
      <c r="A1256" t="s">
        <v>1859</v>
      </c>
      <c r="B1256" s="1">
        <v>45731</v>
      </c>
      <c r="C1256" t="s">
        <v>1860</v>
      </c>
      <c r="D1256" t="s">
        <v>71</v>
      </c>
      <c r="E1256" t="s">
        <v>36</v>
      </c>
      <c r="F1256" t="s">
        <v>47</v>
      </c>
      <c r="G1256" t="s">
        <v>105</v>
      </c>
      <c r="H1256">
        <v>2</v>
      </c>
      <c r="I1256">
        <v>41664</v>
      </c>
      <c r="J1256">
        <v>0</v>
      </c>
      <c r="K1256">
        <v>0</v>
      </c>
      <c r="L1256">
        <v>83328</v>
      </c>
      <c r="M1256">
        <v>54218.61</v>
      </c>
      <c r="N1256">
        <v>29109.39</v>
      </c>
      <c r="O1256" t="s">
        <v>60</v>
      </c>
      <c r="P1256">
        <v>2241.17</v>
      </c>
      <c r="Q1256" t="s">
        <v>68</v>
      </c>
      <c r="R1256" t="s">
        <v>41</v>
      </c>
      <c r="S1256">
        <v>2</v>
      </c>
      <c r="T1256">
        <v>4</v>
      </c>
      <c r="U1256" t="s">
        <v>56</v>
      </c>
      <c r="V1256" t="s">
        <v>33</v>
      </c>
      <c r="W1256">
        <v>5</v>
      </c>
    </row>
    <row r="1257" spans="1:23" x14ac:dyDescent="0.25">
      <c r="A1257" t="s">
        <v>1861</v>
      </c>
      <c r="B1257" s="1">
        <v>45776</v>
      </c>
      <c r="C1257" t="s">
        <v>1862</v>
      </c>
      <c r="D1257" t="s">
        <v>154</v>
      </c>
      <c r="E1257" t="s">
        <v>26</v>
      </c>
      <c r="F1257" t="s">
        <v>47</v>
      </c>
      <c r="G1257" t="s">
        <v>138</v>
      </c>
      <c r="H1257">
        <v>1</v>
      </c>
      <c r="I1257">
        <v>43941</v>
      </c>
      <c r="J1257">
        <v>15</v>
      </c>
      <c r="K1257">
        <v>6591.15</v>
      </c>
      <c r="L1257">
        <v>37349.85</v>
      </c>
      <c r="M1257">
        <v>24557.599999999999</v>
      </c>
      <c r="N1257">
        <v>12792.25</v>
      </c>
      <c r="O1257" t="s">
        <v>29</v>
      </c>
      <c r="P1257">
        <v>635.03</v>
      </c>
      <c r="Q1257" t="s">
        <v>73</v>
      </c>
      <c r="R1257" t="s">
        <v>41</v>
      </c>
      <c r="S1257">
        <v>2</v>
      </c>
      <c r="T1257">
        <v>1</v>
      </c>
      <c r="U1257" t="s">
        <v>32</v>
      </c>
      <c r="V1257" t="s">
        <v>33</v>
      </c>
      <c r="W1257">
        <v>2</v>
      </c>
    </row>
    <row r="1258" spans="1:23" x14ac:dyDescent="0.25">
      <c r="A1258" t="s">
        <v>1863</v>
      </c>
      <c r="B1258" s="1">
        <v>45894</v>
      </c>
      <c r="C1258" t="s">
        <v>1405</v>
      </c>
      <c r="D1258" t="s">
        <v>45</v>
      </c>
      <c r="E1258" t="s">
        <v>26</v>
      </c>
      <c r="F1258" t="s">
        <v>27</v>
      </c>
      <c r="G1258" t="s">
        <v>28</v>
      </c>
      <c r="H1258">
        <v>3</v>
      </c>
      <c r="I1258">
        <v>14005</v>
      </c>
      <c r="J1258">
        <v>15</v>
      </c>
      <c r="K1258">
        <v>6302.25</v>
      </c>
      <c r="L1258">
        <v>35712.75</v>
      </c>
      <c r="M1258">
        <v>25003</v>
      </c>
      <c r="N1258">
        <v>10709.75</v>
      </c>
      <c r="O1258" t="s">
        <v>49</v>
      </c>
      <c r="P1258">
        <v>324.91000000000003</v>
      </c>
      <c r="Q1258" t="s">
        <v>73</v>
      </c>
      <c r="R1258" t="s">
        <v>41</v>
      </c>
      <c r="S1258">
        <v>2</v>
      </c>
      <c r="T1258">
        <v>5</v>
      </c>
      <c r="U1258" t="s">
        <v>56</v>
      </c>
      <c r="V1258" t="s">
        <v>33</v>
      </c>
      <c r="W1258">
        <v>4</v>
      </c>
    </row>
    <row r="1259" spans="1:23" x14ac:dyDescent="0.25">
      <c r="A1259" t="s">
        <v>1864</v>
      </c>
      <c r="B1259" s="1">
        <v>45984</v>
      </c>
      <c r="C1259" t="s">
        <v>1865</v>
      </c>
      <c r="D1259" t="s">
        <v>79</v>
      </c>
      <c r="E1259" t="s">
        <v>46</v>
      </c>
      <c r="F1259" t="s">
        <v>27</v>
      </c>
      <c r="G1259" t="s">
        <v>164</v>
      </c>
      <c r="H1259">
        <v>1</v>
      </c>
      <c r="I1259">
        <v>6634</v>
      </c>
      <c r="J1259">
        <v>5</v>
      </c>
      <c r="K1259">
        <v>331.7</v>
      </c>
      <c r="L1259">
        <v>6302.3</v>
      </c>
      <c r="M1259">
        <v>4492.55</v>
      </c>
      <c r="N1259">
        <v>1809.75</v>
      </c>
      <c r="O1259" t="s">
        <v>91</v>
      </c>
      <c r="P1259">
        <v>394.67</v>
      </c>
      <c r="Q1259" t="s">
        <v>68</v>
      </c>
      <c r="R1259" t="s">
        <v>31</v>
      </c>
      <c r="S1259">
        <v>5</v>
      </c>
      <c r="T1259">
        <v>6</v>
      </c>
      <c r="U1259" t="s">
        <v>32</v>
      </c>
      <c r="V1259" t="s">
        <v>50</v>
      </c>
      <c r="W1259">
        <v>5</v>
      </c>
    </row>
    <row r="1260" spans="1:23" x14ac:dyDescent="0.25">
      <c r="A1260" t="s">
        <v>1866</v>
      </c>
      <c r="B1260" s="1">
        <v>45788</v>
      </c>
      <c r="C1260" t="s">
        <v>770</v>
      </c>
      <c r="D1260" t="s">
        <v>90</v>
      </c>
      <c r="E1260" t="s">
        <v>46</v>
      </c>
      <c r="F1260" t="s">
        <v>27</v>
      </c>
      <c r="G1260" t="s">
        <v>164</v>
      </c>
      <c r="H1260">
        <v>1</v>
      </c>
      <c r="I1260">
        <v>16571</v>
      </c>
      <c r="J1260">
        <v>0</v>
      </c>
      <c r="K1260">
        <v>0</v>
      </c>
      <c r="L1260">
        <v>16571</v>
      </c>
      <c r="M1260">
        <v>13393.97</v>
      </c>
      <c r="N1260">
        <v>3177.03</v>
      </c>
      <c r="O1260" t="s">
        <v>55</v>
      </c>
      <c r="P1260">
        <v>277.64</v>
      </c>
      <c r="Q1260" t="s">
        <v>73</v>
      </c>
      <c r="R1260" t="s">
        <v>31</v>
      </c>
      <c r="S1260">
        <v>5</v>
      </c>
      <c r="T1260">
        <v>3</v>
      </c>
      <c r="U1260" t="s">
        <v>32</v>
      </c>
      <c r="V1260" t="s">
        <v>33</v>
      </c>
      <c r="W1260">
        <v>5</v>
      </c>
    </row>
    <row r="1261" spans="1:23" x14ac:dyDescent="0.25">
      <c r="A1261" t="s">
        <v>1867</v>
      </c>
      <c r="B1261" s="1">
        <v>45893</v>
      </c>
      <c r="C1261" t="s">
        <v>1868</v>
      </c>
      <c r="D1261" t="s">
        <v>63</v>
      </c>
      <c r="E1261" t="s">
        <v>46</v>
      </c>
      <c r="F1261" t="s">
        <v>37</v>
      </c>
      <c r="G1261" t="s">
        <v>224</v>
      </c>
      <c r="H1261">
        <v>1</v>
      </c>
      <c r="I1261">
        <v>39623</v>
      </c>
      <c r="J1261">
        <v>20</v>
      </c>
      <c r="K1261">
        <v>7924.6</v>
      </c>
      <c r="L1261">
        <v>31698.400000000001</v>
      </c>
      <c r="M1261">
        <v>18567.23</v>
      </c>
      <c r="N1261">
        <v>13131.17</v>
      </c>
      <c r="O1261" t="s">
        <v>55</v>
      </c>
      <c r="P1261">
        <v>952.62</v>
      </c>
      <c r="Q1261" t="s">
        <v>30</v>
      </c>
      <c r="R1261" t="s">
        <v>41</v>
      </c>
      <c r="S1261">
        <v>2</v>
      </c>
      <c r="T1261">
        <v>5</v>
      </c>
      <c r="U1261" t="s">
        <v>32</v>
      </c>
      <c r="V1261" t="s">
        <v>42</v>
      </c>
    </row>
    <row r="1262" spans="1:23" x14ac:dyDescent="0.25">
      <c r="A1262" t="s">
        <v>1869</v>
      </c>
      <c r="B1262" s="1">
        <v>45788</v>
      </c>
      <c r="C1262" t="s">
        <v>1870</v>
      </c>
      <c r="D1262" t="s">
        <v>63</v>
      </c>
      <c r="E1262" t="s">
        <v>46</v>
      </c>
      <c r="F1262" t="s">
        <v>86</v>
      </c>
      <c r="G1262" t="s">
        <v>87</v>
      </c>
      <c r="H1262">
        <v>3</v>
      </c>
      <c r="I1262">
        <v>13289</v>
      </c>
      <c r="J1262">
        <v>5</v>
      </c>
      <c r="K1262">
        <v>1993.35</v>
      </c>
      <c r="L1262">
        <v>37873.65</v>
      </c>
      <c r="M1262">
        <v>24274.93</v>
      </c>
      <c r="N1262">
        <v>13598.72</v>
      </c>
      <c r="O1262" t="s">
        <v>55</v>
      </c>
      <c r="P1262">
        <v>2344.7199999999998</v>
      </c>
      <c r="Q1262" t="s">
        <v>30</v>
      </c>
      <c r="R1262" t="s">
        <v>31</v>
      </c>
      <c r="S1262">
        <v>5</v>
      </c>
      <c r="T1262">
        <v>6</v>
      </c>
      <c r="U1262" t="s">
        <v>56</v>
      </c>
      <c r="V1262" t="s">
        <v>33</v>
      </c>
      <c r="W1262">
        <v>5</v>
      </c>
    </row>
    <row r="1263" spans="1:23" x14ac:dyDescent="0.25">
      <c r="A1263" t="s">
        <v>1871</v>
      </c>
      <c r="B1263" s="1">
        <v>45999</v>
      </c>
      <c r="C1263" t="s">
        <v>1872</v>
      </c>
      <c r="D1263" t="s">
        <v>45</v>
      </c>
      <c r="E1263" t="s">
        <v>26</v>
      </c>
      <c r="F1263" t="s">
        <v>27</v>
      </c>
      <c r="G1263" t="s">
        <v>28</v>
      </c>
      <c r="H1263">
        <v>2</v>
      </c>
      <c r="I1263">
        <v>4612</v>
      </c>
      <c r="J1263">
        <v>15</v>
      </c>
      <c r="K1263">
        <v>1383.6</v>
      </c>
      <c r="L1263">
        <v>7840.4</v>
      </c>
      <c r="M1263">
        <v>5442.54</v>
      </c>
      <c r="N1263">
        <v>2397.86</v>
      </c>
      <c r="O1263" t="s">
        <v>39</v>
      </c>
      <c r="P1263">
        <v>1715.43</v>
      </c>
      <c r="Q1263" t="s">
        <v>68</v>
      </c>
      <c r="R1263" t="s">
        <v>31</v>
      </c>
      <c r="S1263">
        <v>5</v>
      </c>
      <c r="T1263">
        <v>5</v>
      </c>
      <c r="U1263" t="s">
        <v>32</v>
      </c>
      <c r="V1263" t="s">
        <v>33</v>
      </c>
      <c r="W1263">
        <v>4</v>
      </c>
    </row>
    <row r="1264" spans="1:23" x14ac:dyDescent="0.25">
      <c r="A1264" t="s">
        <v>1873</v>
      </c>
      <c r="B1264" s="1">
        <v>45662</v>
      </c>
      <c r="C1264" t="s">
        <v>1443</v>
      </c>
      <c r="D1264" t="s">
        <v>71</v>
      </c>
      <c r="E1264" t="s">
        <v>36</v>
      </c>
      <c r="F1264" t="s">
        <v>53</v>
      </c>
      <c r="G1264" t="s">
        <v>54</v>
      </c>
      <c r="H1264">
        <v>1</v>
      </c>
      <c r="I1264">
        <v>52673</v>
      </c>
      <c r="J1264">
        <v>0</v>
      </c>
      <c r="K1264">
        <v>0</v>
      </c>
      <c r="L1264">
        <v>52673</v>
      </c>
      <c r="M1264">
        <v>33373.480000000003</v>
      </c>
      <c r="N1264">
        <v>19299.52</v>
      </c>
      <c r="O1264" t="s">
        <v>55</v>
      </c>
      <c r="P1264">
        <v>477.19</v>
      </c>
      <c r="Q1264" t="s">
        <v>68</v>
      </c>
      <c r="R1264" t="s">
        <v>41</v>
      </c>
      <c r="S1264">
        <v>2</v>
      </c>
      <c r="T1264">
        <v>3</v>
      </c>
      <c r="U1264" t="s">
        <v>56</v>
      </c>
      <c r="V1264" t="s">
        <v>33</v>
      </c>
      <c r="W1264">
        <v>3</v>
      </c>
    </row>
    <row r="1265" spans="1:23" x14ac:dyDescent="0.25">
      <c r="A1265" t="s">
        <v>1874</v>
      </c>
      <c r="B1265" s="1">
        <v>45896</v>
      </c>
      <c r="C1265" t="s">
        <v>386</v>
      </c>
      <c r="D1265" t="s">
        <v>124</v>
      </c>
      <c r="E1265" t="s">
        <v>26</v>
      </c>
      <c r="F1265" t="s">
        <v>86</v>
      </c>
      <c r="G1265" t="s">
        <v>87</v>
      </c>
      <c r="H1265">
        <v>1</v>
      </c>
      <c r="I1265">
        <v>7668</v>
      </c>
      <c r="J1265">
        <v>20</v>
      </c>
      <c r="K1265">
        <v>1533.6</v>
      </c>
      <c r="L1265">
        <v>6134.4</v>
      </c>
      <c r="M1265">
        <v>4195.22</v>
      </c>
      <c r="N1265">
        <v>1939.18</v>
      </c>
      <c r="O1265" t="s">
        <v>60</v>
      </c>
      <c r="P1265">
        <v>2478.33</v>
      </c>
      <c r="Q1265" t="s">
        <v>73</v>
      </c>
      <c r="R1265" t="s">
        <v>31</v>
      </c>
      <c r="S1265">
        <v>5</v>
      </c>
      <c r="T1265">
        <v>0</v>
      </c>
      <c r="U1265" t="s">
        <v>32</v>
      </c>
      <c r="V1265" t="s">
        <v>50</v>
      </c>
      <c r="W1265">
        <v>4</v>
      </c>
    </row>
    <row r="1266" spans="1:23" x14ac:dyDescent="0.25">
      <c r="A1266" t="s">
        <v>1875</v>
      </c>
      <c r="B1266" s="1">
        <v>45805</v>
      </c>
      <c r="C1266" t="s">
        <v>785</v>
      </c>
      <c r="D1266" t="s">
        <v>79</v>
      </c>
      <c r="E1266" t="s">
        <v>26</v>
      </c>
      <c r="F1266" t="s">
        <v>53</v>
      </c>
      <c r="G1266" t="s">
        <v>268</v>
      </c>
      <c r="H1266">
        <v>1</v>
      </c>
      <c r="I1266">
        <v>14896</v>
      </c>
      <c r="J1266">
        <v>5</v>
      </c>
      <c r="K1266">
        <v>744.8</v>
      </c>
      <c r="L1266">
        <v>14151.2</v>
      </c>
      <c r="M1266">
        <v>9753.32</v>
      </c>
      <c r="N1266">
        <v>4397.88</v>
      </c>
      <c r="O1266" t="s">
        <v>29</v>
      </c>
      <c r="P1266">
        <v>292.72000000000003</v>
      </c>
      <c r="Q1266" t="s">
        <v>73</v>
      </c>
      <c r="R1266" t="s">
        <v>31</v>
      </c>
      <c r="S1266">
        <v>5</v>
      </c>
      <c r="T1266">
        <v>5</v>
      </c>
      <c r="U1266" t="s">
        <v>32</v>
      </c>
      <c r="V1266" t="s">
        <v>33</v>
      </c>
      <c r="W1266">
        <v>4</v>
      </c>
    </row>
    <row r="1267" spans="1:23" x14ac:dyDescent="0.25">
      <c r="A1267" t="s">
        <v>1876</v>
      </c>
      <c r="B1267" s="1">
        <v>46004</v>
      </c>
      <c r="C1267" t="s">
        <v>887</v>
      </c>
      <c r="D1267" t="s">
        <v>63</v>
      </c>
      <c r="E1267" t="s">
        <v>46</v>
      </c>
      <c r="F1267" t="s">
        <v>47</v>
      </c>
      <c r="G1267" t="s">
        <v>48</v>
      </c>
      <c r="H1267">
        <v>2</v>
      </c>
      <c r="I1267">
        <v>24755</v>
      </c>
      <c r="J1267">
        <v>20</v>
      </c>
      <c r="K1267">
        <v>9902</v>
      </c>
      <c r="L1267">
        <v>39608</v>
      </c>
      <c r="M1267">
        <v>29802.799999999999</v>
      </c>
      <c r="N1267">
        <v>9805.2000000000007</v>
      </c>
      <c r="O1267" t="s">
        <v>60</v>
      </c>
      <c r="P1267">
        <v>495.94</v>
      </c>
      <c r="Q1267" t="s">
        <v>68</v>
      </c>
      <c r="R1267" t="s">
        <v>41</v>
      </c>
      <c r="S1267">
        <v>2</v>
      </c>
      <c r="T1267">
        <v>6</v>
      </c>
      <c r="U1267" t="s">
        <v>32</v>
      </c>
      <c r="V1267" t="s">
        <v>42</v>
      </c>
    </row>
    <row r="1268" spans="1:23" x14ac:dyDescent="0.25">
      <c r="A1268" t="s">
        <v>1877</v>
      </c>
      <c r="B1268" s="1">
        <v>45937</v>
      </c>
      <c r="C1268" t="s">
        <v>1060</v>
      </c>
      <c r="D1268" t="s">
        <v>67</v>
      </c>
      <c r="E1268" t="s">
        <v>46</v>
      </c>
      <c r="F1268" t="s">
        <v>86</v>
      </c>
      <c r="G1268" t="s">
        <v>180</v>
      </c>
      <c r="H1268">
        <v>2</v>
      </c>
      <c r="I1268">
        <v>67763</v>
      </c>
      <c r="J1268">
        <v>25</v>
      </c>
      <c r="K1268">
        <v>33881.5</v>
      </c>
      <c r="L1268">
        <v>101644.5</v>
      </c>
      <c r="M1268">
        <v>79323.33</v>
      </c>
      <c r="N1268">
        <v>22321.17</v>
      </c>
      <c r="O1268" t="s">
        <v>60</v>
      </c>
      <c r="P1268">
        <v>1798.68</v>
      </c>
      <c r="Q1268" t="s">
        <v>68</v>
      </c>
      <c r="R1268" t="s">
        <v>31</v>
      </c>
      <c r="S1268">
        <v>5</v>
      </c>
      <c r="T1268">
        <v>4</v>
      </c>
      <c r="U1268" t="s">
        <v>32</v>
      </c>
      <c r="V1268" t="s">
        <v>33</v>
      </c>
      <c r="W1268">
        <v>4</v>
      </c>
    </row>
    <row r="1269" spans="1:23" x14ac:dyDescent="0.25">
      <c r="A1269" t="s">
        <v>1878</v>
      </c>
      <c r="B1269" s="1">
        <v>45738</v>
      </c>
      <c r="C1269" t="s">
        <v>107</v>
      </c>
      <c r="D1269" t="s">
        <v>79</v>
      </c>
      <c r="E1269" t="s">
        <v>46</v>
      </c>
      <c r="F1269" t="s">
        <v>37</v>
      </c>
      <c r="G1269" t="s">
        <v>38</v>
      </c>
      <c r="H1269">
        <v>1</v>
      </c>
      <c r="I1269">
        <v>27200</v>
      </c>
      <c r="J1269">
        <v>25</v>
      </c>
      <c r="K1269">
        <v>6800</v>
      </c>
      <c r="L1269">
        <v>20400</v>
      </c>
      <c r="M1269">
        <v>11228.02</v>
      </c>
      <c r="N1269">
        <v>9171.98</v>
      </c>
      <c r="O1269" t="s">
        <v>39</v>
      </c>
      <c r="P1269">
        <v>1894.19</v>
      </c>
      <c r="Q1269" t="s">
        <v>83</v>
      </c>
      <c r="R1269" t="s">
        <v>31</v>
      </c>
      <c r="S1269">
        <v>5</v>
      </c>
      <c r="T1269">
        <v>3</v>
      </c>
      <c r="U1269" t="s">
        <v>32</v>
      </c>
      <c r="V1269" t="s">
        <v>33</v>
      </c>
      <c r="W1269">
        <v>5</v>
      </c>
    </row>
    <row r="1270" spans="1:23" x14ac:dyDescent="0.25">
      <c r="A1270" t="s">
        <v>1879</v>
      </c>
      <c r="B1270" s="1">
        <v>45695</v>
      </c>
      <c r="C1270" t="s">
        <v>438</v>
      </c>
      <c r="D1270" t="s">
        <v>63</v>
      </c>
      <c r="E1270" t="s">
        <v>36</v>
      </c>
      <c r="F1270" t="s">
        <v>86</v>
      </c>
      <c r="G1270" t="s">
        <v>127</v>
      </c>
      <c r="H1270">
        <v>1</v>
      </c>
      <c r="I1270">
        <v>84941</v>
      </c>
      <c r="J1270">
        <v>15</v>
      </c>
      <c r="K1270">
        <v>12741.15</v>
      </c>
      <c r="L1270">
        <v>72199.850000000006</v>
      </c>
      <c r="M1270">
        <v>40624.01</v>
      </c>
      <c r="N1270">
        <v>31575.84</v>
      </c>
      <c r="O1270" t="s">
        <v>49</v>
      </c>
      <c r="P1270">
        <v>72.760000000000005</v>
      </c>
      <c r="Q1270" t="s">
        <v>83</v>
      </c>
      <c r="R1270" t="s">
        <v>41</v>
      </c>
      <c r="S1270">
        <v>2</v>
      </c>
      <c r="T1270">
        <v>1</v>
      </c>
      <c r="U1270" t="s">
        <v>32</v>
      </c>
      <c r="V1270" t="s">
        <v>33</v>
      </c>
      <c r="W1270">
        <v>1</v>
      </c>
    </row>
    <row r="1271" spans="1:23" x14ac:dyDescent="0.25">
      <c r="A1271" t="s">
        <v>1880</v>
      </c>
      <c r="B1271" s="1">
        <v>45884</v>
      </c>
      <c r="C1271" t="s">
        <v>203</v>
      </c>
      <c r="D1271" t="s">
        <v>63</v>
      </c>
      <c r="E1271" t="s">
        <v>36</v>
      </c>
      <c r="F1271" t="s">
        <v>37</v>
      </c>
      <c r="G1271" t="s">
        <v>161</v>
      </c>
      <c r="H1271">
        <v>1</v>
      </c>
      <c r="I1271">
        <v>39778</v>
      </c>
      <c r="J1271">
        <v>0</v>
      </c>
      <c r="K1271">
        <v>0</v>
      </c>
      <c r="L1271">
        <v>39778</v>
      </c>
      <c r="M1271">
        <v>23791.9</v>
      </c>
      <c r="N1271">
        <v>15986.1</v>
      </c>
      <c r="O1271" t="s">
        <v>39</v>
      </c>
      <c r="P1271">
        <v>680.71</v>
      </c>
      <c r="Q1271" t="s">
        <v>30</v>
      </c>
      <c r="R1271" t="s">
        <v>31</v>
      </c>
      <c r="S1271">
        <v>5</v>
      </c>
      <c r="T1271">
        <v>5</v>
      </c>
      <c r="U1271" t="s">
        <v>32</v>
      </c>
      <c r="V1271" t="s">
        <v>42</v>
      </c>
    </row>
    <row r="1272" spans="1:23" x14ac:dyDescent="0.25">
      <c r="A1272" t="s">
        <v>1881</v>
      </c>
      <c r="B1272" s="1">
        <v>45834</v>
      </c>
      <c r="C1272" t="s">
        <v>1037</v>
      </c>
      <c r="D1272" t="s">
        <v>124</v>
      </c>
      <c r="E1272" t="s">
        <v>46</v>
      </c>
      <c r="F1272" t="s">
        <v>27</v>
      </c>
      <c r="G1272" t="s">
        <v>76</v>
      </c>
      <c r="H1272">
        <v>2</v>
      </c>
      <c r="I1272">
        <v>24089</v>
      </c>
      <c r="J1272">
        <v>20</v>
      </c>
      <c r="K1272">
        <v>9635.6</v>
      </c>
      <c r="L1272">
        <v>38542.400000000001</v>
      </c>
      <c r="M1272">
        <v>26757.22</v>
      </c>
      <c r="N1272">
        <v>11785.18</v>
      </c>
      <c r="O1272" t="s">
        <v>29</v>
      </c>
      <c r="P1272">
        <v>939.9</v>
      </c>
      <c r="Q1272" t="s">
        <v>40</v>
      </c>
      <c r="R1272" t="s">
        <v>31</v>
      </c>
      <c r="S1272">
        <v>5</v>
      </c>
      <c r="T1272">
        <v>7</v>
      </c>
      <c r="U1272" t="s">
        <v>56</v>
      </c>
      <c r="V1272" t="s">
        <v>33</v>
      </c>
      <c r="W1272">
        <v>4</v>
      </c>
    </row>
    <row r="1273" spans="1:23" x14ac:dyDescent="0.25">
      <c r="A1273" t="s">
        <v>1882</v>
      </c>
      <c r="B1273" s="1">
        <v>45958</v>
      </c>
      <c r="C1273" t="s">
        <v>779</v>
      </c>
      <c r="D1273" t="s">
        <v>63</v>
      </c>
      <c r="E1273" t="s">
        <v>46</v>
      </c>
      <c r="F1273" t="s">
        <v>86</v>
      </c>
      <c r="G1273" t="s">
        <v>180</v>
      </c>
      <c r="H1273">
        <v>2</v>
      </c>
      <c r="I1273">
        <v>37028</v>
      </c>
      <c r="J1273">
        <v>0</v>
      </c>
      <c r="K1273">
        <v>0</v>
      </c>
      <c r="L1273">
        <v>74056</v>
      </c>
      <c r="M1273">
        <v>44731.57</v>
      </c>
      <c r="N1273">
        <v>29324.43</v>
      </c>
      <c r="O1273" t="s">
        <v>49</v>
      </c>
      <c r="P1273">
        <v>168.64</v>
      </c>
      <c r="Q1273" t="s">
        <v>83</v>
      </c>
      <c r="R1273" t="s">
        <v>41</v>
      </c>
      <c r="S1273">
        <v>2</v>
      </c>
      <c r="T1273">
        <v>3</v>
      </c>
      <c r="U1273" t="s">
        <v>56</v>
      </c>
      <c r="V1273" t="s">
        <v>33</v>
      </c>
      <c r="W1273">
        <v>3</v>
      </c>
    </row>
    <row r="1274" spans="1:23" x14ac:dyDescent="0.25">
      <c r="A1274" t="s">
        <v>1883</v>
      </c>
      <c r="B1274" s="1">
        <v>45811</v>
      </c>
      <c r="C1274" t="s">
        <v>492</v>
      </c>
      <c r="D1274" t="s">
        <v>71</v>
      </c>
      <c r="E1274" t="s">
        <v>46</v>
      </c>
      <c r="F1274" t="s">
        <v>37</v>
      </c>
      <c r="G1274" t="s">
        <v>38</v>
      </c>
      <c r="H1274">
        <v>2</v>
      </c>
      <c r="I1274">
        <v>15022</v>
      </c>
      <c r="J1274">
        <v>0</v>
      </c>
      <c r="K1274">
        <v>0</v>
      </c>
      <c r="L1274">
        <v>30044</v>
      </c>
      <c r="M1274">
        <v>24466.12</v>
      </c>
      <c r="N1274">
        <v>5577.88</v>
      </c>
      <c r="O1274" t="s">
        <v>60</v>
      </c>
      <c r="P1274">
        <v>1614.81</v>
      </c>
      <c r="Q1274" t="s">
        <v>40</v>
      </c>
      <c r="R1274" t="s">
        <v>31</v>
      </c>
      <c r="S1274">
        <v>5</v>
      </c>
      <c r="T1274">
        <v>4</v>
      </c>
      <c r="U1274" t="s">
        <v>32</v>
      </c>
      <c r="V1274" t="s">
        <v>50</v>
      </c>
      <c r="W1274">
        <v>5</v>
      </c>
    </row>
    <row r="1275" spans="1:23" x14ac:dyDescent="0.25">
      <c r="A1275" t="s">
        <v>1884</v>
      </c>
      <c r="B1275" s="1">
        <v>45985</v>
      </c>
      <c r="C1275" t="s">
        <v>144</v>
      </c>
      <c r="D1275" t="s">
        <v>79</v>
      </c>
      <c r="E1275" t="s">
        <v>26</v>
      </c>
      <c r="F1275" t="s">
        <v>86</v>
      </c>
      <c r="G1275" t="s">
        <v>87</v>
      </c>
      <c r="H1275">
        <v>3</v>
      </c>
      <c r="I1275">
        <v>55620</v>
      </c>
      <c r="J1275">
        <v>10</v>
      </c>
      <c r="K1275">
        <v>16686</v>
      </c>
      <c r="L1275">
        <v>150174</v>
      </c>
      <c r="M1275">
        <v>104374.05</v>
      </c>
      <c r="N1275">
        <v>45799.95</v>
      </c>
      <c r="O1275" t="s">
        <v>91</v>
      </c>
      <c r="P1275">
        <v>308.20999999999998</v>
      </c>
      <c r="Q1275" t="s">
        <v>68</v>
      </c>
      <c r="R1275" t="s">
        <v>41</v>
      </c>
      <c r="S1275">
        <v>2</v>
      </c>
      <c r="T1275">
        <v>4</v>
      </c>
      <c r="U1275" t="s">
        <v>32</v>
      </c>
      <c r="V1275" t="s">
        <v>42</v>
      </c>
    </row>
    <row r="1276" spans="1:23" x14ac:dyDescent="0.25">
      <c r="A1276" t="s">
        <v>1885</v>
      </c>
      <c r="B1276" s="1">
        <v>45875</v>
      </c>
      <c r="C1276" t="s">
        <v>228</v>
      </c>
      <c r="D1276" t="s">
        <v>79</v>
      </c>
      <c r="E1276" t="s">
        <v>26</v>
      </c>
      <c r="F1276" t="s">
        <v>27</v>
      </c>
      <c r="G1276" t="s">
        <v>76</v>
      </c>
      <c r="H1276">
        <v>1</v>
      </c>
      <c r="I1276">
        <v>8308</v>
      </c>
      <c r="J1276">
        <v>10</v>
      </c>
      <c r="K1276">
        <v>830.8</v>
      </c>
      <c r="L1276">
        <v>7477.2</v>
      </c>
      <c r="M1276">
        <v>4568.5</v>
      </c>
      <c r="N1276">
        <v>2908.7</v>
      </c>
      <c r="O1276" t="s">
        <v>55</v>
      </c>
      <c r="P1276">
        <v>1298.04</v>
      </c>
      <c r="Q1276" t="s">
        <v>73</v>
      </c>
      <c r="R1276" t="s">
        <v>31</v>
      </c>
      <c r="S1276">
        <v>5</v>
      </c>
      <c r="T1276">
        <v>7</v>
      </c>
      <c r="U1276" t="s">
        <v>56</v>
      </c>
      <c r="V1276" t="s">
        <v>33</v>
      </c>
      <c r="W1276">
        <v>4</v>
      </c>
    </row>
    <row r="1277" spans="1:23" x14ac:dyDescent="0.25">
      <c r="A1277" t="s">
        <v>1886</v>
      </c>
      <c r="B1277" s="1">
        <v>46011</v>
      </c>
      <c r="C1277" t="s">
        <v>1186</v>
      </c>
      <c r="D1277" t="s">
        <v>67</v>
      </c>
      <c r="E1277" t="s">
        <v>26</v>
      </c>
      <c r="F1277" t="s">
        <v>86</v>
      </c>
      <c r="G1277" t="s">
        <v>94</v>
      </c>
      <c r="H1277">
        <v>2</v>
      </c>
      <c r="I1277">
        <v>24033</v>
      </c>
      <c r="J1277">
        <v>0</v>
      </c>
      <c r="K1277">
        <v>0</v>
      </c>
      <c r="L1277">
        <v>48066</v>
      </c>
      <c r="M1277">
        <v>32195.77</v>
      </c>
      <c r="N1277">
        <v>15870.23</v>
      </c>
      <c r="O1277" t="s">
        <v>49</v>
      </c>
      <c r="P1277">
        <v>385.65</v>
      </c>
      <c r="Q1277" t="s">
        <v>40</v>
      </c>
      <c r="R1277" t="s">
        <v>41</v>
      </c>
      <c r="S1277">
        <v>2</v>
      </c>
      <c r="T1277">
        <v>2</v>
      </c>
      <c r="U1277" t="s">
        <v>32</v>
      </c>
      <c r="V1277" t="s">
        <v>33</v>
      </c>
      <c r="W1277">
        <v>4</v>
      </c>
    </row>
    <row r="1278" spans="1:23" x14ac:dyDescent="0.25">
      <c r="A1278" t="s">
        <v>1887</v>
      </c>
      <c r="B1278" s="1">
        <v>45786</v>
      </c>
      <c r="C1278" t="s">
        <v>191</v>
      </c>
      <c r="D1278" t="s">
        <v>45</v>
      </c>
      <c r="E1278" t="s">
        <v>46</v>
      </c>
      <c r="F1278" t="s">
        <v>37</v>
      </c>
      <c r="G1278" t="s">
        <v>313</v>
      </c>
      <c r="H1278">
        <v>2</v>
      </c>
      <c r="I1278">
        <v>30702</v>
      </c>
      <c r="J1278">
        <v>0</v>
      </c>
      <c r="K1278">
        <v>0</v>
      </c>
      <c r="L1278">
        <v>61404</v>
      </c>
      <c r="M1278">
        <v>37887.08</v>
      </c>
      <c r="N1278">
        <v>23516.92</v>
      </c>
      <c r="O1278" t="s">
        <v>39</v>
      </c>
      <c r="P1278">
        <v>733.81</v>
      </c>
      <c r="Q1278" t="s">
        <v>83</v>
      </c>
      <c r="R1278" t="s">
        <v>41</v>
      </c>
      <c r="S1278">
        <v>2</v>
      </c>
      <c r="T1278">
        <v>0</v>
      </c>
      <c r="U1278" t="s">
        <v>32</v>
      </c>
      <c r="V1278" t="s">
        <v>50</v>
      </c>
      <c r="W1278">
        <v>3</v>
      </c>
    </row>
    <row r="1279" spans="1:23" x14ac:dyDescent="0.25">
      <c r="A1279" t="s">
        <v>1888</v>
      </c>
      <c r="B1279" s="1">
        <v>45891</v>
      </c>
      <c r="C1279" t="s">
        <v>1217</v>
      </c>
      <c r="D1279" t="s">
        <v>97</v>
      </c>
      <c r="E1279" t="s">
        <v>46</v>
      </c>
      <c r="F1279" t="s">
        <v>47</v>
      </c>
      <c r="G1279" t="s">
        <v>105</v>
      </c>
      <c r="H1279">
        <v>1</v>
      </c>
      <c r="I1279">
        <v>43406</v>
      </c>
      <c r="J1279">
        <v>15</v>
      </c>
      <c r="K1279">
        <v>6510.9</v>
      </c>
      <c r="L1279">
        <v>36895.1</v>
      </c>
      <c r="M1279">
        <v>25441.86</v>
      </c>
      <c r="N1279">
        <v>11453.24</v>
      </c>
      <c r="O1279" t="s">
        <v>39</v>
      </c>
      <c r="P1279">
        <v>319.22000000000003</v>
      </c>
      <c r="Q1279" t="s">
        <v>68</v>
      </c>
      <c r="R1279" t="s">
        <v>41</v>
      </c>
      <c r="S1279">
        <v>2</v>
      </c>
      <c r="T1279">
        <v>2</v>
      </c>
      <c r="U1279" t="s">
        <v>32</v>
      </c>
      <c r="V1279" t="s">
        <v>33</v>
      </c>
      <c r="W1279">
        <v>5</v>
      </c>
    </row>
    <row r="1280" spans="1:23" x14ac:dyDescent="0.25">
      <c r="A1280" t="s">
        <v>1889</v>
      </c>
      <c r="B1280" s="1">
        <v>45812</v>
      </c>
      <c r="C1280" t="s">
        <v>1601</v>
      </c>
      <c r="D1280" t="s">
        <v>124</v>
      </c>
      <c r="E1280" t="s">
        <v>36</v>
      </c>
      <c r="F1280" t="s">
        <v>53</v>
      </c>
      <c r="G1280" t="s">
        <v>54</v>
      </c>
      <c r="H1280">
        <v>1</v>
      </c>
      <c r="I1280">
        <v>25943</v>
      </c>
      <c r="J1280">
        <v>15</v>
      </c>
      <c r="K1280">
        <v>3891.45</v>
      </c>
      <c r="L1280">
        <v>22051.55</v>
      </c>
      <c r="M1280">
        <v>13711.99</v>
      </c>
      <c r="N1280">
        <v>8339.56</v>
      </c>
      <c r="O1280" t="s">
        <v>60</v>
      </c>
      <c r="P1280">
        <v>2177.04</v>
      </c>
      <c r="Q1280" t="s">
        <v>40</v>
      </c>
      <c r="R1280" t="s">
        <v>31</v>
      </c>
      <c r="S1280">
        <v>5</v>
      </c>
      <c r="T1280">
        <v>5</v>
      </c>
      <c r="U1280" t="s">
        <v>32</v>
      </c>
      <c r="V1280" t="s">
        <v>33</v>
      </c>
      <c r="W1280">
        <v>1</v>
      </c>
    </row>
    <row r="1281" spans="1:23" x14ac:dyDescent="0.25">
      <c r="A1281" t="s">
        <v>1890</v>
      </c>
      <c r="B1281" s="1">
        <v>45759</v>
      </c>
      <c r="C1281" t="s">
        <v>1891</v>
      </c>
      <c r="D1281" t="s">
        <v>154</v>
      </c>
      <c r="E1281" t="s">
        <v>36</v>
      </c>
      <c r="F1281" t="s">
        <v>53</v>
      </c>
      <c r="G1281" t="s">
        <v>82</v>
      </c>
      <c r="H1281">
        <v>1</v>
      </c>
      <c r="I1281">
        <v>12776</v>
      </c>
      <c r="J1281">
        <v>10</v>
      </c>
      <c r="K1281">
        <v>1277.5999999999999</v>
      </c>
      <c r="L1281">
        <v>11498.4</v>
      </c>
      <c r="M1281">
        <v>7376.46</v>
      </c>
      <c r="N1281">
        <v>4121.9399999999996</v>
      </c>
      <c r="O1281" t="s">
        <v>55</v>
      </c>
      <c r="P1281">
        <v>1941.05</v>
      </c>
      <c r="Q1281" t="s">
        <v>40</v>
      </c>
      <c r="R1281" t="s">
        <v>31</v>
      </c>
      <c r="S1281">
        <v>5</v>
      </c>
      <c r="T1281">
        <v>6</v>
      </c>
      <c r="U1281" t="s">
        <v>32</v>
      </c>
      <c r="V1281" t="s">
        <v>50</v>
      </c>
      <c r="W1281">
        <v>4</v>
      </c>
    </row>
    <row r="1282" spans="1:23" x14ac:dyDescent="0.25">
      <c r="A1282" t="s">
        <v>1892</v>
      </c>
      <c r="B1282" s="1">
        <v>45854</v>
      </c>
      <c r="C1282" t="s">
        <v>1078</v>
      </c>
      <c r="D1282" t="s">
        <v>124</v>
      </c>
      <c r="E1282" t="s">
        <v>26</v>
      </c>
      <c r="F1282" t="s">
        <v>27</v>
      </c>
      <c r="G1282" t="s">
        <v>28</v>
      </c>
      <c r="H1282">
        <v>2</v>
      </c>
      <c r="I1282">
        <v>23923</v>
      </c>
      <c r="J1282">
        <v>15</v>
      </c>
      <c r="K1282">
        <v>7176.9</v>
      </c>
      <c r="L1282">
        <v>40669.1</v>
      </c>
      <c r="M1282">
        <v>22840.15</v>
      </c>
      <c r="N1282">
        <v>17828.95</v>
      </c>
      <c r="O1282" t="s">
        <v>55</v>
      </c>
      <c r="P1282">
        <v>2379.3000000000002</v>
      </c>
      <c r="Q1282" t="s">
        <v>73</v>
      </c>
      <c r="R1282" t="s">
        <v>41</v>
      </c>
      <c r="S1282">
        <v>2</v>
      </c>
      <c r="T1282">
        <v>2</v>
      </c>
      <c r="U1282" t="s">
        <v>32</v>
      </c>
      <c r="V1282" t="s">
        <v>33</v>
      </c>
      <c r="W1282">
        <v>5</v>
      </c>
    </row>
    <row r="1283" spans="1:23" x14ac:dyDescent="0.25">
      <c r="A1283" t="s">
        <v>1893</v>
      </c>
      <c r="B1283" s="1">
        <v>45905</v>
      </c>
      <c r="C1283" t="s">
        <v>1894</v>
      </c>
      <c r="D1283" t="s">
        <v>45</v>
      </c>
      <c r="E1283" t="s">
        <v>46</v>
      </c>
      <c r="F1283" t="s">
        <v>86</v>
      </c>
      <c r="G1283" t="s">
        <v>94</v>
      </c>
      <c r="H1283">
        <v>1</v>
      </c>
      <c r="I1283">
        <v>42898</v>
      </c>
      <c r="J1283">
        <v>10</v>
      </c>
      <c r="K1283">
        <v>4289.8</v>
      </c>
      <c r="L1283">
        <v>38608.199999999997</v>
      </c>
      <c r="M1283">
        <v>23581.3</v>
      </c>
      <c r="N1283">
        <v>15026.9</v>
      </c>
      <c r="O1283" t="s">
        <v>91</v>
      </c>
      <c r="P1283">
        <v>237.47</v>
      </c>
      <c r="Q1283" t="s">
        <v>40</v>
      </c>
      <c r="R1283" t="s">
        <v>31</v>
      </c>
      <c r="S1283">
        <v>5</v>
      </c>
      <c r="T1283">
        <v>4</v>
      </c>
      <c r="U1283" t="s">
        <v>32</v>
      </c>
      <c r="V1283" t="s">
        <v>33</v>
      </c>
      <c r="W1283">
        <v>5</v>
      </c>
    </row>
    <row r="1284" spans="1:23" x14ac:dyDescent="0.25">
      <c r="A1284" t="s">
        <v>1895</v>
      </c>
      <c r="B1284" s="1">
        <v>45712</v>
      </c>
      <c r="C1284" t="s">
        <v>1896</v>
      </c>
      <c r="D1284" t="s">
        <v>25</v>
      </c>
      <c r="E1284" t="s">
        <v>46</v>
      </c>
      <c r="F1284" t="s">
        <v>53</v>
      </c>
      <c r="G1284" t="s">
        <v>82</v>
      </c>
      <c r="H1284">
        <v>1</v>
      </c>
      <c r="I1284">
        <v>118965</v>
      </c>
      <c r="J1284">
        <v>0</v>
      </c>
      <c r="K1284">
        <v>0</v>
      </c>
      <c r="L1284">
        <v>118965</v>
      </c>
      <c r="M1284">
        <v>93277.85</v>
      </c>
      <c r="N1284">
        <v>25687.15</v>
      </c>
      <c r="O1284" t="s">
        <v>49</v>
      </c>
      <c r="P1284">
        <v>105.51</v>
      </c>
      <c r="Q1284" t="s">
        <v>40</v>
      </c>
      <c r="R1284" t="s">
        <v>41</v>
      </c>
      <c r="S1284">
        <v>2</v>
      </c>
      <c r="T1284">
        <v>1</v>
      </c>
      <c r="U1284" t="s">
        <v>32</v>
      </c>
      <c r="V1284" t="s">
        <v>42</v>
      </c>
    </row>
    <row r="1285" spans="1:23" x14ac:dyDescent="0.25">
      <c r="A1285" t="s">
        <v>1897</v>
      </c>
      <c r="B1285" s="1">
        <v>45779</v>
      </c>
      <c r="C1285" t="s">
        <v>1041</v>
      </c>
      <c r="D1285" t="s">
        <v>71</v>
      </c>
      <c r="E1285" t="s">
        <v>46</v>
      </c>
      <c r="F1285" t="s">
        <v>27</v>
      </c>
      <c r="G1285" t="s">
        <v>164</v>
      </c>
      <c r="H1285">
        <v>3</v>
      </c>
      <c r="I1285">
        <v>8072</v>
      </c>
      <c r="J1285">
        <v>25</v>
      </c>
      <c r="K1285">
        <v>6054</v>
      </c>
      <c r="L1285">
        <v>18162</v>
      </c>
      <c r="M1285">
        <v>12063.66</v>
      </c>
      <c r="N1285">
        <v>6098.34</v>
      </c>
      <c r="O1285" t="s">
        <v>60</v>
      </c>
      <c r="P1285">
        <v>1232.49</v>
      </c>
      <c r="Q1285" t="s">
        <v>68</v>
      </c>
      <c r="R1285" t="s">
        <v>31</v>
      </c>
      <c r="S1285">
        <v>5</v>
      </c>
      <c r="T1285">
        <v>6</v>
      </c>
      <c r="U1285" t="s">
        <v>56</v>
      </c>
      <c r="V1285" t="s">
        <v>33</v>
      </c>
      <c r="W1285">
        <v>3</v>
      </c>
    </row>
    <row r="1286" spans="1:23" x14ac:dyDescent="0.25">
      <c r="A1286" t="s">
        <v>1898</v>
      </c>
      <c r="B1286" s="1">
        <v>45853</v>
      </c>
      <c r="C1286" t="s">
        <v>195</v>
      </c>
      <c r="D1286" t="s">
        <v>154</v>
      </c>
      <c r="E1286" t="s">
        <v>46</v>
      </c>
      <c r="F1286" t="s">
        <v>27</v>
      </c>
      <c r="G1286" t="s">
        <v>113</v>
      </c>
      <c r="H1286">
        <v>4</v>
      </c>
      <c r="I1286">
        <v>4390</v>
      </c>
      <c r="J1286">
        <v>10</v>
      </c>
      <c r="K1286">
        <v>1756</v>
      </c>
      <c r="L1286">
        <v>15804</v>
      </c>
      <c r="M1286">
        <v>12766.8</v>
      </c>
      <c r="N1286">
        <v>3037.2</v>
      </c>
      <c r="O1286" t="s">
        <v>91</v>
      </c>
      <c r="P1286">
        <v>729.92</v>
      </c>
      <c r="Q1286" t="s">
        <v>83</v>
      </c>
      <c r="R1286" t="s">
        <v>31</v>
      </c>
      <c r="S1286">
        <v>5</v>
      </c>
      <c r="T1286">
        <v>0</v>
      </c>
      <c r="U1286" t="s">
        <v>32</v>
      </c>
      <c r="V1286" t="s">
        <v>50</v>
      </c>
      <c r="W1286">
        <v>4</v>
      </c>
    </row>
    <row r="1287" spans="1:23" x14ac:dyDescent="0.25">
      <c r="A1287" t="s">
        <v>1899</v>
      </c>
      <c r="B1287" s="1">
        <v>45950</v>
      </c>
      <c r="C1287" t="s">
        <v>278</v>
      </c>
      <c r="D1287" t="s">
        <v>25</v>
      </c>
      <c r="E1287" t="s">
        <v>46</v>
      </c>
      <c r="F1287" t="s">
        <v>27</v>
      </c>
      <c r="G1287" t="s">
        <v>113</v>
      </c>
      <c r="H1287">
        <v>1</v>
      </c>
      <c r="I1287">
        <v>7725</v>
      </c>
      <c r="J1287">
        <v>10</v>
      </c>
      <c r="K1287">
        <v>772.5</v>
      </c>
      <c r="L1287">
        <v>6952.5</v>
      </c>
      <c r="M1287">
        <v>4391.2</v>
      </c>
      <c r="N1287">
        <v>2561.3000000000002</v>
      </c>
      <c r="O1287" t="s">
        <v>60</v>
      </c>
      <c r="P1287">
        <v>950.71</v>
      </c>
      <c r="Q1287" t="s">
        <v>30</v>
      </c>
      <c r="R1287" t="s">
        <v>31</v>
      </c>
      <c r="S1287">
        <v>5</v>
      </c>
      <c r="T1287">
        <v>2</v>
      </c>
      <c r="U1287" t="s">
        <v>32</v>
      </c>
      <c r="V1287" t="s">
        <v>33</v>
      </c>
      <c r="W1287">
        <v>5</v>
      </c>
    </row>
    <row r="1288" spans="1:23" x14ac:dyDescent="0.25">
      <c r="A1288" t="s">
        <v>1900</v>
      </c>
      <c r="B1288" s="1">
        <v>45841</v>
      </c>
      <c r="C1288" t="s">
        <v>288</v>
      </c>
      <c r="D1288" t="s">
        <v>71</v>
      </c>
      <c r="E1288" t="s">
        <v>26</v>
      </c>
      <c r="F1288" t="s">
        <v>37</v>
      </c>
      <c r="G1288" t="s">
        <v>313</v>
      </c>
      <c r="H1288">
        <v>1</v>
      </c>
      <c r="I1288">
        <v>34640</v>
      </c>
      <c r="J1288">
        <v>0</v>
      </c>
      <c r="K1288">
        <v>0</v>
      </c>
      <c r="L1288">
        <v>34640</v>
      </c>
      <c r="M1288">
        <v>22038.52</v>
      </c>
      <c r="N1288">
        <v>12601.48</v>
      </c>
      <c r="O1288" t="s">
        <v>39</v>
      </c>
      <c r="P1288">
        <v>2347.2199999999998</v>
      </c>
      <c r="Q1288" t="s">
        <v>83</v>
      </c>
      <c r="R1288" t="s">
        <v>31</v>
      </c>
      <c r="S1288">
        <v>5</v>
      </c>
      <c r="T1288">
        <v>1</v>
      </c>
      <c r="U1288" t="s">
        <v>32</v>
      </c>
      <c r="V1288" t="s">
        <v>33</v>
      </c>
      <c r="W1288">
        <v>5</v>
      </c>
    </row>
    <row r="1289" spans="1:23" x14ac:dyDescent="0.25">
      <c r="A1289" t="s">
        <v>1901</v>
      </c>
      <c r="B1289" s="1">
        <v>45952</v>
      </c>
      <c r="C1289" t="s">
        <v>494</v>
      </c>
      <c r="D1289" t="s">
        <v>71</v>
      </c>
      <c r="E1289" t="s">
        <v>36</v>
      </c>
      <c r="F1289" t="s">
        <v>37</v>
      </c>
      <c r="G1289" t="s">
        <v>38</v>
      </c>
      <c r="H1289">
        <v>3</v>
      </c>
      <c r="I1289">
        <v>32159</v>
      </c>
      <c r="J1289">
        <v>10</v>
      </c>
      <c r="K1289">
        <v>9647.7000000000007</v>
      </c>
      <c r="L1289">
        <v>86829.3</v>
      </c>
      <c r="M1289">
        <v>56860.4</v>
      </c>
      <c r="N1289">
        <v>29968.9</v>
      </c>
      <c r="O1289" t="s">
        <v>60</v>
      </c>
      <c r="P1289">
        <v>2226.5500000000002</v>
      </c>
      <c r="Q1289" t="s">
        <v>40</v>
      </c>
      <c r="R1289" t="s">
        <v>31</v>
      </c>
      <c r="S1289">
        <v>5</v>
      </c>
      <c r="T1289">
        <v>6</v>
      </c>
      <c r="U1289" t="s">
        <v>56</v>
      </c>
      <c r="V1289" t="s">
        <v>33</v>
      </c>
      <c r="W1289">
        <v>2</v>
      </c>
    </row>
    <row r="1290" spans="1:23" x14ac:dyDescent="0.25">
      <c r="A1290" t="s">
        <v>1902</v>
      </c>
      <c r="B1290" s="1">
        <v>45809</v>
      </c>
      <c r="C1290" t="s">
        <v>1903</v>
      </c>
      <c r="D1290" t="s">
        <v>67</v>
      </c>
      <c r="E1290" t="s">
        <v>26</v>
      </c>
      <c r="F1290" t="s">
        <v>27</v>
      </c>
      <c r="G1290" t="s">
        <v>72</v>
      </c>
      <c r="H1290">
        <v>1</v>
      </c>
      <c r="I1290">
        <v>28796</v>
      </c>
      <c r="J1290">
        <v>5</v>
      </c>
      <c r="K1290">
        <v>1439.8</v>
      </c>
      <c r="L1290">
        <v>27356.2</v>
      </c>
      <c r="M1290">
        <v>22386.44</v>
      </c>
      <c r="N1290">
        <v>4969.76</v>
      </c>
      <c r="O1290" t="s">
        <v>60</v>
      </c>
      <c r="P1290">
        <v>2042.96</v>
      </c>
      <c r="Q1290" t="s">
        <v>83</v>
      </c>
      <c r="R1290" t="s">
        <v>41</v>
      </c>
      <c r="S1290">
        <v>2</v>
      </c>
      <c r="T1290">
        <v>6</v>
      </c>
      <c r="U1290" t="s">
        <v>32</v>
      </c>
      <c r="V1290" t="s">
        <v>50</v>
      </c>
      <c r="W1290">
        <v>4</v>
      </c>
    </row>
    <row r="1291" spans="1:23" x14ac:dyDescent="0.25">
      <c r="A1291" t="s">
        <v>1904</v>
      </c>
      <c r="B1291" s="1">
        <v>46016</v>
      </c>
      <c r="C1291" t="s">
        <v>1094</v>
      </c>
      <c r="D1291" t="s">
        <v>90</v>
      </c>
      <c r="E1291" t="s">
        <v>46</v>
      </c>
      <c r="F1291" t="s">
        <v>37</v>
      </c>
      <c r="G1291" t="s">
        <v>313</v>
      </c>
      <c r="H1291">
        <v>1</v>
      </c>
      <c r="I1291">
        <v>36038</v>
      </c>
      <c r="J1291">
        <v>5</v>
      </c>
      <c r="K1291">
        <v>1801.9</v>
      </c>
      <c r="L1291">
        <v>34236.1</v>
      </c>
      <c r="M1291">
        <v>20835.88</v>
      </c>
      <c r="N1291">
        <v>13400.22</v>
      </c>
      <c r="O1291" t="s">
        <v>49</v>
      </c>
      <c r="P1291">
        <v>403.76</v>
      </c>
      <c r="Q1291" t="s">
        <v>68</v>
      </c>
      <c r="R1291" t="s">
        <v>41</v>
      </c>
      <c r="S1291">
        <v>2</v>
      </c>
      <c r="T1291">
        <v>1</v>
      </c>
      <c r="U1291" t="s">
        <v>32</v>
      </c>
      <c r="V1291" t="s">
        <v>33</v>
      </c>
      <c r="W1291">
        <v>2</v>
      </c>
    </row>
    <row r="1292" spans="1:23" x14ac:dyDescent="0.25">
      <c r="A1292" t="s">
        <v>1905</v>
      </c>
      <c r="B1292" s="1">
        <v>45809</v>
      </c>
      <c r="C1292" t="s">
        <v>648</v>
      </c>
      <c r="D1292" t="s">
        <v>63</v>
      </c>
      <c r="E1292" t="s">
        <v>46</v>
      </c>
      <c r="F1292" t="s">
        <v>47</v>
      </c>
      <c r="G1292" t="s">
        <v>64</v>
      </c>
      <c r="H1292">
        <v>3</v>
      </c>
      <c r="I1292">
        <v>28113</v>
      </c>
      <c r="J1292">
        <v>15</v>
      </c>
      <c r="K1292">
        <v>12650.85</v>
      </c>
      <c r="L1292">
        <v>71688.149999999994</v>
      </c>
      <c r="M1292">
        <v>57521.73</v>
      </c>
      <c r="N1292">
        <v>14166.42</v>
      </c>
      <c r="O1292" t="s">
        <v>39</v>
      </c>
      <c r="P1292">
        <v>2176.77</v>
      </c>
      <c r="Q1292" t="s">
        <v>68</v>
      </c>
      <c r="R1292" t="s">
        <v>41</v>
      </c>
      <c r="S1292">
        <v>2</v>
      </c>
      <c r="T1292">
        <v>2</v>
      </c>
      <c r="U1292" t="s">
        <v>32</v>
      </c>
      <c r="V1292" t="s">
        <v>33</v>
      </c>
      <c r="W1292">
        <v>5</v>
      </c>
    </row>
    <row r="1293" spans="1:23" x14ac:dyDescent="0.25">
      <c r="A1293" t="s">
        <v>1906</v>
      </c>
      <c r="B1293" s="1">
        <v>45669</v>
      </c>
      <c r="C1293" t="s">
        <v>421</v>
      </c>
      <c r="D1293" t="s">
        <v>67</v>
      </c>
      <c r="E1293" t="s">
        <v>26</v>
      </c>
      <c r="F1293" t="s">
        <v>86</v>
      </c>
      <c r="G1293" t="s">
        <v>87</v>
      </c>
      <c r="H1293">
        <v>2</v>
      </c>
      <c r="I1293">
        <v>76112</v>
      </c>
      <c r="J1293">
        <v>0</v>
      </c>
      <c r="K1293">
        <v>0</v>
      </c>
      <c r="L1293">
        <v>152224</v>
      </c>
      <c r="M1293">
        <v>89340.02</v>
      </c>
      <c r="N1293">
        <v>62883.98</v>
      </c>
      <c r="O1293" t="s">
        <v>91</v>
      </c>
      <c r="P1293">
        <v>416.02</v>
      </c>
      <c r="Q1293" t="s">
        <v>83</v>
      </c>
      <c r="R1293" t="s">
        <v>31</v>
      </c>
      <c r="S1293">
        <v>5</v>
      </c>
      <c r="T1293">
        <v>0</v>
      </c>
      <c r="U1293" t="s">
        <v>32</v>
      </c>
      <c r="V1293" t="s">
        <v>50</v>
      </c>
      <c r="W1293">
        <v>5</v>
      </c>
    </row>
    <row r="1294" spans="1:23" x14ac:dyDescent="0.25">
      <c r="A1294" t="s">
        <v>1907</v>
      </c>
      <c r="B1294" s="1">
        <v>45995</v>
      </c>
      <c r="C1294" t="s">
        <v>1303</v>
      </c>
      <c r="D1294" t="s">
        <v>124</v>
      </c>
      <c r="E1294" t="s">
        <v>26</v>
      </c>
      <c r="F1294" t="s">
        <v>53</v>
      </c>
      <c r="G1294" t="s">
        <v>54</v>
      </c>
      <c r="H1294">
        <v>1</v>
      </c>
      <c r="I1294">
        <v>36842</v>
      </c>
      <c r="J1294">
        <v>25</v>
      </c>
      <c r="K1294">
        <v>9210.5</v>
      </c>
      <c r="L1294">
        <v>27631.5</v>
      </c>
      <c r="M1294">
        <v>16311.56</v>
      </c>
      <c r="N1294">
        <v>11319.94</v>
      </c>
      <c r="O1294" t="s">
        <v>91</v>
      </c>
      <c r="P1294">
        <v>1747.14</v>
      </c>
      <c r="Q1294" t="s">
        <v>73</v>
      </c>
      <c r="R1294" t="s">
        <v>31</v>
      </c>
      <c r="S1294">
        <v>5</v>
      </c>
      <c r="T1294">
        <v>6</v>
      </c>
      <c r="U1294" t="s">
        <v>32</v>
      </c>
      <c r="V1294" t="s">
        <v>42</v>
      </c>
    </row>
    <row r="1295" spans="1:23" x14ac:dyDescent="0.25">
      <c r="A1295" t="s">
        <v>1908</v>
      </c>
      <c r="B1295" s="1">
        <v>45860</v>
      </c>
      <c r="C1295" t="s">
        <v>762</v>
      </c>
      <c r="D1295" t="s">
        <v>63</v>
      </c>
      <c r="E1295" t="s">
        <v>46</v>
      </c>
      <c r="F1295" t="s">
        <v>86</v>
      </c>
      <c r="G1295" t="s">
        <v>180</v>
      </c>
      <c r="H1295">
        <v>3</v>
      </c>
      <c r="I1295">
        <v>48415</v>
      </c>
      <c r="J1295">
        <v>5</v>
      </c>
      <c r="K1295">
        <v>7262.25</v>
      </c>
      <c r="L1295">
        <v>137982.75</v>
      </c>
      <c r="M1295">
        <v>96422.46</v>
      </c>
      <c r="N1295">
        <v>41560.29</v>
      </c>
      <c r="O1295" t="s">
        <v>49</v>
      </c>
      <c r="P1295">
        <v>51.7</v>
      </c>
      <c r="Q1295" t="s">
        <v>30</v>
      </c>
      <c r="R1295" t="s">
        <v>31</v>
      </c>
      <c r="S1295">
        <v>5</v>
      </c>
      <c r="T1295">
        <v>6</v>
      </c>
      <c r="U1295" t="s">
        <v>56</v>
      </c>
      <c r="V1295" t="s">
        <v>33</v>
      </c>
      <c r="W1295">
        <v>1</v>
      </c>
    </row>
    <row r="1296" spans="1:23" x14ac:dyDescent="0.25">
      <c r="A1296" t="s">
        <v>1909</v>
      </c>
      <c r="B1296" s="1">
        <v>45798</v>
      </c>
      <c r="C1296" t="s">
        <v>921</v>
      </c>
      <c r="D1296" t="s">
        <v>154</v>
      </c>
      <c r="E1296" t="s">
        <v>26</v>
      </c>
      <c r="F1296" t="s">
        <v>86</v>
      </c>
      <c r="G1296" t="s">
        <v>87</v>
      </c>
      <c r="H1296">
        <v>1</v>
      </c>
      <c r="I1296">
        <v>25732</v>
      </c>
      <c r="J1296">
        <v>20</v>
      </c>
      <c r="K1296">
        <v>5146.3999999999996</v>
      </c>
      <c r="L1296">
        <v>20585.599999999999</v>
      </c>
      <c r="M1296">
        <v>13920.16</v>
      </c>
      <c r="N1296">
        <v>6665.44</v>
      </c>
      <c r="O1296" t="s">
        <v>91</v>
      </c>
      <c r="P1296">
        <v>1152.5899999999999</v>
      </c>
      <c r="Q1296" t="s">
        <v>40</v>
      </c>
      <c r="R1296" t="s">
        <v>31</v>
      </c>
      <c r="S1296">
        <v>5</v>
      </c>
      <c r="T1296">
        <v>5</v>
      </c>
      <c r="U1296" t="s">
        <v>32</v>
      </c>
      <c r="V1296" t="s">
        <v>33</v>
      </c>
      <c r="W1296">
        <v>1</v>
      </c>
    </row>
    <row r="1297" spans="1:23" x14ac:dyDescent="0.25">
      <c r="A1297" t="s">
        <v>1910</v>
      </c>
      <c r="B1297" s="1">
        <v>45662</v>
      </c>
      <c r="C1297" t="s">
        <v>1172</v>
      </c>
      <c r="D1297" t="s">
        <v>63</v>
      </c>
      <c r="E1297" t="s">
        <v>26</v>
      </c>
      <c r="F1297" t="s">
        <v>53</v>
      </c>
      <c r="G1297" t="s">
        <v>54</v>
      </c>
      <c r="H1297">
        <v>3</v>
      </c>
      <c r="I1297">
        <v>67058</v>
      </c>
      <c r="J1297">
        <v>0</v>
      </c>
      <c r="K1297">
        <v>0</v>
      </c>
      <c r="L1297">
        <v>201174</v>
      </c>
      <c r="M1297">
        <v>123575.33</v>
      </c>
      <c r="N1297">
        <v>77598.67</v>
      </c>
      <c r="O1297" t="s">
        <v>49</v>
      </c>
      <c r="P1297">
        <v>190.94</v>
      </c>
      <c r="Q1297" t="s">
        <v>40</v>
      </c>
      <c r="R1297" t="s">
        <v>41</v>
      </c>
      <c r="S1297">
        <v>2</v>
      </c>
      <c r="T1297">
        <v>1</v>
      </c>
      <c r="U1297" t="s">
        <v>32</v>
      </c>
      <c r="V1297" t="s">
        <v>33</v>
      </c>
      <c r="W1297">
        <v>5</v>
      </c>
    </row>
    <row r="1298" spans="1:23" x14ac:dyDescent="0.25">
      <c r="A1298" t="s">
        <v>1911</v>
      </c>
      <c r="B1298" s="1">
        <v>45947</v>
      </c>
      <c r="C1298" t="s">
        <v>1870</v>
      </c>
      <c r="D1298" t="s">
        <v>63</v>
      </c>
      <c r="E1298" t="s">
        <v>26</v>
      </c>
      <c r="F1298" t="s">
        <v>37</v>
      </c>
      <c r="G1298" t="s">
        <v>313</v>
      </c>
      <c r="H1298">
        <v>1</v>
      </c>
      <c r="I1298">
        <v>7515</v>
      </c>
      <c r="J1298">
        <v>0</v>
      </c>
      <c r="K1298">
        <v>0</v>
      </c>
      <c r="L1298">
        <v>7515</v>
      </c>
      <c r="M1298">
        <v>5954.95</v>
      </c>
      <c r="N1298">
        <v>1560.05</v>
      </c>
      <c r="O1298" t="s">
        <v>55</v>
      </c>
      <c r="P1298">
        <v>1690.41</v>
      </c>
      <c r="Q1298" t="s">
        <v>30</v>
      </c>
      <c r="R1298" t="s">
        <v>31</v>
      </c>
      <c r="S1298">
        <v>5</v>
      </c>
      <c r="T1298">
        <v>6</v>
      </c>
      <c r="U1298" t="s">
        <v>56</v>
      </c>
      <c r="V1298" t="s">
        <v>33</v>
      </c>
      <c r="W1298">
        <v>5</v>
      </c>
    </row>
    <row r="1299" spans="1:23" x14ac:dyDescent="0.25">
      <c r="A1299" t="s">
        <v>1912</v>
      </c>
      <c r="B1299" s="1">
        <v>46009</v>
      </c>
      <c r="C1299" t="s">
        <v>1790</v>
      </c>
      <c r="D1299" t="s">
        <v>154</v>
      </c>
      <c r="E1299" t="s">
        <v>26</v>
      </c>
      <c r="F1299" t="s">
        <v>27</v>
      </c>
      <c r="G1299" t="s">
        <v>72</v>
      </c>
      <c r="H1299">
        <v>1</v>
      </c>
      <c r="I1299">
        <v>8739</v>
      </c>
      <c r="J1299">
        <v>0</v>
      </c>
      <c r="K1299">
        <v>0</v>
      </c>
      <c r="L1299">
        <v>8739</v>
      </c>
      <c r="M1299">
        <v>5384.8</v>
      </c>
      <c r="N1299">
        <v>3354.2</v>
      </c>
      <c r="O1299" t="s">
        <v>60</v>
      </c>
      <c r="P1299">
        <v>1369.22</v>
      </c>
      <c r="Q1299" t="s">
        <v>73</v>
      </c>
      <c r="R1299" t="s">
        <v>31</v>
      </c>
      <c r="S1299">
        <v>5</v>
      </c>
      <c r="T1299">
        <v>4</v>
      </c>
      <c r="U1299" t="s">
        <v>32</v>
      </c>
      <c r="V1299" t="s">
        <v>33</v>
      </c>
      <c r="W1299">
        <v>5</v>
      </c>
    </row>
    <row r="1300" spans="1:23" x14ac:dyDescent="0.25">
      <c r="A1300" t="s">
        <v>1913</v>
      </c>
      <c r="B1300" s="1">
        <v>45683</v>
      </c>
      <c r="C1300" t="s">
        <v>1046</v>
      </c>
      <c r="D1300" t="s">
        <v>79</v>
      </c>
      <c r="E1300" t="s">
        <v>26</v>
      </c>
      <c r="F1300" t="s">
        <v>27</v>
      </c>
      <c r="G1300" t="s">
        <v>72</v>
      </c>
      <c r="H1300">
        <v>1</v>
      </c>
      <c r="I1300">
        <v>10344</v>
      </c>
      <c r="J1300">
        <v>25</v>
      </c>
      <c r="K1300">
        <v>2586</v>
      </c>
      <c r="L1300">
        <v>7758</v>
      </c>
      <c r="M1300">
        <v>6205.11</v>
      </c>
      <c r="N1300">
        <v>1552.89</v>
      </c>
      <c r="O1300" t="s">
        <v>39</v>
      </c>
      <c r="P1300">
        <v>1520.93</v>
      </c>
      <c r="Q1300" t="s">
        <v>40</v>
      </c>
      <c r="R1300" t="s">
        <v>41</v>
      </c>
      <c r="S1300">
        <v>2</v>
      </c>
      <c r="T1300">
        <v>5</v>
      </c>
      <c r="U1300" t="s">
        <v>32</v>
      </c>
      <c r="V1300" t="s">
        <v>42</v>
      </c>
    </row>
    <row r="1301" spans="1:23" x14ac:dyDescent="0.25">
      <c r="A1301" t="s">
        <v>1914</v>
      </c>
      <c r="B1301" s="1">
        <v>45968</v>
      </c>
      <c r="C1301" t="s">
        <v>263</v>
      </c>
      <c r="D1301" t="s">
        <v>63</v>
      </c>
      <c r="E1301" t="s">
        <v>36</v>
      </c>
      <c r="F1301" t="s">
        <v>86</v>
      </c>
      <c r="G1301" t="s">
        <v>110</v>
      </c>
      <c r="H1301">
        <v>1</v>
      </c>
      <c r="I1301">
        <v>47286</v>
      </c>
      <c r="J1301">
        <v>10</v>
      </c>
      <c r="K1301">
        <v>4728.6000000000004</v>
      </c>
      <c r="L1301">
        <v>42557.4</v>
      </c>
      <c r="M1301">
        <v>30268.87</v>
      </c>
      <c r="N1301">
        <v>12288.53</v>
      </c>
      <c r="O1301" t="s">
        <v>29</v>
      </c>
      <c r="P1301">
        <v>1158.98</v>
      </c>
      <c r="Q1301" t="s">
        <v>30</v>
      </c>
      <c r="R1301" t="s">
        <v>31</v>
      </c>
      <c r="S1301">
        <v>5</v>
      </c>
      <c r="T1301">
        <v>1</v>
      </c>
      <c r="U1301" t="s">
        <v>32</v>
      </c>
      <c r="V1301" t="s">
        <v>50</v>
      </c>
      <c r="W1301">
        <v>5</v>
      </c>
    </row>
    <row r="1302" spans="1:23" x14ac:dyDescent="0.25">
      <c r="A1302" t="s">
        <v>1915</v>
      </c>
      <c r="B1302" s="1">
        <v>45912</v>
      </c>
      <c r="C1302" t="s">
        <v>1623</v>
      </c>
      <c r="D1302" t="s">
        <v>154</v>
      </c>
      <c r="E1302" t="s">
        <v>46</v>
      </c>
      <c r="F1302" t="s">
        <v>86</v>
      </c>
      <c r="G1302" t="s">
        <v>87</v>
      </c>
      <c r="H1302">
        <v>2</v>
      </c>
      <c r="I1302">
        <v>23139</v>
      </c>
      <c r="J1302">
        <v>25</v>
      </c>
      <c r="K1302">
        <v>11569.5</v>
      </c>
      <c r="L1302">
        <v>34708.5</v>
      </c>
      <c r="M1302">
        <v>24578.67</v>
      </c>
      <c r="N1302">
        <v>10129.83</v>
      </c>
      <c r="O1302" t="s">
        <v>49</v>
      </c>
      <c r="P1302">
        <v>440.16</v>
      </c>
      <c r="Q1302" t="s">
        <v>83</v>
      </c>
      <c r="R1302" t="s">
        <v>31</v>
      </c>
      <c r="S1302">
        <v>5</v>
      </c>
      <c r="T1302">
        <v>5</v>
      </c>
      <c r="U1302" t="s">
        <v>32</v>
      </c>
      <c r="V1302" t="s">
        <v>42</v>
      </c>
    </row>
    <row r="1303" spans="1:23" x14ac:dyDescent="0.25">
      <c r="A1303" t="s">
        <v>1916</v>
      </c>
      <c r="B1303" s="1">
        <v>45804</v>
      </c>
      <c r="C1303" t="s">
        <v>973</v>
      </c>
      <c r="D1303" t="s">
        <v>97</v>
      </c>
      <c r="E1303" t="s">
        <v>46</v>
      </c>
      <c r="F1303" t="s">
        <v>86</v>
      </c>
      <c r="G1303" t="s">
        <v>110</v>
      </c>
      <c r="H1303">
        <v>1</v>
      </c>
      <c r="I1303">
        <v>29914</v>
      </c>
      <c r="J1303">
        <v>15</v>
      </c>
      <c r="K1303">
        <v>4487.1000000000004</v>
      </c>
      <c r="L1303">
        <v>25426.9</v>
      </c>
      <c r="M1303">
        <v>19074.099999999999</v>
      </c>
      <c r="N1303">
        <v>6352.8</v>
      </c>
      <c r="O1303" t="s">
        <v>39</v>
      </c>
      <c r="P1303">
        <v>2078.23</v>
      </c>
      <c r="Q1303" t="s">
        <v>40</v>
      </c>
      <c r="R1303" t="s">
        <v>31</v>
      </c>
      <c r="S1303">
        <v>5</v>
      </c>
      <c r="T1303">
        <v>6</v>
      </c>
      <c r="U1303" t="s">
        <v>56</v>
      </c>
      <c r="V1303" t="s">
        <v>33</v>
      </c>
      <c r="W1303">
        <v>2</v>
      </c>
    </row>
    <row r="1304" spans="1:23" x14ac:dyDescent="0.25">
      <c r="A1304" t="s">
        <v>1917</v>
      </c>
      <c r="B1304" s="1">
        <v>45775</v>
      </c>
      <c r="C1304" t="s">
        <v>219</v>
      </c>
      <c r="D1304" t="s">
        <v>154</v>
      </c>
      <c r="E1304" t="s">
        <v>46</v>
      </c>
      <c r="F1304" t="s">
        <v>86</v>
      </c>
      <c r="G1304" t="s">
        <v>127</v>
      </c>
      <c r="H1304">
        <v>1</v>
      </c>
      <c r="I1304">
        <v>70447</v>
      </c>
      <c r="J1304">
        <v>25</v>
      </c>
      <c r="K1304">
        <v>17611.75</v>
      </c>
      <c r="L1304">
        <v>52835.25</v>
      </c>
      <c r="M1304">
        <v>36568.120000000003</v>
      </c>
      <c r="N1304">
        <v>16267.13</v>
      </c>
      <c r="O1304" t="s">
        <v>49</v>
      </c>
      <c r="P1304">
        <v>286.64</v>
      </c>
      <c r="Q1304" t="s">
        <v>40</v>
      </c>
      <c r="R1304" t="s">
        <v>31</v>
      </c>
      <c r="S1304">
        <v>5</v>
      </c>
      <c r="T1304">
        <v>4</v>
      </c>
      <c r="U1304" t="s">
        <v>32</v>
      </c>
      <c r="V1304" t="s">
        <v>33</v>
      </c>
      <c r="W1304">
        <v>4</v>
      </c>
    </row>
    <row r="1305" spans="1:23" x14ac:dyDescent="0.25">
      <c r="A1305" t="s">
        <v>1918</v>
      </c>
      <c r="B1305" s="1">
        <v>45968</v>
      </c>
      <c r="C1305" t="s">
        <v>1787</v>
      </c>
      <c r="D1305" t="s">
        <v>97</v>
      </c>
      <c r="E1305" t="s">
        <v>46</v>
      </c>
      <c r="F1305" t="s">
        <v>27</v>
      </c>
      <c r="G1305" t="s">
        <v>164</v>
      </c>
      <c r="H1305">
        <v>1</v>
      </c>
      <c r="I1305">
        <v>27462</v>
      </c>
      <c r="J1305">
        <v>10</v>
      </c>
      <c r="K1305">
        <v>2746.2</v>
      </c>
      <c r="L1305">
        <v>24715.8</v>
      </c>
      <c r="M1305">
        <v>17434.39</v>
      </c>
      <c r="N1305">
        <v>7281.41</v>
      </c>
      <c r="O1305" t="s">
        <v>39</v>
      </c>
      <c r="P1305">
        <v>1275.3399999999999</v>
      </c>
      <c r="Q1305" t="s">
        <v>40</v>
      </c>
      <c r="R1305" t="s">
        <v>41</v>
      </c>
      <c r="S1305">
        <v>2</v>
      </c>
      <c r="T1305">
        <v>1</v>
      </c>
      <c r="U1305" t="s">
        <v>32</v>
      </c>
      <c r="V1305" t="s">
        <v>33</v>
      </c>
      <c r="W1305">
        <v>3</v>
      </c>
    </row>
    <row r="1306" spans="1:23" x14ac:dyDescent="0.25">
      <c r="A1306" t="s">
        <v>1919</v>
      </c>
      <c r="B1306" s="1">
        <v>45838</v>
      </c>
      <c r="C1306" t="s">
        <v>1298</v>
      </c>
      <c r="D1306" t="s">
        <v>71</v>
      </c>
      <c r="E1306" t="s">
        <v>26</v>
      </c>
      <c r="F1306" t="s">
        <v>37</v>
      </c>
      <c r="G1306" t="s">
        <v>38</v>
      </c>
      <c r="H1306">
        <v>1</v>
      </c>
      <c r="I1306">
        <v>21651</v>
      </c>
      <c r="J1306">
        <v>15</v>
      </c>
      <c r="K1306">
        <v>3247.65</v>
      </c>
      <c r="L1306">
        <v>18403.349999999999</v>
      </c>
      <c r="M1306">
        <v>11079.84</v>
      </c>
      <c r="N1306">
        <v>7323.51</v>
      </c>
      <c r="O1306" t="s">
        <v>55</v>
      </c>
      <c r="P1306">
        <v>1628.06</v>
      </c>
      <c r="Q1306" t="s">
        <v>30</v>
      </c>
      <c r="R1306" t="s">
        <v>31</v>
      </c>
      <c r="S1306">
        <v>5</v>
      </c>
      <c r="T1306">
        <v>0</v>
      </c>
      <c r="U1306" t="s">
        <v>32</v>
      </c>
      <c r="V1306" t="s">
        <v>50</v>
      </c>
      <c r="W1306">
        <v>5</v>
      </c>
    </row>
    <row r="1307" spans="1:23" x14ac:dyDescent="0.25">
      <c r="A1307" t="s">
        <v>1920</v>
      </c>
      <c r="B1307" s="1">
        <v>45770</v>
      </c>
      <c r="C1307" t="s">
        <v>702</v>
      </c>
      <c r="D1307" t="s">
        <v>79</v>
      </c>
      <c r="E1307" t="s">
        <v>36</v>
      </c>
      <c r="F1307" t="s">
        <v>47</v>
      </c>
      <c r="G1307" t="s">
        <v>146</v>
      </c>
      <c r="H1307">
        <v>1</v>
      </c>
      <c r="I1307">
        <v>34340</v>
      </c>
      <c r="J1307">
        <v>0</v>
      </c>
      <c r="K1307">
        <v>0</v>
      </c>
      <c r="L1307">
        <v>34340</v>
      </c>
      <c r="M1307">
        <v>18955.689999999999</v>
      </c>
      <c r="N1307">
        <v>15384.31</v>
      </c>
      <c r="O1307" t="s">
        <v>55</v>
      </c>
      <c r="P1307">
        <v>2272</v>
      </c>
      <c r="Q1307" t="s">
        <v>30</v>
      </c>
      <c r="R1307" t="s">
        <v>41</v>
      </c>
      <c r="S1307">
        <v>2</v>
      </c>
      <c r="T1307">
        <v>1</v>
      </c>
      <c r="U1307" t="s">
        <v>32</v>
      </c>
      <c r="V1307" t="s">
        <v>33</v>
      </c>
      <c r="W1307">
        <v>3</v>
      </c>
    </row>
    <row r="1308" spans="1:23" x14ac:dyDescent="0.25">
      <c r="A1308" t="s">
        <v>1921</v>
      </c>
      <c r="B1308" s="1">
        <v>45983</v>
      </c>
      <c r="C1308" t="s">
        <v>1680</v>
      </c>
      <c r="D1308" t="s">
        <v>25</v>
      </c>
      <c r="E1308" t="s">
        <v>26</v>
      </c>
      <c r="F1308" t="s">
        <v>37</v>
      </c>
      <c r="G1308" t="s">
        <v>100</v>
      </c>
      <c r="H1308">
        <v>1</v>
      </c>
      <c r="I1308">
        <v>27492</v>
      </c>
      <c r="J1308">
        <v>20</v>
      </c>
      <c r="K1308">
        <v>5498.4</v>
      </c>
      <c r="L1308">
        <v>21993.599999999999</v>
      </c>
      <c r="M1308">
        <v>14187.14</v>
      </c>
      <c r="N1308">
        <v>7806.46</v>
      </c>
      <c r="O1308" t="s">
        <v>60</v>
      </c>
      <c r="P1308">
        <v>1191.19</v>
      </c>
      <c r="Q1308" t="s">
        <v>83</v>
      </c>
      <c r="R1308" t="s">
        <v>41</v>
      </c>
      <c r="S1308">
        <v>2</v>
      </c>
      <c r="T1308">
        <v>2</v>
      </c>
      <c r="U1308" t="s">
        <v>32</v>
      </c>
      <c r="V1308" t="s">
        <v>33</v>
      </c>
      <c r="W1308">
        <v>4</v>
      </c>
    </row>
    <row r="1309" spans="1:23" x14ac:dyDescent="0.25">
      <c r="A1309" t="s">
        <v>1922</v>
      </c>
      <c r="B1309" s="1">
        <v>45755</v>
      </c>
      <c r="C1309" t="s">
        <v>1518</v>
      </c>
      <c r="D1309" t="s">
        <v>97</v>
      </c>
      <c r="E1309" t="s">
        <v>46</v>
      </c>
      <c r="F1309" t="s">
        <v>53</v>
      </c>
      <c r="G1309" t="s">
        <v>151</v>
      </c>
      <c r="H1309">
        <v>2</v>
      </c>
      <c r="I1309">
        <v>63385</v>
      </c>
      <c r="J1309">
        <v>10</v>
      </c>
      <c r="K1309">
        <v>12677</v>
      </c>
      <c r="L1309">
        <v>114093</v>
      </c>
      <c r="M1309">
        <v>64947.28</v>
      </c>
      <c r="N1309">
        <v>49145.72</v>
      </c>
      <c r="O1309" t="s">
        <v>60</v>
      </c>
      <c r="P1309">
        <v>947.72</v>
      </c>
      <c r="Q1309" t="s">
        <v>68</v>
      </c>
      <c r="R1309" t="s">
        <v>41</v>
      </c>
      <c r="S1309">
        <v>2</v>
      </c>
      <c r="T1309">
        <v>1</v>
      </c>
      <c r="U1309" t="s">
        <v>32</v>
      </c>
      <c r="V1309" t="s">
        <v>33</v>
      </c>
      <c r="W1309">
        <v>3</v>
      </c>
    </row>
    <row r="1310" spans="1:23" x14ac:dyDescent="0.25">
      <c r="A1310" t="s">
        <v>1923</v>
      </c>
      <c r="B1310" s="1">
        <v>45975</v>
      </c>
      <c r="C1310" t="s">
        <v>496</v>
      </c>
      <c r="D1310" t="s">
        <v>63</v>
      </c>
      <c r="E1310" t="s">
        <v>26</v>
      </c>
      <c r="F1310" t="s">
        <v>47</v>
      </c>
      <c r="G1310" t="s">
        <v>48</v>
      </c>
      <c r="H1310">
        <v>2</v>
      </c>
      <c r="I1310">
        <v>26405</v>
      </c>
      <c r="J1310">
        <v>5</v>
      </c>
      <c r="K1310">
        <v>2640.5</v>
      </c>
      <c r="L1310">
        <v>50169.5</v>
      </c>
      <c r="M1310">
        <v>34762.78</v>
      </c>
      <c r="N1310">
        <v>15406.72</v>
      </c>
      <c r="O1310" t="s">
        <v>55</v>
      </c>
      <c r="P1310">
        <v>1378.88</v>
      </c>
      <c r="Q1310" t="s">
        <v>68</v>
      </c>
      <c r="R1310" t="s">
        <v>41</v>
      </c>
      <c r="S1310">
        <v>2</v>
      </c>
      <c r="T1310">
        <v>0</v>
      </c>
      <c r="U1310" t="s">
        <v>32</v>
      </c>
      <c r="V1310" t="s">
        <v>42</v>
      </c>
    </row>
    <row r="1311" spans="1:23" x14ac:dyDescent="0.25">
      <c r="A1311" t="s">
        <v>1924</v>
      </c>
      <c r="B1311" s="1">
        <v>45786</v>
      </c>
      <c r="C1311" t="s">
        <v>1281</v>
      </c>
      <c r="D1311" t="s">
        <v>79</v>
      </c>
      <c r="E1311" t="s">
        <v>46</v>
      </c>
      <c r="F1311" t="s">
        <v>86</v>
      </c>
      <c r="G1311" t="s">
        <v>127</v>
      </c>
      <c r="H1311">
        <v>1</v>
      </c>
      <c r="I1311">
        <v>45098</v>
      </c>
      <c r="J1311">
        <v>5</v>
      </c>
      <c r="K1311">
        <v>2254.9</v>
      </c>
      <c r="L1311">
        <v>42843.1</v>
      </c>
      <c r="M1311">
        <v>29494.37</v>
      </c>
      <c r="N1311">
        <v>13348.73</v>
      </c>
      <c r="O1311" t="s">
        <v>60</v>
      </c>
      <c r="P1311">
        <v>304.01</v>
      </c>
      <c r="Q1311" t="s">
        <v>73</v>
      </c>
      <c r="R1311" t="s">
        <v>31</v>
      </c>
      <c r="S1311">
        <v>5</v>
      </c>
      <c r="T1311">
        <v>5</v>
      </c>
      <c r="U1311" t="s">
        <v>32</v>
      </c>
      <c r="V1311" t="s">
        <v>33</v>
      </c>
      <c r="W1311">
        <v>2</v>
      </c>
    </row>
    <row r="1312" spans="1:23" x14ac:dyDescent="0.25">
      <c r="A1312" t="s">
        <v>1925</v>
      </c>
      <c r="B1312" s="1">
        <v>46005</v>
      </c>
      <c r="C1312" t="s">
        <v>1926</v>
      </c>
      <c r="D1312" t="s">
        <v>124</v>
      </c>
      <c r="E1312" t="s">
        <v>36</v>
      </c>
      <c r="F1312" t="s">
        <v>53</v>
      </c>
      <c r="G1312" t="s">
        <v>82</v>
      </c>
      <c r="H1312">
        <v>2</v>
      </c>
      <c r="I1312">
        <v>45435</v>
      </c>
      <c r="J1312">
        <v>15</v>
      </c>
      <c r="K1312">
        <v>13630.5</v>
      </c>
      <c r="L1312">
        <v>77239.5</v>
      </c>
      <c r="M1312">
        <v>55786.38</v>
      </c>
      <c r="N1312">
        <v>21453.119999999999</v>
      </c>
      <c r="O1312" t="s">
        <v>55</v>
      </c>
      <c r="P1312">
        <v>1315.02</v>
      </c>
      <c r="Q1312" t="s">
        <v>40</v>
      </c>
      <c r="R1312" t="s">
        <v>41</v>
      </c>
      <c r="S1312">
        <v>2</v>
      </c>
      <c r="T1312">
        <v>4</v>
      </c>
      <c r="U1312" t="s">
        <v>32</v>
      </c>
      <c r="V1312" t="s">
        <v>42</v>
      </c>
    </row>
    <row r="1313" spans="1:23" x14ac:dyDescent="0.25">
      <c r="A1313" t="s">
        <v>1927</v>
      </c>
      <c r="B1313" s="1">
        <v>45995</v>
      </c>
      <c r="C1313" t="s">
        <v>1894</v>
      </c>
      <c r="D1313" t="s">
        <v>25</v>
      </c>
      <c r="E1313" t="s">
        <v>26</v>
      </c>
      <c r="F1313" t="s">
        <v>27</v>
      </c>
      <c r="G1313" t="s">
        <v>76</v>
      </c>
      <c r="H1313">
        <v>1</v>
      </c>
      <c r="I1313">
        <v>20756</v>
      </c>
      <c r="J1313">
        <v>10</v>
      </c>
      <c r="K1313">
        <v>2075.6</v>
      </c>
      <c r="L1313">
        <v>18680.400000000001</v>
      </c>
      <c r="M1313">
        <v>11876.98</v>
      </c>
      <c r="N1313">
        <v>6803.42</v>
      </c>
      <c r="O1313" t="s">
        <v>91</v>
      </c>
      <c r="P1313">
        <v>1014.06</v>
      </c>
      <c r="Q1313" t="s">
        <v>30</v>
      </c>
      <c r="R1313" t="s">
        <v>41</v>
      </c>
      <c r="S1313">
        <v>2</v>
      </c>
      <c r="T1313">
        <v>3</v>
      </c>
      <c r="U1313" t="s">
        <v>56</v>
      </c>
      <c r="V1313" t="s">
        <v>33</v>
      </c>
      <c r="W1313">
        <v>2</v>
      </c>
    </row>
    <row r="1314" spans="1:23" x14ac:dyDescent="0.25">
      <c r="A1314" t="s">
        <v>1928</v>
      </c>
      <c r="B1314" s="1">
        <v>46006</v>
      </c>
      <c r="C1314" t="s">
        <v>1729</v>
      </c>
      <c r="D1314" t="s">
        <v>90</v>
      </c>
      <c r="E1314" t="s">
        <v>46</v>
      </c>
      <c r="F1314" t="s">
        <v>27</v>
      </c>
      <c r="G1314" t="s">
        <v>72</v>
      </c>
      <c r="H1314">
        <v>2</v>
      </c>
      <c r="I1314">
        <v>25678</v>
      </c>
      <c r="J1314">
        <v>10</v>
      </c>
      <c r="K1314">
        <v>5135.6000000000004</v>
      </c>
      <c r="L1314">
        <v>46220.4</v>
      </c>
      <c r="M1314">
        <v>32715.22</v>
      </c>
      <c r="N1314">
        <v>13505.18</v>
      </c>
      <c r="O1314" t="s">
        <v>29</v>
      </c>
      <c r="P1314">
        <v>2459.96</v>
      </c>
      <c r="Q1314" t="s">
        <v>83</v>
      </c>
      <c r="R1314" t="s">
        <v>31</v>
      </c>
      <c r="S1314">
        <v>5</v>
      </c>
      <c r="T1314">
        <v>1</v>
      </c>
      <c r="U1314" t="s">
        <v>32</v>
      </c>
      <c r="V1314" t="s">
        <v>50</v>
      </c>
      <c r="W1314">
        <v>5</v>
      </c>
    </row>
    <row r="1315" spans="1:23" x14ac:dyDescent="0.25">
      <c r="A1315" t="s">
        <v>1929</v>
      </c>
      <c r="B1315" s="1">
        <v>45728</v>
      </c>
      <c r="C1315" t="s">
        <v>756</v>
      </c>
      <c r="D1315" t="s">
        <v>63</v>
      </c>
      <c r="E1315" t="s">
        <v>26</v>
      </c>
      <c r="F1315" t="s">
        <v>47</v>
      </c>
      <c r="G1315" t="s">
        <v>64</v>
      </c>
      <c r="H1315">
        <v>2</v>
      </c>
      <c r="I1315">
        <v>22287</v>
      </c>
      <c r="J1315">
        <v>0</v>
      </c>
      <c r="K1315">
        <v>0</v>
      </c>
      <c r="L1315">
        <v>44574</v>
      </c>
      <c r="M1315">
        <v>28512.799999999999</v>
      </c>
      <c r="N1315">
        <v>16061.2</v>
      </c>
      <c r="O1315" t="s">
        <v>91</v>
      </c>
      <c r="P1315">
        <v>639.78</v>
      </c>
      <c r="Q1315" t="s">
        <v>73</v>
      </c>
      <c r="R1315" t="s">
        <v>31</v>
      </c>
      <c r="S1315">
        <v>5</v>
      </c>
      <c r="T1315">
        <v>6</v>
      </c>
      <c r="U1315" t="s">
        <v>56</v>
      </c>
      <c r="V1315" t="s">
        <v>33</v>
      </c>
      <c r="W1315">
        <v>4</v>
      </c>
    </row>
    <row r="1316" spans="1:23" x14ac:dyDescent="0.25">
      <c r="A1316" t="s">
        <v>1930</v>
      </c>
      <c r="B1316" s="1">
        <v>45979</v>
      </c>
      <c r="C1316" t="s">
        <v>1324</v>
      </c>
      <c r="D1316" t="s">
        <v>79</v>
      </c>
      <c r="E1316" t="s">
        <v>26</v>
      </c>
      <c r="F1316" t="s">
        <v>47</v>
      </c>
      <c r="G1316" t="s">
        <v>138</v>
      </c>
      <c r="H1316">
        <v>2</v>
      </c>
      <c r="I1316">
        <v>25723</v>
      </c>
      <c r="J1316">
        <v>10</v>
      </c>
      <c r="K1316">
        <v>5144.6000000000004</v>
      </c>
      <c r="L1316">
        <v>46301.4</v>
      </c>
      <c r="M1316">
        <v>33087.39</v>
      </c>
      <c r="N1316">
        <v>13214.01</v>
      </c>
      <c r="O1316" t="s">
        <v>29</v>
      </c>
      <c r="P1316">
        <v>1381.02</v>
      </c>
      <c r="Q1316" t="s">
        <v>30</v>
      </c>
      <c r="R1316" t="s">
        <v>41</v>
      </c>
      <c r="S1316">
        <v>2</v>
      </c>
      <c r="T1316">
        <v>2</v>
      </c>
      <c r="U1316" t="s">
        <v>32</v>
      </c>
      <c r="V1316" t="s">
        <v>33</v>
      </c>
      <c r="W1316">
        <v>1</v>
      </c>
    </row>
    <row r="1317" spans="1:23" x14ac:dyDescent="0.25">
      <c r="A1317" t="s">
        <v>1931</v>
      </c>
      <c r="B1317" s="1">
        <v>45707</v>
      </c>
      <c r="C1317" t="s">
        <v>35</v>
      </c>
      <c r="D1317" t="s">
        <v>124</v>
      </c>
      <c r="E1317" t="s">
        <v>26</v>
      </c>
      <c r="F1317" t="s">
        <v>86</v>
      </c>
      <c r="G1317" t="s">
        <v>110</v>
      </c>
      <c r="H1317">
        <v>2</v>
      </c>
      <c r="I1317">
        <v>47943</v>
      </c>
      <c r="J1317">
        <v>15</v>
      </c>
      <c r="K1317">
        <v>14382.9</v>
      </c>
      <c r="L1317">
        <v>81503.100000000006</v>
      </c>
      <c r="M1317">
        <v>60150.06</v>
      </c>
      <c r="N1317">
        <v>21353.040000000001</v>
      </c>
      <c r="O1317" t="s">
        <v>55</v>
      </c>
      <c r="P1317">
        <v>1166.6500000000001</v>
      </c>
      <c r="Q1317" t="s">
        <v>68</v>
      </c>
      <c r="R1317" t="s">
        <v>31</v>
      </c>
      <c r="S1317">
        <v>5</v>
      </c>
      <c r="T1317">
        <v>2</v>
      </c>
      <c r="U1317" t="s">
        <v>32</v>
      </c>
      <c r="V1317" t="s">
        <v>33</v>
      </c>
      <c r="W1317">
        <v>5</v>
      </c>
    </row>
    <row r="1318" spans="1:23" x14ac:dyDescent="0.25">
      <c r="A1318" t="s">
        <v>1932</v>
      </c>
      <c r="B1318" s="1">
        <v>45979</v>
      </c>
      <c r="C1318" t="s">
        <v>774</v>
      </c>
      <c r="D1318" t="s">
        <v>90</v>
      </c>
      <c r="E1318" t="s">
        <v>26</v>
      </c>
      <c r="F1318" t="s">
        <v>47</v>
      </c>
      <c r="G1318" t="s">
        <v>146</v>
      </c>
      <c r="H1318">
        <v>2</v>
      </c>
      <c r="I1318">
        <v>53952</v>
      </c>
      <c r="J1318">
        <v>15</v>
      </c>
      <c r="K1318">
        <v>16185.6</v>
      </c>
      <c r="L1318">
        <v>91718.399999999994</v>
      </c>
      <c r="M1318">
        <v>71213.259999999995</v>
      </c>
      <c r="N1318">
        <v>20505.14</v>
      </c>
      <c r="O1318" t="s">
        <v>49</v>
      </c>
      <c r="P1318">
        <v>432.19</v>
      </c>
      <c r="Q1318" t="s">
        <v>30</v>
      </c>
      <c r="R1318" t="s">
        <v>31</v>
      </c>
      <c r="S1318">
        <v>5</v>
      </c>
      <c r="T1318">
        <v>2</v>
      </c>
      <c r="U1318" t="s">
        <v>32</v>
      </c>
      <c r="V1318" t="s">
        <v>33</v>
      </c>
      <c r="W1318">
        <v>1</v>
      </c>
    </row>
    <row r="1319" spans="1:23" x14ac:dyDescent="0.25">
      <c r="A1319" t="s">
        <v>1933</v>
      </c>
      <c r="B1319" s="1">
        <v>45988</v>
      </c>
      <c r="C1319" t="s">
        <v>249</v>
      </c>
      <c r="D1319" t="s">
        <v>71</v>
      </c>
      <c r="E1319" t="s">
        <v>36</v>
      </c>
      <c r="F1319" t="s">
        <v>47</v>
      </c>
      <c r="G1319" t="s">
        <v>138</v>
      </c>
      <c r="H1319">
        <v>1</v>
      </c>
      <c r="I1319">
        <v>51655</v>
      </c>
      <c r="J1319">
        <v>25</v>
      </c>
      <c r="K1319">
        <v>12913.75</v>
      </c>
      <c r="L1319">
        <v>38741.25</v>
      </c>
      <c r="M1319">
        <v>30965.77</v>
      </c>
      <c r="N1319">
        <v>7775.48</v>
      </c>
      <c r="O1319" t="s">
        <v>91</v>
      </c>
      <c r="P1319">
        <v>1351.5</v>
      </c>
      <c r="Q1319" t="s">
        <v>73</v>
      </c>
      <c r="R1319" t="s">
        <v>41</v>
      </c>
      <c r="S1319">
        <v>2</v>
      </c>
      <c r="T1319">
        <v>1</v>
      </c>
      <c r="U1319" t="s">
        <v>32</v>
      </c>
      <c r="V1319" t="s">
        <v>33</v>
      </c>
      <c r="W1319">
        <v>5</v>
      </c>
    </row>
    <row r="1320" spans="1:23" x14ac:dyDescent="0.25">
      <c r="A1320" t="s">
        <v>1934</v>
      </c>
      <c r="B1320" s="1">
        <v>45678</v>
      </c>
      <c r="C1320" t="s">
        <v>434</v>
      </c>
      <c r="D1320" t="s">
        <v>25</v>
      </c>
      <c r="E1320" t="s">
        <v>46</v>
      </c>
      <c r="F1320" t="s">
        <v>47</v>
      </c>
      <c r="G1320" t="s">
        <v>105</v>
      </c>
      <c r="H1320">
        <v>2</v>
      </c>
      <c r="I1320">
        <v>8533</v>
      </c>
      <c r="J1320">
        <v>0</v>
      </c>
      <c r="K1320">
        <v>0</v>
      </c>
      <c r="L1320">
        <v>17066</v>
      </c>
      <c r="M1320">
        <v>11506.67</v>
      </c>
      <c r="N1320">
        <v>5559.33</v>
      </c>
      <c r="O1320" t="s">
        <v>29</v>
      </c>
      <c r="P1320">
        <v>1289.6400000000001</v>
      </c>
      <c r="Q1320" t="s">
        <v>30</v>
      </c>
      <c r="R1320" t="s">
        <v>31</v>
      </c>
      <c r="S1320">
        <v>5</v>
      </c>
      <c r="T1320">
        <v>3</v>
      </c>
      <c r="U1320" t="s">
        <v>32</v>
      </c>
      <c r="V1320" t="s">
        <v>33</v>
      </c>
      <c r="W1320">
        <v>5</v>
      </c>
    </row>
    <row r="1321" spans="1:23" x14ac:dyDescent="0.25">
      <c r="A1321" t="s">
        <v>1935</v>
      </c>
      <c r="B1321" s="1">
        <v>45816</v>
      </c>
      <c r="C1321" t="s">
        <v>633</v>
      </c>
      <c r="D1321" t="s">
        <v>90</v>
      </c>
      <c r="E1321" t="s">
        <v>36</v>
      </c>
      <c r="F1321" t="s">
        <v>37</v>
      </c>
      <c r="G1321" t="s">
        <v>38</v>
      </c>
      <c r="H1321">
        <v>1</v>
      </c>
      <c r="I1321">
        <v>32076</v>
      </c>
      <c r="J1321">
        <v>10</v>
      </c>
      <c r="K1321">
        <v>3207.6</v>
      </c>
      <c r="L1321">
        <v>28868.400000000001</v>
      </c>
      <c r="M1321">
        <v>22299.65</v>
      </c>
      <c r="N1321">
        <v>6568.75</v>
      </c>
      <c r="O1321" t="s">
        <v>91</v>
      </c>
      <c r="P1321">
        <v>2243.7199999999998</v>
      </c>
      <c r="Q1321" t="s">
        <v>73</v>
      </c>
      <c r="R1321" t="s">
        <v>41</v>
      </c>
      <c r="S1321">
        <v>2</v>
      </c>
      <c r="T1321">
        <v>0</v>
      </c>
      <c r="U1321" t="s">
        <v>32</v>
      </c>
      <c r="V1321" t="s">
        <v>50</v>
      </c>
      <c r="W1321">
        <v>5</v>
      </c>
    </row>
    <row r="1322" spans="1:23" x14ac:dyDescent="0.25">
      <c r="A1322" t="s">
        <v>1936</v>
      </c>
      <c r="B1322" s="1">
        <v>45883</v>
      </c>
      <c r="C1322" t="s">
        <v>898</v>
      </c>
      <c r="D1322" t="s">
        <v>25</v>
      </c>
      <c r="E1322" t="s">
        <v>46</v>
      </c>
      <c r="F1322" t="s">
        <v>27</v>
      </c>
      <c r="G1322" t="s">
        <v>113</v>
      </c>
      <c r="H1322">
        <v>2</v>
      </c>
      <c r="I1322">
        <v>13787</v>
      </c>
      <c r="J1322">
        <v>5</v>
      </c>
      <c r="K1322">
        <v>1378.7</v>
      </c>
      <c r="L1322">
        <v>26195.3</v>
      </c>
      <c r="M1322">
        <v>18604.009999999998</v>
      </c>
      <c r="N1322">
        <v>7591.29</v>
      </c>
      <c r="O1322" t="s">
        <v>49</v>
      </c>
      <c r="P1322">
        <v>253.59</v>
      </c>
      <c r="Q1322" t="s">
        <v>68</v>
      </c>
      <c r="R1322" t="s">
        <v>31</v>
      </c>
      <c r="S1322">
        <v>5</v>
      </c>
      <c r="T1322">
        <v>5</v>
      </c>
      <c r="U1322" t="s">
        <v>32</v>
      </c>
      <c r="V1322" t="s">
        <v>33</v>
      </c>
      <c r="W1322">
        <v>5</v>
      </c>
    </row>
    <row r="1323" spans="1:23" x14ac:dyDescent="0.25">
      <c r="A1323" t="s">
        <v>1937</v>
      </c>
      <c r="B1323" s="1">
        <v>45675</v>
      </c>
      <c r="C1323" t="s">
        <v>1160</v>
      </c>
      <c r="D1323" t="s">
        <v>25</v>
      </c>
      <c r="E1323" t="s">
        <v>46</v>
      </c>
      <c r="F1323" t="s">
        <v>27</v>
      </c>
      <c r="G1323" t="s">
        <v>28</v>
      </c>
      <c r="H1323">
        <v>1</v>
      </c>
      <c r="I1323">
        <v>13412</v>
      </c>
      <c r="J1323">
        <v>25</v>
      </c>
      <c r="K1323">
        <v>3353</v>
      </c>
      <c r="L1323">
        <v>10059</v>
      </c>
      <c r="M1323">
        <v>8214.61</v>
      </c>
      <c r="N1323">
        <v>1844.39</v>
      </c>
      <c r="O1323" t="s">
        <v>29</v>
      </c>
      <c r="P1323">
        <v>2101.58</v>
      </c>
      <c r="Q1323" t="s">
        <v>68</v>
      </c>
      <c r="R1323" t="s">
        <v>41</v>
      </c>
      <c r="S1323">
        <v>2</v>
      </c>
      <c r="T1323">
        <v>1</v>
      </c>
      <c r="U1323" t="s">
        <v>32</v>
      </c>
      <c r="V1323" t="s">
        <v>50</v>
      </c>
      <c r="W1323">
        <v>4</v>
      </c>
    </row>
    <row r="1324" spans="1:23" x14ac:dyDescent="0.25">
      <c r="A1324" t="s">
        <v>1938</v>
      </c>
      <c r="B1324" s="1">
        <v>45954</v>
      </c>
      <c r="C1324" t="s">
        <v>358</v>
      </c>
      <c r="D1324" t="s">
        <v>97</v>
      </c>
      <c r="E1324" t="s">
        <v>46</v>
      </c>
      <c r="F1324" t="s">
        <v>37</v>
      </c>
      <c r="G1324" t="s">
        <v>313</v>
      </c>
      <c r="H1324">
        <v>1</v>
      </c>
      <c r="I1324">
        <v>9195</v>
      </c>
      <c r="J1324">
        <v>0</v>
      </c>
      <c r="K1324">
        <v>0</v>
      </c>
      <c r="L1324">
        <v>9195</v>
      </c>
      <c r="M1324">
        <v>5647.61</v>
      </c>
      <c r="N1324">
        <v>3547.39</v>
      </c>
      <c r="O1324" t="s">
        <v>60</v>
      </c>
      <c r="P1324">
        <v>463.39</v>
      </c>
      <c r="Q1324" t="s">
        <v>40</v>
      </c>
      <c r="R1324" t="s">
        <v>31</v>
      </c>
      <c r="S1324">
        <v>5</v>
      </c>
      <c r="T1324">
        <v>4</v>
      </c>
      <c r="U1324" t="s">
        <v>32</v>
      </c>
      <c r="V1324" t="s">
        <v>33</v>
      </c>
      <c r="W1324">
        <v>2</v>
      </c>
    </row>
    <row r="1325" spans="1:23" x14ac:dyDescent="0.25">
      <c r="A1325" t="s">
        <v>1939</v>
      </c>
      <c r="B1325" s="1">
        <v>45844</v>
      </c>
      <c r="C1325" t="s">
        <v>1940</v>
      </c>
      <c r="D1325" t="s">
        <v>97</v>
      </c>
      <c r="E1325" t="s">
        <v>46</v>
      </c>
      <c r="F1325" t="s">
        <v>53</v>
      </c>
      <c r="G1325" t="s">
        <v>59</v>
      </c>
      <c r="H1325">
        <v>3</v>
      </c>
      <c r="I1325">
        <v>93808</v>
      </c>
      <c r="J1325">
        <v>0</v>
      </c>
      <c r="K1325">
        <v>0</v>
      </c>
      <c r="L1325">
        <v>281424</v>
      </c>
      <c r="M1325">
        <v>193591.78</v>
      </c>
      <c r="N1325">
        <v>87832.22</v>
      </c>
      <c r="O1325" t="s">
        <v>29</v>
      </c>
      <c r="P1325">
        <v>2103.3000000000002</v>
      </c>
      <c r="Q1325" t="s">
        <v>83</v>
      </c>
      <c r="R1325" t="s">
        <v>31</v>
      </c>
      <c r="S1325">
        <v>5</v>
      </c>
      <c r="T1325">
        <v>5</v>
      </c>
      <c r="U1325" t="s">
        <v>32</v>
      </c>
      <c r="V1325" t="s">
        <v>33</v>
      </c>
      <c r="W1325">
        <v>5</v>
      </c>
    </row>
    <row r="1326" spans="1:23" x14ac:dyDescent="0.25">
      <c r="A1326" t="s">
        <v>1941</v>
      </c>
      <c r="B1326" s="1">
        <v>45725</v>
      </c>
      <c r="C1326" t="s">
        <v>213</v>
      </c>
      <c r="D1326" t="s">
        <v>79</v>
      </c>
      <c r="E1326" t="s">
        <v>26</v>
      </c>
      <c r="F1326" t="s">
        <v>27</v>
      </c>
      <c r="G1326" t="s">
        <v>113</v>
      </c>
      <c r="H1326">
        <v>1</v>
      </c>
      <c r="I1326">
        <v>21680</v>
      </c>
      <c r="J1326">
        <v>15</v>
      </c>
      <c r="K1326">
        <v>3252</v>
      </c>
      <c r="L1326">
        <v>18428</v>
      </c>
      <c r="M1326">
        <v>12888.27</v>
      </c>
      <c r="N1326">
        <v>5539.73</v>
      </c>
      <c r="O1326" t="s">
        <v>55</v>
      </c>
      <c r="P1326">
        <v>2282.16</v>
      </c>
      <c r="Q1326" t="s">
        <v>40</v>
      </c>
      <c r="R1326" t="s">
        <v>31</v>
      </c>
      <c r="S1326">
        <v>5</v>
      </c>
      <c r="T1326">
        <v>5</v>
      </c>
      <c r="U1326" t="s">
        <v>32</v>
      </c>
      <c r="V1326" t="s">
        <v>33</v>
      </c>
      <c r="W1326">
        <v>3</v>
      </c>
    </row>
    <row r="1327" spans="1:23" x14ac:dyDescent="0.25">
      <c r="A1327" t="s">
        <v>1942</v>
      </c>
      <c r="B1327" s="1">
        <v>45704</v>
      </c>
      <c r="C1327" t="s">
        <v>595</v>
      </c>
      <c r="D1327" t="s">
        <v>90</v>
      </c>
      <c r="E1327" t="s">
        <v>26</v>
      </c>
      <c r="F1327" t="s">
        <v>27</v>
      </c>
      <c r="G1327" t="s">
        <v>72</v>
      </c>
      <c r="H1327">
        <v>1</v>
      </c>
      <c r="I1327">
        <v>20245</v>
      </c>
      <c r="J1327">
        <v>25</v>
      </c>
      <c r="K1327">
        <v>5061.25</v>
      </c>
      <c r="L1327">
        <v>15183.75</v>
      </c>
      <c r="M1327">
        <v>11560.82</v>
      </c>
      <c r="N1327">
        <v>3622.93</v>
      </c>
      <c r="O1327" t="s">
        <v>91</v>
      </c>
      <c r="P1327">
        <v>1014.92</v>
      </c>
      <c r="Q1327" t="s">
        <v>30</v>
      </c>
      <c r="R1327" t="s">
        <v>31</v>
      </c>
      <c r="S1327">
        <v>5</v>
      </c>
      <c r="T1327">
        <v>1</v>
      </c>
      <c r="U1327" t="s">
        <v>32</v>
      </c>
      <c r="V1327" t="s">
        <v>33</v>
      </c>
      <c r="W1327">
        <v>3</v>
      </c>
    </row>
    <row r="1328" spans="1:23" x14ac:dyDescent="0.25">
      <c r="A1328" t="s">
        <v>1943</v>
      </c>
      <c r="B1328" s="1">
        <v>45809</v>
      </c>
      <c r="C1328" t="s">
        <v>514</v>
      </c>
      <c r="D1328" t="s">
        <v>124</v>
      </c>
      <c r="E1328" t="s">
        <v>46</v>
      </c>
      <c r="F1328" t="s">
        <v>53</v>
      </c>
      <c r="G1328" t="s">
        <v>54</v>
      </c>
      <c r="H1328">
        <v>1</v>
      </c>
      <c r="I1328">
        <v>114564</v>
      </c>
      <c r="J1328">
        <v>10</v>
      </c>
      <c r="K1328">
        <v>11456.4</v>
      </c>
      <c r="L1328">
        <v>103107.6</v>
      </c>
      <c r="M1328">
        <v>66181.8</v>
      </c>
      <c r="N1328">
        <v>36925.800000000003</v>
      </c>
      <c r="O1328" t="s">
        <v>49</v>
      </c>
      <c r="P1328">
        <v>354.25</v>
      </c>
      <c r="Q1328" t="s">
        <v>83</v>
      </c>
      <c r="R1328" t="s">
        <v>41</v>
      </c>
      <c r="S1328">
        <v>2</v>
      </c>
      <c r="T1328">
        <v>1</v>
      </c>
      <c r="U1328" t="s">
        <v>32</v>
      </c>
      <c r="V1328" t="s">
        <v>33</v>
      </c>
      <c r="W1328">
        <v>4</v>
      </c>
    </row>
    <row r="1329" spans="1:23" x14ac:dyDescent="0.25">
      <c r="A1329" t="s">
        <v>1944</v>
      </c>
      <c r="B1329" s="1">
        <v>45825</v>
      </c>
      <c r="C1329" t="s">
        <v>1386</v>
      </c>
      <c r="D1329" t="s">
        <v>97</v>
      </c>
      <c r="E1329" t="s">
        <v>26</v>
      </c>
      <c r="F1329" t="s">
        <v>86</v>
      </c>
      <c r="G1329" t="s">
        <v>87</v>
      </c>
      <c r="H1329">
        <v>2</v>
      </c>
      <c r="I1329">
        <v>73708</v>
      </c>
      <c r="J1329">
        <v>10</v>
      </c>
      <c r="K1329">
        <v>14741.6</v>
      </c>
      <c r="L1329">
        <v>132674.4</v>
      </c>
      <c r="M1329">
        <v>74572.61</v>
      </c>
      <c r="N1329">
        <v>58101.79</v>
      </c>
      <c r="O1329" t="s">
        <v>60</v>
      </c>
      <c r="P1329">
        <v>2435.27</v>
      </c>
      <c r="Q1329" t="s">
        <v>73</v>
      </c>
      <c r="R1329" t="s">
        <v>31</v>
      </c>
      <c r="S1329">
        <v>5</v>
      </c>
      <c r="T1329">
        <v>4</v>
      </c>
      <c r="U1329" t="s">
        <v>32</v>
      </c>
      <c r="V1329" t="s">
        <v>33</v>
      </c>
      <c r="W1329">
        <v>1</v>
      </c>
    </row>
    <row r="1330" spans="1:23" x14ac:dyDescent="0.25">
      <c r="A1330" t="s">
        <v>1945</v>
      </c>
      <c r="B1330" s="1">
        <v>45870</v>
      </c>
      <c r="C1330" t="s">
        <v>480</v>
      </c>
      <c r="D1330" t="s">
        <v>90</v>
      </c>
      <c r="E1330" t="s">
        <v>36</v>
      </c>
      <c r="F1330" t="s">
        <v>53</v>
      </c>
      <c r="G1330" t="s">
        <v>59</v>
      </c>
      <c r="H1330">
        <v>1</v>
      </c>
      <c r="I1330">
        <v>28973</v>
      </c>
      <c r="J1330">
        <v>15</v>
      </c>
      <c r="K1330">
        <v>4345.95</v>
      </c>
      <c r="L1330">
        <v>24627.05</v>
      </c>
      <c r="M1330">
        <v>17107.27</v>
      </c>
      <c r="N1330">
        <v>7519.78</v>
      </c>
      <c r="O1330" t="s">
        <v>49</v>
      </c>
      <c r="P1330">
        <v>332.5</v>
      </c>
      <c r="Q1330" t="s">
        <v>30</v>
      </c>
      <c r="R1330" t="s">
        <v>31</v>
      </c>
      <c r="S1330">
        <v>5</v>
      </c>
      <c r="T1330">
        <v>2</v>
      </c>
      <c r="U1330" t="s">
        <v>32</v>
      </c>
      <c r="V1330" t="s">
        <v>33</v>
      </c>
      <c r="W1330">
        <v>3</v>
      </c>
    </row>
    <row r="1331" spans="1:23" x14ac:dyDescent="0.25">
      <c r="A1331" t="s">
        <v>1946</v>
      </c>
      <c r="B1331" s="1">
        <v>45747</v>
      </c>
      <c r="C1331" t="s">
        <v>958</v>
      </c>
      <c r="D1331" t="s">
        <v>90</v>
      </c>
      <c r="E1331" t="s">
        <v>26</v>
      </c>
      <c r="F1331" t="s">
        <v>37</v>
      </c>
      <c r="G1331" t="s">
        <v>38</v>
      </c>
      <c r="H1331">
        <v>3</v>
      </c>
      <c r="I1331">
        <v>7502</v>
      </c>
      <c r="J1331">
        <v>0</v>
      </c>
      <c r="K1331">
        <v>0</v>
      </c>
      <c r="L1331">
        <v>22506</v>
      </c>
      <c r="M1331">
        <v>13788.81</v>
      </c>
      <c r="N1331">
        <v>8717.19</v>
      </c>
      <c r="O1331" t="s">
        <v>29</v>
      </c>
      <c r="P1331">
        <v>1180.6099999999999</v>
      </c>
      <c r="Q1331" t="s">
        <v>73</v>
      </c>
      <c r="R1331" t="s">
        <v>41</v>
      </c>
      <c r="S1331">
        <v>2</v>
      </c>
      <c r="T1331">
        <v>3</v>
      </c>
      <c r="U1331" t="s">
        <v>56</v>
      </c>
      <c r="V1331" t="s">
        <v>33</v>
      </c>
      <c r="W1331">
        <v>3</v>
      </c>
    </row>
    <row r="1332" spans="1:23" x14ac:dyDescent="0.25">
      <c r="A1332" t="s">
        <v>1947</v>
      </c>
      <c r="B1332" s="1">
        <v>45760</v>
      </c>
      <c r="C1332" t="s">
        <v>362</v>
      </c>
      <c r="D1332" t="s">
        <v>45</v>
      </c>
      <c r="E1332" t="s">
        <v>46</v>
      </c>
      <c r="F1332" t="s">
        <v>86</v>
      </c>
      <c r="G1332" t="s">
        <v>127</v>
      </c>
      <c r="H1332">
        <v>2</v>
      </c>
      <c r="I1332">
        <v>62003</v>
      </c>
      <c r="J1332">
        <v>0</v>
      </c>
      <c r="K1332">
        <v>0</v>
      </c>
      <c r="L1332">
        <v>124006</v>
      </c>
      <c r="M1332">
        <v>82667.570000000007</v>
      </c>
      <c r="N1332">
        <v>41338.43</v>
      </c>
      <c r="O1332" t="s">
        <v>39</v>
      </c>
      <c r="P1332">
        <v>702.85</v>
      </c>
      <c r="Q1332" t="s">
        <v>30</v>
      </c>
      <c r="R1332" t="s">
        <v>41</v>
      </c>
      <c r="S1332">
        <v>2</v>
      </c>
      <c r="T1332">
        <v>5</v>
      </c>
      <c r="U1332" t="s">
        <v>56</v>
      </c>
      <c r="V1332" t="s">
        <v>33</v>
      </c>
      <c r="W1332">
        <v>4</v>
      </c>
    </row>
    <row r="1333" spans="1:23" x14ac:dyDescent="0.25">
      <c r="A1333" t="s">
        <v>1948</v>
      </c>
      <c r="B1333" s="1">
        <v>45725</v>
      </c>
      <c r="C1333" t="s">
        <v>1891</v>
      </c>
      <c r="D1333" t="s">
        <v>25</v>
      </c>
      <c r="E1333" t="s">
        <v>36</v>
      </c>
      <c r="F1333" t="s">
        <v>37</v>
      </c>
      <c r="G1333" t="s">
        <v>161</v>
      </c>
      <c r="H1333">
        <v>1</v>
      </c>
      <c r="I1333">
        <v>13653</v>
      </c>
      <c r="J1333">
        <v>20</v>
      </c>
      <c r="K1333">
        <v>2730.6</v>
      </c>
      <c r="L1333">
        <v>10922.4</v>
      </c>
      <c r="M1333">
        <v>6695.99</v>
      </c>
      <c r="N1333">
        <v>4226.41</v>
      </c>
      <c r="O1333" t="s">
        <v>29</v>
      </c>
      <c r="P1333">
        <v>1980.25</v>
      </c>
      <c r="Q1333" t="s">
        <v>68</v>
      </c>
      <c r="R1333" t="s">
        <v>41</v>
      </c>
      <c r="S1333">
        <v>2</v>
      </c>
      <c r="T1333">
        <v>4</v>
      </c>
      <c r="U1333" t="s">
        <v>32</v>
      </c>
      <c r="V1333" t="s">
        <v>42</v>
      </c>
    </row>
    <row r="1334" spans="1:23" x14ac:dyDescent="0.25">
      <c r="A1334" t="s">
        <v>1949</v>
      </c>
      <c r="B1334" s="1">
        <v>45934</v>
      </c>
      <c r="C1334" t="s">
        <v>1023</v>
      </c>
      <c r="D1334" t="s">
        <v>79</v>
      </c>
      <c r="E1334" t="s">
        <v>26</v>
      </c>
      <c r="F1334" t="s">
        <v>53</v>
      </c>
      <c r="G1334" t="s">
        <v>268</v>
      </c>
      <c r="H1334">
        <v>3</v>
      </c>
      <c r="I1334">
        <v>95755</v>
      </c>
      <c r="J1334">
        <v>0</v>
      </c>
      <c r="K1334">
        <v>0</v>
      </c>
      <c r="L1334">
        <v>287265</v>
      </c>
      <c r="M1334">
        <v>181270.88</v>
      </c>
      <c r="N1334">
        <v>105994.12</v>
      </c>
      <c r="O1334" t="s">
        <v>39</v>
      </c>
      <c r="P1334">
        <v>1464.98</v>
      </c>
      <c r="Q1334" t="s">
        <v>73</v>
      </c>
      <c r="R1334" t="s">
        <v>41</v>
      </c>
      <c r="S1334">
        <v>2</v>
      </c>
      <c r="T1334">
        <v>1</v>
      </c>
      <c r="U1334" t="s">
        <v>32</v>
      </c>
      <c r="V1334" t="s">
        <v>33</v>
      </c>
      <c r="W1334">
        <v>1</v>
      </c>
    </row>
    <row r="1335" spans="1:23" x14ac:dyDescent="0.25">
      <c r="A1335" t="s">
        <v>1950</v>
      </c>
      <c r="B1335" s="1">
        <v>45845</v>
      </c>
      <c r="C1335" t="s">
        <v>945</v>
      </c>
      <c r="D1335" t="s">
        <v>71</v>
      </c>
      <c r="E1335" t="s">
        <v>46</v>
      </c>
      <c r="F1335" t="s">
        <v>37</v>
      </c>
      <c r="G1335" t="s">
        <v>161</v>
      </c>
      <c r="H1335">
        <v>1</v>
      </c>
      <c r="I1335">
        <v>29185</v>
      </c>
      <c r="J1335">
        <v>20</v>
      </c>
      <c r="K1335">
        <v>5837</v>
      </c>
      <c r="L1335">
        <v>23348</v>
      </c>
      <c r="M1335">
        <v>17311.03</v>
      </c>
      <c r="N1335">
        <v>6036.97</v>
      </c>
      <c r="O1335" t="s">
        <v>60</v>
      </c>
      <c r="P1335">
        <v>481.36</v>
      </c>
      <c r="Q1335" t="s">
        <v>40</v>
      </c>
      <c r="R1335" t="s">
        <v>31</v>
      </c>
      <c r="S1335">
        <v>5</v>
      </c>
      <c r="T1335">
        <v>7</v>
      </c>
      <c r="U1335" t="s">
        <v>56</v>
      </c>
      <c r="V1335" t="s">
        <v>33</v>
      </c>
      <c r="W1335">
        <v>5</v>
      </c>
    </row>
    <row r="1336" spans="1:23" x14ac:dyDescent="0.25">
      <c r="A1336" t="s">
        <v>1951</v>
      </c>
      <c r="B1336" s="1">
        <v>45929</v>
      </c>
      <c r="C1336" t="s">
        <v>1952</v>
      </c>
      <c r="D1336" t="s">
        <v>79</v>
      </c>
      <c r="E1336" t="s">
        <v>26</v>
      </c>
      <c r="F1336" t="s">
        <v>86</v>
      </c>
      <c r="G1336" t="s">
        <v>110</v>
      </c>
      <c r="H1336">
        <v>2</v>
      </c>
      <c r="I1336">
        <v>61665</v>
      </c>
      <c r="J1336">
        <v>0</v>
      </c>
      <c r="K1336">
        <v>0</v>
      </c>
      <c r="L1336">
        <v>123330</v>
      </c>
      <c r="M1336">
        <v>79042.31</v>
      </c>
      <c r="N1336">
        <v>44287.69</v>
      </c>
      <c r="O1336" t="s">
        <v>49</v>
      </c>
      <c r="P1336">
        <v>281.13</v>
      </c>
      <c r="Q1336" t="s">
        <v>83</v>
      </c>
      <c r="R1336" t="s">
        <v>31</v>
      </c>
      <c r="S1336">
        <v>5</v>
      </c>
      <c r="T1336">
        <v>5</v>
      </c>
      <c r="U1336" t="s">
        <v>32</v>
      </c>
      <c r="V1336" t="s">
        <v>33</v>
      </c>
      <c r="W1336">
        <v>1</v>
      </c>
    </row>
    <row r="1337" spans="1:23" x14ac:dyDescent="0.25">
      <c r="A1337" t="s">
        <v>1953</v>
      </c>
      <c r="B1337" s="1">
        <v>45914</v>
      </c>
      <c r="C1337" t="s">
        <v>1954</v>
      </c>
      <c r="D1337" t="s">
        <v>79</v>
      </c>
      <c r="E1337" t="s">
        <v>36</v>
      </c>
      <c r="F1337" t="s">
        <v>27</v>
      </c>
      <c r="G1337" t="s">
        <v>28</v>
      </c>
      <c r="H1337">
        <v>1</v>
      </c>
      <c r="I1337">
        <v>12460</v>
      </c>
      <c r="J1337">
        <v>15</v>
      </c>
      <c r="K1337">
        <v>1869</v>
      </c>
      <c r="L1337">
        <v>10591</v>
      </c>
      <c r="M1337">
        <v>7824.03</v>
      </c>
      <c r="N1337">
        <v>2766.97</v>
      </c>
      <c r="O1337" t="s">
        <v>49</v>
      </c>
      <c r="P1337">
        <v>303.10000000000002</v>
      </c>
      <c r="Q1337" t="s">
        <v>30</v>
      </c>
      <c r="R1337" t="s">
        <v>41</v>
      </c>
      <c r="S1337">
        <v>2</v>
      </c>
      <c r="T1337">
        <v>1</v>
      </c>
      <c r="U1337" t="s">
        <v>32</v>
      </c>
      <c r="V1337" t="s">
        <v>33</v>
      </c>
      <c r="W1337">
        <v>5</v>
      </c>
    </row>
    <row r="1338" spans="1:23" x14ac:dyDescent="0.25">
      <c r="A1338" t="s">
        <v>1955</v>
      </c>
      <c r="B1338" s="1">
        <v>45797</v>
      </c>
      <c r="C1338" t="s">
        <v>286</v>
      </c>
      <c r="D1338" t="s">
        <v>154</v>
      </c>
      <c r="E1338" t="s">
        <v>36</v>
      </c>
      <c r="F1338" t="s">
        <v>27</v>
      </c>
      <c r="G1338" t="s">
        <v>72</v>
      </c>
      <c r="H1338">
        <v>3</v>
      </c>
      <c r="I1338">
        <v>25272</v>
      </c>
      <c r="J1338">
        <v>5</v>
      </c>
      <c r="K1338">
        <v>3790.8</v>
      </c>
      <c r="L1338">
        <v>72025.2</v>
      </c>
      <c r="M1338">
        <v>54600.55</v>
      </c>
      <c r="N1338">
        <v>17424.650000000001</v>
      </c>
      <c r="O1338" t="s">
        <v>29</v>
      </c>
      <c r="P1338">
        <v>2412.0100000000002</v>
      </c>
      <c r="Q1338" t="s">
        <v>73</v>
      </c>
      <c r="R1338" t="s">
        <v>31</v>
      </c>
      <c r="S1338">
        <v>5</v>
      </c>
      <c r="T1338">
        <v>3</v>
      </c>
      <c r="U1338" t="s">
        <v>32</v>
      </c>
      <c r="V1338" t="s">
        <v>33</v>
      </c>
      <c r="W1338">
        <v>4</v>
      </c>
    </row>
    <row r="1339" spans="1:23" x14ac:dyDescent="0.25">
      <c r="A1339" t="s">
        <v>1956</v>
      </c>
      <c r="B1339" s="1">
        <v>45742</v>
      </c>
      <c r="C1339" t="s">
        <v>199</v>
      </c>
      <c r="D1339" t="s">
        <v>71</v>
      </c>
      <c r="E1339" t="s">
        <v>36</v>
      </c>
      <c r="F1339" t="s">
        <v>53</v>
      </c>
      <c r="G1339" t="s">
        <v>82</v>
      </c>
      <c r="H1339">
        <v>1</v>
      </c>
      <c r="I1339">
        <v>33721</v>
      </c>
      <c r="J1339">
        <v>0</v>
      </c>
      <c r="K1339">
        <v>0</v>
      </c>
      <c r="L1339">
        <v>33721</v>
      </c>
      <c r="M1339">
        <v>24007.38</v>
      </c>
      <c r="N1339">
        <v>9713.6200000000008</v>
      </c>
      <c r="O1339" t="s">
        <v>49</v>
      </c>
      <c r="P1339">
        <v>245.98</v>
      </c>
      <c r="Q1339" t="s">
        <v>83</v>
      </c>
      <c r="R1339" t="s">
        <v>41</v>
      </c>
      <c r="S1339">
        <v>2</v>
      </c>
      <c r="T1339">
        <v>1</v>
      </c>
      <c r="U1339" t="s">
        <v>32</v>
      </c>
      <c r="V1339" t="s">
        <v>33</v>
      </c>
      <c r="W1339">
        <v>4</v>
      </c>
    </row>
    <row r="1340" spans="1:23" x14ac:dyDescent="0.25">
      <c r="A1340" t="s">
        <v>1957</v>
      </c>
      <c r="B1340" s="1">
        <v>45789</v>
      </c>
      <c r="C1340" t="s">
        <v>123</v>
      </c>
      <c r="D1340" t="s">
        <v>71</v>
      </c>
      <c r="E1340" t="s">
        <v>46</v>
      </c>
      <c r="F1340" t="s">
        <v>53</v>
      </c>
      <c r="G1340" t="s">
        <v>268</v>
      </c>
      <c r="H1340">
        <v>2</v>
      </c>
      <c r="I1340">
        <v>13203</v>
      </c>
      <c r="J1340">
        <v>10</v>
      </c>
      <c r="K1340">
        <v>2640.6</v>
      </c>
      <c r="L1340">
        <v>23765.4</v>
      </c>
      <c r="M1340">
        <v>17008.990000000002</v>
      </c>
      <c r="N1340">
        <v>6756.41</v>
      </c>
      <c r="O1340" t="s">
        <v>91</v>
      </c>
      <c r="P1340">
        <v>2269.1799999999998</v>
      </c>
      <c r="Q1340" t="s">
        <v>68</v>
      </c>
      <c r="R1340" t="s">
        <v>31</v>
      </c>
      <c r="S1340">
        <v>5</v>
      </c>
      <c r="T1340">
        <v>0</v>
      </c>
      <c r="U1340" t="s">
        <v>32</v>
      </c>
      <c r="V1340" t="s">
        <v>42</v>
      </c>
    </row>
    <row r="1341" spans="1:23" x14ac:dyDescent="0.25">
      <c r="A1341" t="s">
        <v>1958</v>
      </c>
      <c r="B1341" s="1">
        <v>45904</v>
      </c>
      <c r="C1341" t="s">
        <v>1421</v>
      </c>
      <c r="D1341" t="s">
        <v>124</v>
      </c>
      <c r="E1341" t="s">
        <v>26</v>
      </c>
      <c r="F1341" t="s">
        <v>27</v>
      </c>
      <c r="G1341" t="s">
        <v>113</v>
      </c>
      <c r="H1341">
        <v>2</v>
      </c>
      <c r="I1341">
        <v>18322</v>
      </c>
      <c r="J1341">
        <v>10</v>
      </c>
      <c r="K1341">
        <v>3664.4</v>
      </c>
      <c r="L1341">
        <v>32979.599999999999</v>
      </c>
      <c r="M1341">
        <v>19471.96</v>
      </c>
      <c r="N1341">
        <v>13507.64</v>
      </c>
      <c r="O1341" t="s">
        <v>60</v>
      </c>
      <c r="P1341">
        <v>1128.29</v>
      </c>
      <c r="Q1341" t="s">
        <v>73</v>
      </c>
      <c r="R1341" t="s">
        <v>41</v>
      </c>
      <c r="S1341">
        <v>2</v>
      </c>
      <c r="T1341">
        <v>2</v>
      </c>
      <c r="U1341" t="s">
        <v>32</v>
      </c>
      <c r="V1341" t="s">
        <v>33</v>
      </c>
      <c r="W1341">
        <v>5</v>
      </c>
    </row>
    <row r="1342" spans="1:23" x14ac:dyDescent="0.25">
      <c r="A1342" t="s">
        <v>1959</v>
      </c>
      <c r="B1342" s="1">
        <v>45809</v>
      </c>
      <c r="C1342" t="s">
        <v>274</v>
      </c>
      <c r="D1342" t="s">
        <v>124</v>
      </c>
      <c r="E1342" t="s">
        <v>26</v>
      </c>
      <c r="F1342" t="s">
        <v>86</v>
      </c>
      <c r="G1342" t="s">
        <v>180</v>
      </c>
      <c r="H1342">
        <v>1</v>
      </c>
      <c r="I1342">
        <v>57832</v>
      </c>
      <c r="J1342">
        <v>10</v>
      </c>
      <c r="K1342">
        <v>5783.2</v>
      </c>
      <c r="L1342">
        <v>52048.800000000003</v>
      </c>
      <c r="M1342">
        <v>30595.87</v>
      </c>
      <c r="N1342">
        <v>21452.93</v>
      </c>
      <c r="O1342" t="s">
        <v>91</v>
      </c>
      <c r="P1342">
        <v>1464.05</v>
      </c>
      <c r="Q1342" t="s">
        <v>68</v>
      </c>
      <c r="R1342" t="s">
        <v>31</v>
      </c>
      <c r="S1342">
        <v>5</v>
      </c>
      <c r="T1342">
        <v>5</v>
      </c>
      <c r="U1342" t="s">
        <v>32</v>
      </c>
      <c r="V1342" t="s">
        <v>33</v>
      </c>
      <c r="W1342">
        <v>1</v>
      </c>
    </row>
    <row r="1343" spans="1:23" x14ac:dyDescent="0.25">
      <c r="A1343" t="s">
        <v>1960</v>
      </c>
      <c r="B1343" s="1">
        <v>45831</v>
      </c>
      <c r="C1343" t="s">
        <v>1961</v>
      </c>
      <c r="D1343" t="s">
        <v>124</v>
      </c>
      <c r="E1343" t="s">
        <v>26</v>
      </c>
      <c r="F1343" t="s">
        <v>27</v>
      </c>
      <c r="G1343" t="s">
        <v>76</v>
      </c>
      <c r="H1343">
        <v>2</v>
      </c>
      <c r="I1343">
        <v>23565</v>
      </c>
      <c r="J1343">
        <v>10</v>
      </c>
      <c r="K1343">
        <v>4713</v>
      </c>
      <c r="L1343">
        <v>42417</v>
      </c>
      <c r="M1343">
        <v>30002.18</v>
      </c>
      <c r="N1343">
        <v>12414.82</v>
      </c>
      <c r="O1343" t="s">
        <v>55</v>
      </c>
      <c r="P1343">
        <v>1776.21</v>
      </c>
      <c r="Q1343" t="s">
        <v>30</v>
      </c>
      <c r="R1343" t="s">
        <v>31</v>
      </c>
      <c r="S1343">
        <v>5</v>
      </c>
      <c r="T1343">
        <v>5</v>
      </c>
      <c r="U1343" t="s">
        <v>32</v>
      </c>
      <c r="V1343" t="s">
        <v>33</v>
      </c>
      <c r="W1343">
        <v>4</v>
      </c>
    </row>
    <row r="1344" spans="1:23" x14ac:dyDescent="0.25">
      <c r="A1344" t="s">
        <v>1962</v>
      </c>
      <c r="B1344" s="1">
        <v>45716</v>
      </c>
      <c r="C1344" t="s">
        <v>150</v>
      </c>
      <c r="D1344" t="s">
        <v>45</v>
      </c>
      <c r="E1344" t="s">
        <v>46</v>
      </c>
      <c r="F1344" t="s">
        <v>86</v>
      </c>
      <c r="G1344" t="s">
        <v>180</v>
      </c>
      <c r="H1344">
        <v>3</v>
      </c>
      <c r="I1344">
        <v>48385</v>
      </c>
      <c r="J1344">
        <v>10</v>
      </c>
      <c r="K1344">
        <v>14515.5</v>
      </c>
      <c r="L1344">
        <v>130639.5</v>
      </c>
      <c r="M1344">
        <v>83959.95</v>
      </c>
      <c r="N1344">
        <v>46679.55</v>
      </c>
      <c r="O1344" t="s">
        <v>55</v>
      </c>
      <c r="P1344">
        <v>2427.65</v>
      </c>
      <c r="Q1344" t="s">
        <v>73</v>
      </c>
      <c r="R1344" t="s">
        <v>31</v>
      </c>
      <c r="S1344">
        <v>5</v>
      </c>
      <c r="T1344">
        <v>6</v>
      </c>
      <c r="U1344" t="s">
        <v>32</v>
      </c>
      <c r="V1344" t="s">
        <v>50</v>
      </c>
      <c r="W1344">
        <v>5</v>
      </c>
    </row>
    <row r="1345" spans="1:23" x14ac:dyDescent="0.25">
      <c r="A1345" t="s">
        <v>1963</v>
      </c>
      <c r="B1345" s="1">
        <v>45897</v>
      </c>
      <c r="C1345" t="s">
        <v>1558</v>
      </c>
      <c r="D1345" t="s">
        <v>67</v>
      </c>
      <c r="E1345" t="s">
        <v>46</v>
      </c>
      <c r="F1345" t="s">
        <v>86</v>
      </c>
      <c r="G1345" t="s">
        <v>110</v>
      </c>
      <c r="H1345">
        <v>3</v>
      </c>
      <c r="I1345">
        <v>6104</v>
      </c>
      <c r="J1345">
        <v>5</v>
      </c>
      <c r="K1345">
        <v>915.6</v>
      </c>
      <c r="L1345">
        <v>17396.400000000001</v>
      </c>
      <c r="M1345">
        <v>14061.68</v>
      </c>
      <c r="N1345">
        <v>3334.72</v>
      </c>
      <c r="O1345" t="s">
        <v>91</v>
      </c>
      <c r="P1345">
        <v>834.78</v>
      </c>
      <c r="Q1345" t="s">
        <v>83</v>
      </c>
      <c r="R1345" t="s">
        <v>41</v>
      </c>
      <c r="S1345">
        <v>2</v>
      </c>
      <c r="T1345">
        <v>4</v>
      </c>
      <c r="U1345" t="s">
        <v>56</v>
      </c>
      <c r="V1345" t="s">
        <v>33</v>
      </c>
      <c r="W1345">
        <v>3</v>
      </c>
    </row>
    <row r="1346" spans="1:23" x14ac:dyDescent="0.25">
      <c r="A1346" t="s">
        <v>1964</v>
      </c>
      <c r="B1346" s="1">
        <v>45696</v>
      </c>
      <c r="C1346" t="s">
        <v>717</v>
      </c>
      <c r="D1346" t="s">
        <v>45</v>
      </c>
      <c r="E1346" t="s">
        <v>46</v>
      </c>
      <c r="F1346" t="s">
        <v>86</v>
      </c>
      <c r="G1346" t="s">
        <v>127</v>
      </c>
      <c r="H1346">
        <v>1</v>
      </c>
      <c r="I1346">
        <v>83117</v>
      </c>
      <c r="J1346">
        <v>25</v>
      </c>
      <c r="K1346">
        <v>20779.25</v>
      </c>
      <c r="L1346">
        <v>62337.75</v>
      </c>
      <c r="M1346">
        <v>42138.47</v>
      </c>
      <c r="N1346">
        <v>20199.28</v>
      </c>
      <c r="O1346" t="s">
        <v>91</v>
      </c>
      <c r="P1346">
        <v>508.23</v>
      </c>
      <c r="Q1346" t="s">
        <v>83</v>
      </c>
      <c r="R1346" t="s">
        <v>31</v>
      </c>
      <c r="S1346">
        <v>5</v>
      </c>
      <c r="T1346">
        <v>6</v>
      </c>
      <c r="U1346" t="s">
        <v>56</v>
      </c>
      <c r="V1346" t="s">
        <v>33</v>
      </c>
      <c r="W1346">
        <v>1</v>
      </c>
    </row>
    <row r="1347" spans="1:23" x14ac:dyDescent="0.25">
      <c r="A1347" t="s">
        <v>1965</v>
      </c>
      <c r="B1347" s="1">
        <v>45730</v>
      </c>
      <c r="C1347" t="s">
        <v>945</v>
      </c>
      <c r="D1347" t="s">
        <v>25</v>
      </c>
      <c r="E1347" t="s">
        <v>46</v>
      </c>
      <c r="F1347" t="s">
        <v>86</v>
      </c>
      <c r="G1347" t="s">
        <v>180</v>
      </c>
      <c r="H1347">
        <v>1</v>
      </c>
      <c r="I1347">
        <v>18420</v>
      </c>
      <c r="J1347">
        <v>0</v>
      </c>
      <c r="K1347">
        <v>0</v>
      </c>
      <c r="L1347">
        <v>18420</v>
      </c>
      <c r="M1347">
        <v>13604.25</v>
      </c>
      <c r="N1347">
        <v>4815.75</v>
      </c>
      <c r="O1347" t="s">
        <v>39</v>
      </c>
      <c r="P1347">
        <v>429.78</v>
      </c>
      <c r="Q1347" t="s">
        <v>40</v>
      </c>
      <c r="R1347" t="s">
        <v>31</v>
      </c>
      <c r="S1347">
        <v>5</v>
      </c>
      <c r="T1347">
        <v>2</v>
      </c>
      <c r="U1347" t="s">
        <v>32</v>
      </c>
      <c r="V1347" t="s">
        <v>33</v>
      </c>
      <c r="W1347">
        <v>1</v>
      </c>
    </row>
    <row r="1348" spans="1:23" x14ac:dyDescent="0.25">
      <c r="A1348" t="s">
        <v>1966</v>
      </c>
      <c r="B1348" s="1">
        <v>45773</v>
      </c>
      <c r="C1348" t="s">
        <v>758</v>
      </c>
      <c r="D1348" t="s">
        <v>63</v>
      </c>
      <c r="E1348" t="s">
        <v>26</v>
      </c>
      <c r="F1348" t="s">
        <v>27</v>
      </c>
      <c r="G1348" t="s">
        <v>76</v>
      </c>
      <c r="H1348">
        <v>1</v>
      </c>
      <c r="I1348">
        <v>17692</v>
      </c>
      <c r="J1348">
        <v>25</v>
      </c>
      <c r="K1348">
        <v>4423</v>
      </c>
      <c r="L1348">
        <v>13269</v>
      </c>
      <c r="M1348">
        <v>8775.9699999999993</v>
      </c>
      <c r="N1348">
        <v>4493.03</v>
      </c>
      <c r="O1348" t="s">
        <v>91</v>
      </c>
      <c r="P1348">
        <v>1317.54</v>
      </c>
      <c r="Q1348" t="s">
        <v>40</v>
      </c>
      <c r="R1348" t="s">
        <v>31</v>
      </c>
      <c r="S1348">
        <v>5</v>
      </c>
      <c r="T1348">
        <v>6</v>
      </c>
      <c r="U1348" t="s">
        <v>32</v>
      </c>
      <c r="V1348" t="s">
        <v>50</v>
      </c>
      <c r="W1348">
        <v>1</v>
      </c>
    </row>
    <row r="1349" spans="1:23" x14ac:dyDescent="0.25">
      <c r="A1349" t="s">
        <v>1967</v>
      </c>
      <c r="B1349" s="1">
        <v>46004</v>
      </c>
      <c r="C1349" t="s">
        <v>792</v>
      </c>
      <c r="D1349" t="s">
        <v>79</v>
      </c>
      <c r="E1349" t="s">
        <v>26</v>
      </c>
      <c r="F1349" t="s">
        <v>53</v>
      </c>
      <c r="G1349" t="s">
        <v>82</v>
      </c>
      <c r="H1349">
        <v>1</v>
      </c>
      <c r="I1349">
        <v>77747</v>
      </c>
      <c r="J1349">
        <v>10</v>
      </c>
      <c r="K1349">
        <v>7774.7</v>
      </c>
      <c r="L1349">
        <v>69972.3</v>
      </c>
      <c r="M1349">
        <v>52861.71</v>
      </c>
      <c r="N1349">
        <v>17110.59</v>
      </c>
      <c r="O1349" t="s">
        <v>55</v>
      </c>
      <c r="P1349">
        <v>1460.21</v>
      </c>
      <c r="Q1349" t="s">
        <v>83</v>
      </c>
      <c r="R1349" t="s">
        <v>41</v>
      </c>
      <c r="S1349">
        <v>2</v>
      </c>
      <c r="T1349">
        <v>3</v>
      </c>
      <c r="U1349" t="s">
        <v>56</v>
      </c>
      <c r="V1349" t="s">
        <v>33</v>
      </c>
      <c r="W1349">
        <v>5</v>
      </c>
    </row>
    <row r="1350" spans="1:23" x14ac:dyDescent="0.25">
      <c r="A1350" t="s">
        <v>1968</v>
      </c>
      <c r="B1350" s="1">
        <v>46003</v>
      </c>
      <c r="C1350" t="s">
        <v>766</v>
      </c>
      <c r="D1350" t="s">
        <v>124</v>
      </c>
      <c r="E1350" t="s">
        <v>36</v>
      </c>
      <c r="F1350" t="s">
        <v>47</v>
      </c>
      <c r="G1350" t="s">
        <v>105</v>
      </c>
      <c r="H1350">
        <v>2</v>
      </c>
      <c r="I1350">
        <v>24254</v>
      </c>
      <c r="J1350">
        <v>0</v>
      </c>
      <c r="K1350">
        <v>0</v>
      </c>
      <c r="L1350">
        <v>48508</v>
      </c>
      <c r="M1350">
        <v>31973.85</v>
      </c>
      <c r="N1350">
        <v>16534.150000000001</v>
      </c>
      <c r="O1350" t="s">
        <v>91</v>
      </c>
      <c r="P1350">
        <v>324.73</v>
      </c>
      <c r="Q1350" t="s">
        <v>40</v>
      </c>
      <c r="R1350" t="s">
        <v>31</v>
      </c>
      <c r="S1350">
        <v>5</v>
      </c>
      <c r="T1350">
        <v>2</v>
      </c>
      <c r="U1350" t="s">
        <v>32</v>
      </c>
      <c r="V1350" t="s">
        <v>33</v>
      </c>
      <c r="W1350">
        <v>2</v>
      </c>
    </row>
    <row r="1351" spans="1:23" x14ac:dyDescent="0.25">
      <c r="A1351" t="s">
        <v>1969</v>
      </c>
      <c r="B1351" s="1">
        <v>45861</v>
      </c>
      <c r="C1351" t="s">
        <v>259</v>
      </c>
      <c r="D1351" t="s">
        <v>90</v>
      </c>
      <c r="E1351" t="s">
        <v>46</v>
      </c>
      <c r="F1351" t="s">
        <v>27</v>
      </c>
      <c r="G1351" t="s">
        <v>72</v>
      </c>
      <c r="H1351">
        <v>2</v>
      </c>
      <c r="I1351">
        <v>6640</v>
      </c>
      <c r="J1351">
        <v>0</v>
      </c>
      <c r="K1351">
        <v>0</v>
      </c>
      <c r="L1351">
        <v>13280</v>
      </c>
      <c r="M1351">
        <v>7401.92</v>
      </c>
      <c r="N1351">
        <v>5878.08</v>
      </c>
      <c r="O1351" t="s">
        <v>49</v>
      </c>
      <c r="P1351">
        <v>96.39</v>
      </c>
      <c r="Q1351" t="s">
        <v>83</v>
      </c>
      <c r="R1351" t="s">
        <v>41</v>
      </c>
      <c r="S1351">
        <v>2</v>
      </c>
      <c r="T1351">
        <v>1</v>
      </c>
      <c r="U1351" t="s">
        <v>32</v>
      </c>
      <c r="V1351" t="s">
        <v>33</v>
      </c>
      <c r="W1351">
        <v>1</v>
      </c>
    </row>
    <row r="1352" spans="1:23" x14ac:dyDescent="0.25">
      <c r="A1352" t="s">
        <v>1970</v>
      </c>
      <c r="B1352" s="1">
        <v>45943</v>
      </c>
      <c r="C1352" t="s">
        <v>1177</v>
      </c>
      <c r="D1352" t="s">
        <v>154</v>
      </c>
      <c r="E1352" t="s">
        <v>46</v>
      </c>
      <c r="F1352" t="s">
        <v>86</v>
      </c>
      <c r="G1352" t="s">
        <v>94</v>
      </c>
      <c r="H1352">
        <v>3</v>
      </c>
      <c r="I1352">
        <v>32975</v>
      </c>
      <c r="J1352">
        <v>0</v>
      </c>
      <c r="K1352">
        <v>0</v>
      </c>
      <c r="L1352">
        <v>98925</v>
      </c>
      <c r="M1352">
        <v>57846.96</v>
      </c>
      <c r="N1352">
        <v>41078.04</v>
      </c>
      <c r="O1352" t="s">
        <v>55</v>
      </c>
      <c r="P1352">
        <v>272.47000000000003</v>
      </c>
      <c r="Q1352" t="s">
        <v>73</v>
      </c>
      <c r="R1352" t="s">
        <v>41</v>
      </c>
      <c r="S1352">
        <v>2</v>
      </c>
      <c r="T1352">
        <v>1</v>
      </c>
      <c r="U1352" t="s">
        <v>32</v>
      </c>
      <c r="V1352" t="s">
        <v>33</v>
      </c>
      <c r="W1352">
        <v>1</v>
      </c>
    </row>
    <row r="1353" spans="1:23" x14ac:dyDescent="0.25">
      <c r="A1353" t="s">
        <v>1971</v>
      </c>
      <c r="B1353" s="1">
        <v>45845</v>
      </c>
      <c r="C1353" t="s">
        <v>1972</v>
      </c>
      <c r="D1353" t="s">
        <v>154</v>
      </c>
      <c r="E1353" t="s">
        <v>46</v>
      </c>
      <c r="F1353" t="s">
        <v>47</v>
      </c>
      <c r="G1353" t="s">
        <v>64</v>
      </c>
      <c r="H1353">
        <v>1</v>
      </c>
      <c r="I1353">
        <v>49927</v>
      </c>
      <c r="J1353">
        <v>0</v>
      </c>
      <c r="K1353">
        <v>0</v>
      </c>
      <c r="L1353">
        <v>49927</v>
      </c>
      <c r="M1353">
        <v>28994.87</v>
      </c>
      <c r="N1353">
        <v>20932.13</v>
      </c>
      <c r="O1353" t="s">
        <v>49</v>
      </c>
      <c r="P1353">
        <v>188.04</v>
      </c>
      <c r="Q1353" t="s">
        <v>68</v>
      </c>
      <c r="R1353" t="s">
        <v>41</v>
      </c>
      <c r="S1353">
        <v>2</v>
      </c>
      <c r="T1353">
        <v>1</v>
      </c>
      <c r="U1353" t="s">
        <v>32</v>
      </c>
      <c r="V1353" t="s">
        <v>33</v>
      </c>
      <c r="W1353">
        <v>5</v>
      </c>
    </row>
    <row r="1354" spans="1:23" x14ac:dyDescent="0.25">
      <c r="A1354" t="s">
        <v>1973</v>
      </c>
      <c r="B1354" s="1">
        <v>45704</v>
      </c>
      <c r="C1354" t="s">
        <v>533</v>
      </c>
      <c r="D1354" t="s">
        <v>124</v>
      </c>
      <c r="E1354" t="s">
        <v>46</v>
      </c>
      <c r="F1354" t="s">
        <v>37</v>
      </c>
      <c r="G1354" t="s">
        <v>224</v>
      </c>
      <c r="H1354">
        <v>1</v>
      </c>
      <c r="I1354">
        <v>19942</v>
      </c>
      <c r="J1354">
        <v>10</v>
      </c>
      <c r="K1354">
        <v>1994.2</v>
      </c>
      <c r="L1354">
        <v>17947.8</v>
      </c>
      <c r="M1354">
        <v>11497.26</v>
      </c>
      <c r="N1354">
        <v>6450.54</v>
      </c>
      <c r="O1354" t="s">
        <v>49</v>
      </c>
      <c r="P1354">
        <v>106.81</v>
      </c>
      <c r="Q1354" t="s">
        <v>73</v>
      </c>
      <c r="R1354" t="s">
        <v>41</v>
      </c>
      <c r="S1354">
        <v>2</v>
      </c>
      <c r="T1354">
        <v>3</v>
      </c>
      <c r="U1354" t="s">
        <v>56</v>
      </c>
      <c r="V1354" t="s">
        <v>33</v>
      </c>
      <c r="W1354">
        <v>3</v>
      </c>
    </row>
    <row r="1355" spans="1:23" x14ac:dyDescent="0.25">
      <c r="A1355" t="s">
        <v>1974</v>
      </c>
      <c r="B1355" s="1">
        <v>45860</v>
      </c>
      <c r="C1355" t="s">
        <v>1975</v>
      </c>
      <c r="D1355" t="s">
        <v>63</v>
      </c>
      <c r="E1355" t="s">
        <v>26</v>
      </c>
      <c r="F1355" t="s">
        <v>47</v>
      </c>
      <c r="G1355" t="s">
        <v>64</v>
      </c>
      <c r="H1355">
        <v>1</v>
      </c>
      <c r="I1355">
        <v>18354</v>
      </c>
      <c r="J1355">
        <v>15</v>
      </c>
      <c r="K1355">
        <v>2753.1</v>
      </c>
      <c r="L1355">
        <v>15600.9</v>
      </c>
      <c r="M1355">
        <v>10389.23</v>
      </c>
      <c r="N1355">
        <v>5211.67</v>
      </c>
      <c r="O1355" t="s">
        <v>39</v>
      </c>
      <c r="P1355">
        <v>325.37</v>
      </c>
      <c r="Q1355" t="s">
        <v>40</v>
      </c>
      <c r="R1355" t="s">
        <v>31</v>
      </c>
      <c r="S1355">
        <v>5</v>
      </c>
      <c r="T1355">
        <v>6</v>
      </c>
      <c r="U1355" t="s">
        <v>56</v>
      </c>
      <c r="V1355" t="s">
        <v>33</v>
      </c>
    </row>
    <row r="1356" spans="1:23" x14ac:dyDescent="0.25">
      <c r="A1356" t="s">
        <v>1976</v>
      </c>
      <c r="B1356" s="1">
        <v>45665</v>
      </c>
      <c r="C1356" t="s">
        <v>1977</v>
      </c>
      <c r="D1356" t="s">
        <v>67</v>
      </c>
      <c r="E1356" t="s">
        <v>26</v>
      </c>
      <c r="F1356" t="s">
        <v>86</v>
      </c>
      <c r="G1356" t="s">
        <v>87</v>
      </c>
      <c r="H1356">
        <v>2</v>
      </c>
      <c r="I1356">
        <v>42271</v>
      </c>
      <c r="J1356">
        <v>0</v>
      </c>
      <c r="K1356">
        <v>0</v>
      </c>
      <c r="L1356">
        <v>84542</v>
      </c>
      <c r="M1356">
        <v>60692.21</v>
      </c>
      <c r="N1356">
        <v>23849.79</v>
      </c>
      <c r="O1356" t="s">
        <v>49</v>
      </c>
      <c r="P1356">
        <v>425.68</v>
      </c>
      <c r="Q1356" t="s">
        <v>83</v>
      </c>
      <c r="R1356" t="s">
        <v>41</v>
      </c>
      <c r="S1356">
        <v>2</v>
      </c>
      <c r="T1356">
        <v>1</v>
      </c>
      <c r="U1356" t="s">
        <v>32</v>
      </c>
      <c r="V1356" t="s">
        <v>33</v>
      </c>
      <c r="W1356">
        <v>4</v>
      </c>
    </row>
    <row r="1357" spans="1:23" x14ac:dyDescent="0.25">
      <c r="A1357" t="s">
        <v>1978</v>
      </c>
      <c r="B1357" s="1">
        <v>45793</v>
      </c>
      <c r="C1357" t="s">
        <v>606</v>
      </c>
      <c r="D1357" t="s">
        <v>71</v>
      </c>
      <c r="E1357" t="s">
        <v>36</v>
      </c>
      <c r="F1357" t="s">
        <v>86</v>
      </c>
      <c r="G1357" t="s">
        <v>87</v>
      </c>
      <c r="H1357">
        <v>2</v>
      </c>
      <c r="I1357">
        <v>69953</v>
      </c>
      <c r="J1357">
        <v>0</v>
      </c>
      <c r="K1357">
        <v>0</v>
      </c>
      <c r="L1357">
        <v>139906</v>
      </c>
      <c r="M1357">
        <v>90914.78</v>
      </c>
      <c r="N1357">
        <v>48991.22</v>
      </c>
      <c r="O1357" t="s">
        <v>39</v>
      </c>
      <c r="P1357">
        <v>2307.08</v>
      </c>
      <c r="Q1357" t="s">
        <v>30</v>
      </c>
      <c r="R1357" t="s">
        <v>31</v>
      </c>
      <c r="S1357">
        <v>5</v>
      </c>
      <c r="T1357">
        <v>1</v>
      </c>
      <c r="U1357" t="s">
        <v>32</v>
      </c>
      <c r="V1357" t="s">
        <v>33</v>
      </c>
      <c r="W1357">
        <v>5</v>
      </c>
    </row>
    <row r="1358" spans="1:23" x14ac:dyDescent="0.25">
      <c r="A1358" t="s">
        <v>1979</v>
      </c>
      <c r="B1358" s="1">
        <v>45932</v>
      </c>
      <c r="C1358" t="s">
        <v>1291</v>
      </c>
      <c r="D1358" t="s">
        <v>67</v>
      </c>
      <c r="E1358" t="s">
        <v>46</v>
      </c>
      <c r="F1358" t="s">
        <v>86</v>
      </c>
      <c r="G1358" t="s">
        <v>180</v>
      </c>
      <c r="H1358">
        <v>1</v>
      </c>
      <c r="I1358">
        <v>54610</v>
      </c>
      <c r="J1358">
        <v>20</v>
      </c>
      <c r="K1358">
        <v>10922</v>
      </c>
      <c r="L1358">
        <v>43688</v>
      </c>
      <c r="M1358">
        <v>33199.07</v>
      </c>
      <c r="N1358">
        <v>10488.93</v>
      </c>
      <c r="O1358" t="s">
        <v>39</v>
      </c>
      <c r="P1358">
        <v>1855.26</v>
      </c>
      <c r="Q1358" t="s">
        <v>68</v>
      </c>
      <c r="R1358" t="s">
        <v>41</v>
      </c>
      <c r="S1358">
        <v>2</v>
      </c>
      <c r="T1358">
        <v>1</v>
      </c>
      <c r="U1358" t="s">
        <v>32</v>
      </c>
      <c r="V1358" t="s">
        <v>33</v>
      </c>
      <c r="W1358">
        <v>4</v>
      </c>
    </row>
    <row r="1359" spans="1:23" x14ac:dyDescent="0.25">
      <c r="A1359" t="s">
        <v>1980</v>
      </c>
      <c r="B1359" s="1">
        <v>45721</v>
      </c>
      <c r="C1359" t="s">
        <v>1981</v>
      </c>
      <c r="D1359" t="s">
        <v>45</v>
      </c>
      <c r="E1359" t="s">
        <v>26</v>
      </c>
      <c r="F1359" t="s">
        <v>86</v>
      </c>
      <c r="G1359" t="s">
        <v>87</v>
      </c>
      <c r="H1359">
        <v>3</v>
      </c>
      <c r="I1359">
        <v>81574</v>
      </c>
      <c r="J1359">
        <v>5</v>
      </c>
      <c r="K1359">
        <v>12236.1</v>
      </c>
      <c r="L1359">
        <v>232485.9</v>
      </c>
      <c r="M1359">
        <v>137540.03</v>
      </c>
      <c r="N1359">
        <v>94945.87</v>
      </c>
      <c r="O1359" t="s">
        <v>49</v>
      </c>
      <c r="P1359">
        <v>465.7</v>
      </c>
      <c r="Q1359" t="s">
        <v>68</v>
      </c>
      <c r="R1359" t="s">
        <v>41</v>
      </c>
      <c r="S1359">
        <v>2</v>
      </c>
      <c r="T1359">
        <v>2</v>
      </c>
      <c r="U1359" t="s">
        <v>32</v>
      </c>
      <c r="V1359" t="s">
        <v>33</v>
      </c>
      <c r="W1359">
        <v>4</v>
      </c>
    </row>
    <row r="1360" spans="1:23" x14ac:dyDescent="0.25">
      <c r="A1360" t="s">
        <v>1982</v>
      </c>
      <c r="B1360" s="1">
        <v>45890</v>
      </c>
      <c r="C1360" t="s">
        <v>772</v>
      </c>
      <c r="D1360" t="s">
        <v>67</v>
      </c>
      <c r="E1360" t="s">
        <v>46</v>
      </c>
      <c r="F1360" t="s">
        <v>86</v>
      </c>
      <c r="G1360" t="s">
        <v>180</v>
      </c>
      <c r="H1360">
        <v>1</v>
      </c>
      <c r="I1360">
        <v>60833</v>
      </c>
      <c r="J1360">
        <v>5</v>
      </c>
      <c r="K1360">
        <v>3041.65</v>
      </c>
      <c r="L1360">
        <v>57791.35</v>
      </c>
      <c r="M1360">
        <v>36840.54</v>
      </c>
      <c r="N1360">
        <v>20950.810000000001</v>
      </c>
      <c r="O1360" t="s">
        <v>55</v>
      </c>
      <c r="P1360">
        <v>1461.62</v>
      </c>
      <c r="Q1360" t="s">
        <v>40</v>
      </c>
      <c r="R1360" t="s">
        <v>41</v>
      </c>
      <c r="S1360">
        <v>2</v>
      </c>
      <c r="T1360">
        <v>1</v>
      </c>
      <c r="U1360" t="s">
        <v>32</v>
      </c>
      <c r="V1360" t="s">
        <v>33</v>
      </c>
      <c r="W1360">
        <v>4</v>
      </c>
    </row>
    <row r="1361" spans="1:23" x14ac:dyDescent="0.25">
      <c r="A1361" t="s">
        <v>1983</v>
      </c>
      <c r="B1361" s="1">
        <v>45846</v>
      </c>
      <c r="C1361" t="s">
        <v>239</v>
      </c>
      <c r="D1361" t="s">
        <v>90</v>
      </c>
      <c r="E1361" t="s">
        <v>26</v>
      </c>
      <c r="F1361" t="s">
        <v>27</v>
      </c>
      <c r="G1361" t="s">
        <v>76</v>
      </c>
      <c r="H1361">
        <v>1</v>
      </c>
      <c r="I1361">
        <v>22030</v>
      </c>
      <c r="J1361">
        <v>5</v>
      </c>
      <c r="K1361">
        <v>1101.5</v>
      </c>
      <c r="L1361">
        <v>20928.5</v>
      </c>
      <c r="M1361">
        <v>14991</v>
      </c>
      <c r="N1361">
        <v>5937.5</v>
      </c>
      <c r="O1361" t="s">
        <v>60</v>
      </c>
      <c r="P1361">
        <v>421.22</v>
      </c>
      <c r="Q1361" t="s">
        <v>68</v>
      </c>
      <c r="R1361" t="s">
        <v>31</v>
      </c>
      <c r="S1361">
        <v>5</v>
      </c>
      <c r="T1361">
        <v>3</v>
      </c>
      <c r="U1361" t="s">
        <v>32</v>
      </c>
      <c r="V1361" t="s">
        <v>42</v>
      </c>
    </row>
    <row r="1362" spans="1:23" x14ac:dyDescent="0.25">
      <c r="A1362" t="s">
        <v>1984</v>
      </c>
      <c r="B1362" s="1">
        <v>46002</v>
      </c>
      <c r="C1362" t="s">
        <v>742</v>
      </c>
      <c r="D1362" t="s">
        <v>71</v>
      </c>
      <c r="E1362" t="s">
        <v>26</v>
      </c>
      <c r="F1362" t="s">
        <v>37</v>
      </c>
      <c r="G1362" t="s">
        <v>224</v>
      </c>
      <c r="H1362">
        <v>2</v>
      </c>
      <c r="I1362">
        <v>36578</v>
      </c>
      <c r="J1362">
        <v>5</v>
      </c>
      <c r="K1362">
        <v>3657.8</v>
      </c>
      <c r="L1362">
        <v>69498.2</v>
      </c>
      <c r="M1362">
        <v>47118.09</v>
      </c>
      <c r="N1362">
        <v>22380.11</v>
      </c>
      <c r="O1362" t="s">
        <v>29</v>
      </c>
      <c r="P1362">
        <v>1789.61</v>
      </c>
      <c r="Q1362" t="s">
        <v>83</v>
      </c>
      <c r="R1362" t="s">
        <v>31</v>
      </c>
      <c r="S1362">
        <v>5</v>
      </c>
      <c r="T1362">
        <v>4</v>
      </c>
      <c r="U1362" t="s">
        <v>32</v>
      </c>
      <c r="V1362" t="s">
        <v>33</v>
      </c>
      <c r="W1362">
        <v>4</v>
      </c>
    </row>
    <row r="1363" spans="1:23" x14ac:dyDescent="0.25">
      <c r="A1363" t="s">
        <v>1985</v>
      </c>
      <c r="B1363" s="1">
        <v>46002</v>
      </c>
      <c r="C1363" t="s">
        <v>223</v>
      </c>
      <c r="D1363" t="s">
        <v>45</v>
      </c>
      <c r="E1363" t="s">
        <v>36</v>
      </c>
      <c r="F1363" t="s">
        <v>53</v>
      </c>
      <c r="G1363" t="s">
        <v>59</v>
      </c>
      <c r="H1363">
        <v>3</v>
      </c>
      <c r="I1363">
        <v>102268</v>
      </c>
      <c r="J1363">
        <v>10</v>
      </c>
      <c r="K1363">
        <v>30680.400000000001</v>
      </c>
      <c r="L1363">
        <v>276123.59999999998</v>
      </c>
      <c r="M1363">
        <v>194649.75</v>
      </c>
      <c r="N1363">
        <v>81473.850000000006</v>
      </c>
      <c r="O1363" t="s">
        <v>60</v>
      </c>
      <c r="P1363">
        <v>2451.81</v>
      </c>
      <c r="Q1363" t="s">
        <v>30</v>
      </c>
      <c r="R1363" t="s">
        <v>31</v>
      </c>
      <c r="S1363">
        <v>5</v>
      </c>
      <c r="T1363">
        <v>6</v>
      </c>
      <c r="U1363" t="s">
        <v>56</v>
      </c>
      <c r="V1363" t="s">
        <v>33</v>
      </c>
      <c r="W1363">
        <v>1</v>
      </c>
    </row>
    <row r="1364" spans="1:23" x14ac:dyDescent="0.25">
      <c r="A1364" t="s">
        <v>1986</v>
      </c>
      <c r="B1364" s="1">
        <v>45792</v>
      </c>
      <c r="C1364" t="s">
        <v>226</v>
      </c>
      <c r="D1364" t="s">
        <v>67</v>
      </c>
      <c r="E1364" t="s">
        <v>46</v>
      </c>
      <c r="F1364" t="s">
        <v>47</v>
      </c>
      <c r="G1364" t="s">
        <v>64</v>
      </c>
      <c r="H1364">
        <v>2</v>
      </c>
      <c r="I1364">
        <v>16447</v>
      </c>
      <c r="J1364">
        <v>15</v>
      </c>
      <c r="K1364">
        <v>4934.1000000000004</v>
      </c>
      <c r="L1364">
        <v>27959.9</v>
      </c>
      <c r="M1364">
        <v>21737.73</v>
      </c>
      <c r="N1364">
        <v>6222.17</v>
      </c>
      <c r="O1364" t="s">
        <v>60</v>
      </c>
      <c r="P1364">
        <v>1132.56</v>
      </c>
      <c r="Q1364" t="s">
        <v>68</v>
      </c>
      <c r="R1364" t="s">
        <v>41</v>
      </c>
      <c r="S1364">
        <v>2</v>
      </c>
      <c r="T1364">
        <v>2</v>
      </c>
      <c r="U1364" t="s">
        <v>32</v>
      </c>
      <c r="V1364" t="s">
        <v>33</v>
      </c>
      <c r="W1364">
        <v>5</v>
      </c>
    </row>
    <row r="1365" spans="1:23" x14ac:dyDescent="0.25">
      <c r="A1365" t="s">
        <v>1987</v>
      </c>
      <c r="B1365" s="1">
        <v>45957</v>
      </c>
      <c r="C1365" t="s">
        <v>1483</v>
      </c>
      <c r="D1365" t="s">
        <v>154</v>
      </c>
      <c r="E1365" t="s">
        <v>36</v>
      </c>
      <c r="F1365" t="s">
        <v>37</v>
      </c>
      <c r="G1365" t="s">
        <v>224</v>
      </c>
      <c r="H1365">
        <v>3</v>
      </c>
      <c r="I1365">
        <v>18105</v>
      </c>
      <c r="J1365">
        <v>15</v>
      </c>
      <c r="K1365">
        <v>8147.25</v>
      </c>
      <c r="L1365">
        <v>46167.75</v>
      </c>
      <c r="M1365">
        <v>35622.019999999997</v>
      </c>
      <c r="N1365">
        <v>10545.73</v>
      </c>
      <c r="O1365" t="s">
        <v>49</v>
      </c>
      <c r="P1365">
        <v>99.43</v>
      </c>
      <c r="Q1365" t="s">
        <v>30</v>
      </c>
      <c r="R1365" t="s">
        <v>31</v>
      </c>
      <c r="S1365">
        <v>5</v>
      </c>
      <c r="T1365">
        <v>3</v>
      </c>
      <c r="U1365" t="s">
        <v>32</v>
      </c>
      <c r="V1365" t="s">
        <v>33</v>
      </c>
      <c r="W1365">
        <v>5</v>
      </c>
    </row>
    <row r="1366" spans="1:23" x14ac:dyDescent="0.25">
      <c r="A1366" t="s">
        <v>1988</v>
      </c>
      <c r="B1366" s="1">
        <v>45853</v>
      </c>
      <c r="C1366" t="s">
        <v>1989</v>
      </c>
      <c r="D1366" t="s">
        <v>67</v>
      </c>
      <c r="E1366" t="s">
        <v>26</v>
      </c>
      <c r="F1366" t="s">
        <v>27</v>
      </c>
      <c r="G1366" t="s">
        <v>72</v>
      </c>
      <c r="H1366">
        <v>1</v>
      </c>
      <c r="I1366">
        <v>25845</v>
      </c>
      <c r="J1366">
        <v>5</v>
      </c>
      <c r="K1366">
        <v>1292.25</v>
      </c>
      <c r="L1366">
        <v>24552.75</v>
      </c>
      <c r="M1366">
        <v>15682.62</v>
      </c>
      <c r="N1366">
        <v>8870.1299999999992</v>
      </c>
      <c r="O1366" t="s">
        <v>55</v>
      </c>
      <c r="P1366">
        <v>441.22</v>
      </c>
      <c r="Q1366" t="s">
        <v>30</v>
      </c>
      <c r="R1366" t="s">
        <v>31</v>
      </c>
      <c r="S1366">
        <v>5</v>
      </c>
      <c r="T1366">
        <v>0</v>
      </c>
      <c r="U1366" t="s">
        <v>32</v>
      </c>
      <c r="V1366" t="s">
        <v>42</v>
      </c>
    </row>
    <row r="1367" spans="1:23" x14ac:dyDescent="0.25">
      <c r="A1367" t="s">
        <v>1990</v>
      </c>
      <c r="B1367" s="1">
        <v>45984</v>
      </c>
      <c r="C1367" t="s">
        <v>1326</v>
      </c>
      <c r="D1367" t="s">
        <v>45</v>
      </c>
      <c r="E1367" t="s">
        <v>46</v>
      </c>
      <c r="F1367" t="s">
        <v>53</v>
      </c>
      <c r="G1367" t="s">
        <v>268</v>
      </c>
      <c r="H1367">
        <v>2</v>
      </c>
      <c r="I1367">
        <v>41361</v>
      </c>
      <c r="J1367">
        <v>0</v>
      </c>
      <c r="K1367">
        <v>0</v>
      </c>
      <c r="L1367">
        <v>82722</v>
      </c>
      <c r="M1367">
        <v>49845.43</v>
      </c>
      <c r="N1367">
        <v>32876.57</v>
      </c>
      <c r="O1367" t="s">
        <v>55</v>
      </c>
      <c r="P1367">
        <v>695.52</v>
      </c>
      <c r="Q1367" t="s">
        <v>30</v>
      </c>
      <c r="R1367" t="s">
        <v>41</v>
      </c>
      <c r="S1367">
        <v>2</v>
      </c>
      <c r="T1367">
        <v>1</v>
      </c>
      <c r="U1367" t="s">
        <v>32</v>
      </c>
      <c r="V1367" t="s">
        <v>33</v>
      </c>
      <c r="W1367">
        <v>3</v>
      </c>
    </row>
    <row r="1368" spans="1:23" x14ac:dyDescent="0.25">
      <c r="A1368" t="s">
        <v>1991</v>
      </c>
      <c r="B1368" s="1">
        <v>45848</v>
      </c>
      <c r="C1368" t="s">
        <v>402</v>
      </c>
      <c r="D1368" t="s">
        <v>97</v>
      </c>
      <c r="E1368" t="s">
        <v>46</v>
      </c>
      <c r="F1368" t="s">
        <v>27</v>
      </c>
      <c r="G1368" t="s">
        <v>76</v>
      </c>
      <c r="H1368">
        <v>2</v>
      </c>
      <c r="I1368">
        <v>6403</v>
      </c>
      <c r="J1368">
        <v>0</v>
      </c>
      <c r="K1368">
        <v>0</v>
      </c>
      <c r="L1368">
        <v>12806</v>
      </c>
      <c r="M1368">
        <v>10034.06</v>
      </c>
      <c r="N1368">
        <v>2771.94</v>
      </c>
      <c r="O1368" t="s">
        <v>55</v>
      </c>
      <c r="P1368">
        <v>370</v>
      </c>
      <c r="Q1368" t="s">
        <v>73</v>
      </c>
      <c r="R1368" t="s">
        <v>31</v>
      </c>
      <c r="S1368">
        <v>5</v>
      </c>
      <c r="T1368">
        <v>4</v>
      </c>
      <c r="U1368" t="s">
        <v>32</v>
      </c>
      <c r="V1368" t="s">
        <v>33</v>
      </c>
      <c r="W1368">
        <v>1</v>
      </c>
    </row>
    <row r="1369" spans="1:23" x14ac:dyDescent="0.25">
      <c r="A1369" t="s">
        <v>1992</v>
      </c>
      <c r="B1369" s="1">
        <v>45713</v>
      </c>
      <c r="C1369" t="s">
        <v>85</v>
      </c>
      <c r="D1369" t="s">
        <v>71</v>
      </c>
      <c r="E1369" t="s">
        <v>36</v>
      </c>
      <c r="F1369" t="s">
        <v>37</v>
      </c>
      <c r="G1369" t="s">
        <v>224</v>
      </c>
      <c r="H1369">
        <v>2</v>
      </c>
      <c r="I1369">
        <v>5632</v>
      </c>
      <c r="J1369">
        <v>0</v>
      </c>
      <c r="K1369">
        <v>0</v>
      </c>
      <c r="L1369">
        <v>11264</v>
      </c>
      <c r="M1369">
        <v>8775.49</v>
      </c>
      <c r="N1369">
        <v>2488.5100000000002</v>
      </c>
      <c r="O1369" t="s">
        <v>55</v>
      </c>
      <c r="P1369">
        <v>1418.16</v>
      </c>
      <c r="Q1369" t="s">
        <v>30</v>
      </c>
      <c r="R1369" t="s">
        <v>31</v>
      </c>
      <c r="S1369">
        <v>5</v>
      </c>
      <c r="T1369">
        <v>0</v>
      </c>
      <c r="U1369" t="s">
        <v>32</v>
      </c>
      <c r="V1369" t="s">
        <v>50</v>
      </c>
      <c r="W1369">
        <v>2</v>
      </c>
    </row>
    <row r="1370" spans="1:23" x14ac:dyDescent="0.25">
      <c r="A1370" t="s">
        <v>1993</v>
      </c>
      <c r="B1370" s="1">
        <v>46003</v>
      </c>
      <c r="C1370" t="s">
        <v>425</v>
      </c>
      <c r="D1370" t="s">
        <v>97</v>
      </c>
      <c r="E1370" t="s">
        <v>26</v>
      </c>
      <c r="F1370" t="s">
        <v>27</v>
      </c>
      <c r="G1370" t="s">
        <v>164</v>
      </c>
      <c r="H1370">
        <v>1</v>
      </c>
      <c r="I1370">
        <v>11575</v>
      </c>
      <c r="J1370">
        <v>0</v>
      </c>
      <c r="K1370">
        <v>0</v>
      </c>
      <c r="L1370">
        <v>11575</v>
      </c>
      <c r="M1370">
        <v>6747.51</v>
      </c>
      <c r="N1370">
        <v>4827.49</v>
      </c>
      <c r="O1370" t="s">
        <v>55</v>
      </c>
      <c r="P1370">
        <v>2259.23</v>
      </c>
      <c r="Q1370" t="s">
        <v>73</v>
      </c>
      <c r="R1370" t="s">
        <v>41</v>
      </c>
      <c r="S1370">
        <v>2</v>
      </c>
      <c r="T1370">
        <v>1</v>
      </c>
      <c r="U1370" t="s">
        <v>32</v>
      </c>
      <c r="V1370" t="s">
        <v>33</v>
      </c>
      <c r="W1370">
        <v>5</v>
      </c>
    </row>
    <row r="1371" spans="1:23" x14ac:dyDescent="0.25">
      <c r="A1371" t="s">
        <v>1994</v>
      </c>
      <c r="B1371" s="1">
        <v>45777</v>
      </c>
      <c r="C1371" t="s">
        <v>415</v>
      </c>
      <c r="D1371" t="s">
        <v>154</v>
      </c>
      <c r="E1371" t="s">
        <v>46</v>
      </c>
      <c r="F1371" t="s">
        <v>86</v>
      </c>
      <c r="G1371" t="s">
        <v>110</v>
      </c>
      <c r="H1371">
        <v>1</v>
      </c>
      <c r="I1371">
        <v>68659</v>
      </c>
      <c r="J1371">
        <v>20</v>
      </c>
      <c r="K1371">
        <v>13731.8</v>
      </c>
      <c r="L1371">
        <v>54927.199999999997</v>
      </c>
      <c r="M1371">
        <v>42627.9</v>
      </c>
      <c r="N1371">
        <v>12299.3</v>
      </c>
      <c r="O1371" t="s">
        <v>55</v>
      </c>
      <c r="P1371">
        <v>2317.8000000000002</v>
      </c>
      <c r="Q1371" t="s">
        <v>30</v>
      </c>
      <c r="R1371" t="s">
        <v>31</v>
      </c>
      <c r="S1371">
        <v>5</v>
      </c>
      <c r="T1371">
        <v>1</v>
      </c>
      <c r="U1371" t="s">
        <v>32</v>
      </c>
      <c r="V1371" t="s">
        <v>42</v>
      </c>
    </row>
    <row r="1372" spans="1:23" x14ac:dyDescent="0.25">
      <c r="A1372" t="s">
        <v>1995</v>
      </c>
      <c r="B1372" s="1">
        <v>45899</v>
      </c>
      <c r="C1372" t="s">
        <v>1154</v>
      </c>
      <c r="D1372" t="s">
        <v>67</v>
      </c>
      <c r="E1372" t="s">
        <v>36</v>
      </c>
      <c r="F1372" t="s">
        <v>53</v>
      </c>
      <c r="G1372" t="s">
        <v>151</v>
      </c>
      <c r="H1372">
        <v>3</v>
      </c>
      <c r="I1372">
        <v>112640</v>
      </c>
      <c r="J1372">
        <v>0</v>
      </c>
      <c r="K1372">
        <v>0</v>
      </c>
      <c r="L1372">
        <v>337920</v>
      </c>
      <c r="M1372">
        <v>239044.96</v>
      </c>
      <c r="N1372">
        <v>98875.04</v>
      </c>
      <c r="O1372" t="s">
        <v>55</v>
      </c>
      <c r="P1372">
        <v>897.95</v>
      </c>
      <c r="Q1372" t="s">
        <v>30</v>
      </c>
      <c r="R1372" t="s">
        <v>31</v>
      </c>
      <c r="S1372">
        <v>5</v>
      </c>
      <c r="T1372">
        <v>4</v>
      </c>
      <c r="U1372" t="s">
        <v>32</v>
      </c>
      <c r="V1372" t="s">
        <v>33</v>
      </c>
      <c r="W1372">
        <v>2</v>
      </c>
    </row>
    <row r="1373" spans="1:23" x14ac:dyDescent="0.25">
      <c r="A1373" t="s">
        <v>1996</v>
      </c>
      <c r="B1373" s="1">
        <v>45670</v>
      </c>
      <c r="C1373" t="s">
        <v>1295</v>
      </c>
      <c r="D1373" t="s">
        <v>97</v>
      </c>
      <c r="E1373" t="s">
        <v>46</v>
      </c>
      <c r="F1373" t="s">
        <v>53</v>
      </c>
      <c r="G1373" t="s">
        <v>268</v>
      </c>
      <c r="H1373">
        <v>1</v>
      </c>
      <c r="I1373">
        <v>26369</v>
      </c>
      <c r="J1373">
        <v>10</v>
      </c>
      <c r="K1373">
        <v>2636.9</v>
      </c>
      <c r="L1373">
        <v>23732.1</v>
      </c>
      <c r="M1373">
        <v>13928.69</v>
      </c>
      <c r="N1373">
        <v>9803.41</v>
      </c>
      <c r="O1373" t="s">
        <v>49</v>
      </c>
      <c r="P1373">
        <v>468.25</v>
      </c>
      <c r="Q1373" t="s">
        <v>68</v>
      </c>
      <c r="R1373" t="s">
        <v>31</v>
      </c>
      <c r="S1373">
        <v>5</v>
      </c>
      <c r="T1373">
        <v>8</v>
      </c>
      <c r="U1373" t="s">
        <v>56</v>
      </c>
      <c r="V1373" t="s">
        <v>33</v>
      </c>
      <c r="W1373">
        <v>5</v>
      </c>
    </row>
    <row r="1374" spans="1:23" x14ac:dyDescent="0.25">
      <c r="A1374" t="s">
        <v>1997</v>
      </c>
      <c r="B1374" s="1">
        <v>45975</v>
      </c>
      <c r="C1374" t="s">
        <v>1554</v>
      </c>
      <c r="D1374" t="s">
        <v>25</v>
      </c>
      <c r="E1374" t="s">
        <v>46</v>
      </c>
      <c r="F1374" t="s">
        <v>27</v>
      </c>
      <c r="G1374" t="s">
        <v>113</v>
      </c>
      <c r="H1374">
        <v>3</v>
      </c>
      <c r="I1374">
        <v>11326</v>
      </c>
      <c r="J1374">
        <v>0</v>
      </c>
      <c r="K1374">
        <v>0</v>
      </c>
      <c r="L1374">
        <v>33978</v>
      </c>
      <c r="M1374">
        <v>27109.42</v>
      </c>
      <c r="N1374">
        <v>6868.58</v>
      </c>
      <c r="O1374" t="s">
        <v>60</v>
      </c>
      <c r="P1374">
        <v>2432.44</v>
      </c>
      <c r="Q1374" t="s">
        <v>30</v>
      </c>
      <c r="R1374" t="s">
        <v>41</v>
      </c>
      <c r="S1374">
        <v>2</v>
      </c>
      <c r="T1374">
        <v>1</v>
      </c>
      <c r="U1374" t="s">
        <v>32</v>
      </c>
      <c r="V1374" t="s">
        <v>33</v>
      </c>
      <c r="W1374">
        <v>5</v>
      </c>
    </row>
    <row r="1375" spans="1:23" x14ac:dyDescent="0.25">
      <c r="A1375" t="s">
        <v>1998</v>
      </c>
      <c r="B1375" s="1">
        <v>45945</v>
      </c>
      <c r="C1375" t="s">
        <v>719</v>
      </c>
      <c r="D1375" t="s">
        <v>154</v>
      </c>
      <c r="E1375" t="s">
        <v>26</v>
      </c>
      <c r="F1375" t="s">
        <v>53</v>
      </c>
      <c r="G1375" t="s">
        <v>82</v>
      </c>
      <c r="H1375">
        <v>1</v>
      </c>
      <c r="I1375">
        <v>46219</v>
      </c>
      <c r="J1375">
        <v>0</v>
      </c>
      <c r="K1375">
        <v>0</v>
      </c>
      <c r="L1375">
        <v>46219</v>
      </c>
      <c r="M1375">
        <v>36902.26</v>
      </c>
      <c r="N1375">
        <v>9316.74</v>
      </c>
      <c r="O1375" t="s">
        <v>91</v>
      </c>
      <c r="P1375">
        <v>1145.22</v>
      </c>
      <c r="Q1375" t="s">
        <v>30</v>
      </c>
      <c r="R1375" t="s">
        <v>41</v>
      </c>
      <c r="S1375">
        <v>2</v>
      </c>
      <c r="T1375">
        <v>1</v>
      </c>
      <c r="U1375" t="s">
        <v>32</v>
      </c>
      <c r="V1375" t="s">
        <v>33</v>
      </c>
      <c r="W1375">
        <v>1</v>
      </c>
    </row>
    <row r="1376" spans="1:23" x14ac:dyDescent="0.25">
      <c r="A1376" t="s">
        <v>1999</v>
      </c>
      <c r="B1376" s="1">
        <v>45825</v>
      </c>
      <c r="C1376" t="s">
        <v>172</v>
      </c>
      <c r="D1376" t="s">
        <v>71</v>
      </c>
      <c r="E1376" t="s">
        <v>46</v>
      </c>
      <c r="F1376" t="s">
        <v>47</v>
      </c>
      <c r="G1376" t="s">
        <v>105</v>
      </c>
      <c r="H1376">
        <v>1</v>
      </c>
      <c r="I1376">
        <v>28179</v>
      </c>
      <c r="J1376">
        <v>10</v>
      </c>
      <c r="K1376">
        <v>2817.9</v>
      </c>
      <c r="L1376">
        <v>25361.1</v>
      </c>
      <c r="M1376">
        <v>20066.3</v>
      </c>
      <c r="N1376">
        <v>5294.8</v>
      </c>
      <c r="O1376" t="s">
        <v>29</v>
      </c>
      <c r="P1376">
        <v>1035.55</v>
      </c>
      <c r="Q1376" t="s">
        <v>30</v>
      </c>
      <c r="R1376" t="s">
        <v>31</v>
      </c>
      <c r="S1376">
        <v>5</v>
      </c>
      <c r="T1376">
        <v>7</v>
      </c>
      <c r="U1376" t="s">
        <v>56</v>
      </c>
      <c r="V1376" t="s">
        <v>33</v>
      </c>
      <c r="W1376">
        <v>5</v>
      </c>
    </row>
    <row r="1377" spans="1:23" x14ac:dyDescent="0.25">
      <c r="A1377" t="s">
        <v>2000</v>
      </c>
      <c r="B1377" s="1">
        <v>45970</v>
      </c>
      <c r="C1377" t="s">
        <v>945</v>
      </c>
      <c r="D1377" t="s">
        <v>97</v>
      </c>
      <c r="E1377" t="s">
        <v>26</v>
      </c>
      <c r="F1377" t="s">
        <v>53</v>
      </c>
      <c r="G1377" t="s">
        <v>54</v>
      </c>
      <c r="H1377">
        <v>1</v>
      </c>
      <c r="I1377">
        <v>77906</v>
      </c>
      <c r="J1377">
        <v>25</v>
      </c>
      <c r="K1377">
        <v>19476.5</v>
      </c>
      <c r="L1377">
        <v>58429.5</v>
      </c>
      <c r="M1377">
        <v>41131.89</v>
      </c>
      <c r="N1377">
        <v>17297.61</v>
      </c>
      <c r="O1377" t="s">
        <v>29</v>
      </c>
      <c r="P1377">
        <v>270.44</v>
      </c>
      <c r="Q1377" t="s">
        <v>83</v>
      </c>
      <c r="R1377" t="s">
        <v>31</v>
      </c>
      <c r="S1377">
        <v>5</v>
      </c>
      <c r="T1377">
        <v>0</v>
      </c>
      <c r="U1377" t="s">
        <v>32</v>
      </c>
      <c r="V1377" t="s">
        <v>42</v>
      </c>
    </row>
    <row r="1378" spans="1:23" x14ac:dyDescent="0.25">
      <c r="A1378" t="s">
        <v>2001</v>
      </c>
      <c r="B1378" s="1">
        <v>45771</v>
      </c>
      <c r="C1378" t="s">
        <v>2002</v>
      </c>
      <c r="D1378" t="s">
        <v>67</v>
      </c>
      <c r="E1378" t="s">
        <v>36</v>
      </c>
      <c r="F1378" t="s">
        <v>37</v>
      </c>
      <c r="G1378" t="s">
        <v>313</v>
      </c>
      <c r="H1378">
        <v>3</v>
      </c>
      <c r="I1378">
        <v>37086</v>
      </c>
      <c r="J1378">
        <v>10</v>
      </c>
      <c r="K1378">
        <v>11125.8</v>
      </c>
      <c r="L1378">
        <v>100132.2</v>
      </c>
      <c r="M1378">
        <v>79040.2</v>
      </c>
      <c r="N1378">
        <v>21092</v>
      </c>
      <c r="O1378" t="s">
        <v>39</v>
      </c>
      <c r="P1378">
        <v>1866.15</v>
      </c>
      <c r="Q1378" t="s">
        <v>30</v>
      </c>
      <c r="R1378" t="s">
        <v>41</v>
      </c>
      <c r="S1378">
        <v>2</v>
      </c>
      <c r="T1378">
        <v>1</v>
      </c>
      <c r="U1378" t="s">
        <v>32</v>
      </c>
      <c r="V1378" t="s">
        <v>33</v>
      </c>
      <c r="W1378">
        <v>5</v>
      </c>
    </row>
    <row r="1379" spans="1:23" x14ac:dyDescent="0.25">
      <c r="A1379" t="s">
        <v>2003</v>
      </c>
      <c r="B1379" s="1">
        <v>45989</v>
      </c>
      <c r="C1379" t="s">
        <v>425</v>
      </c>
      <c r="D1379" t="s">
        <v>154</v>
      </c>
      <c r="E1379" t="s">
        <v>46</v>
      </c>
      <c r="F1379" t="s">
        <v>47</v>
      </c>
      <c r="G1379" t="s">
        <v>105</v>
      </c>
      <c r="H1379">
        <v>1</v>
      </c>
      <c r="I1379">
        <v>32085</v>
      </c>
      <c r="J1379">
        <v>0</v>
      </c>
      <c r="K1379">
        <v>0</v>
      </c>
      <c r="L1379">
        <v>32085</v>
      </c>
      <c r="M1379">
        <v>18365.8</v>
      </c>
      <c r="N1379">
        <v>13719.2</v>
      </c>
      <c r="O1379" t="s">
        <v>49</v>
      </c>
      <c r="P1379">
        <v>150.12</v>
      </c>
      <c r="Q1379" t="s">
        <v>30</v>
      </c>
      <c r="R1379" t="s">
        <v>41</v>
      </c>
      <c r="S1379">
        <v>2</v>
      </c>
      <c r="T1379">
        <v>0</v>
      </c>
      <c r="U1379" t="s">
        <v>32</v>
      </c>
      <c r="V1379" t="s">
        <v>50</v>
      </c>
      <c r="W1379">
        <v>5</v>
      </c>
    </row>
    <row r="1380" spans="1:23" x14ac:dyDescent="0.25">
      <c r="A1380" t="s">
        <v>2004</v>
      </c>
      <c r="B1380" s="1">
        <v>45690</v>
      </c>
      <c r="C1380" t="s">
        <v>96</v>
      </c>
      <c r="D1380" t="s">
        <v>63</v>
      </c>
      <c r="E1380" t="s">
        <v>26</v>
      </c>
      <c r="F1380" t="s">
        <v>37</v>
      </c>
      <c r="G1380" t="s">
        <v>100</v>
      </c>
      <c r="H1380">
        <v>1</v>
      </c>
      <c r="I1380">
        <v>30991</v>
      </c>
      <c r="J1380">
        <v>15</v>
      </c>
      <c r="K1380">
        <v>4648.6499999999996</v>
      </c>
      <c r="L1380">
        <v>26342.35</v>
      </c>
      <c r="M1380">
        <v>18339.64</v>
      </c>
      <c r="N1380">
        <v>8002.71</v>
      </c>
      <c r="O1380" t="s">
        <v>55</v>
      </c>
      <c r="P1380">
        <v>1947.3</v>
      </c>
      <c r="Q1380" t="s">
        <v>30</v>
      </c>
      <c r="R1380" t="s">
        <v>41</v>
      </c>
      <c r="S1380">
        <v>2</v>
      </c>
      <c r="T1380">
        <v>1</v>
      </c>
      <c r="U1380" t="s">
        <v>32</v>
      </c>
      <c r="V1380" t="s">
        <v>33</v>
      </c>
      <c r="W1380">
        <v>5</v>
      </c>
    </row>
    <row r="1381" spans="1:23" x14ac:dyDescent="0.25">
      <c r="A1381" t="s">
        <v>2005</v>
      </c>
      <c r="B1381" s="1">
        <v>45983</v>
      </c>
      <c r="C1381" t="s">
        <v>535</v>
      </c>
      <c r="D1381" t="s">
        <v>90</v>
      </c>
      <c r="E1381" t="s">
        <v>46</v>
      </c>
      <c r="F1381" t="s">
        <v>47</v>
      </c>
      <c r="G1381" t="s">
        <v>64</v>
      </c>
      <c r="H1381">
        <v>1</v>
      </c>
      <c r="I1381">
        <v>14295</v>
      </c>
      <c r="J1381">
        <v>0</v>
      </c>
      <c r="K1381">
        <v>0</v>
      </c>
      <c r="L1381">
        <v>14295</v>
      </c>
      <c r="M1381">
        <v>8747.5300000000007</v>
      </c>
      <c r="N1381">
        <v>5547.47</v>
      </c>
      <c r="O1381" t="s">
        <v>60</v>
      </c>
      <c r="P1381">
        <v>602.48</v>
      </c>
      <c r="Q1381" t="s">
        <v>68</v>
      </c>
      <c r="R1381" t="s">
        <v>31</v>
      </c>
      <c r="S1381">
        <v>5</v>
      </c>
      <c r="T1381">
        <v>1</v>
      </c>
      <c r="U1381" t="s">
        <v>32</v>
      </c>
      <c r="V1381" t="s">
        <v>42</v>
      </c>
    </row>
    <row r="1382" spans="1:23" x14ac:dyDescent="0.25">
      <c r="A1382" t="s">
        <v>2006</v>
      </c>
      <c r="B1382" s="1">
        <v>45895</v>
      </c>
      <c r="C1382" t="s">
        <v>179</v>
      </c>
      <c r="D1382" t="s">
        <v>63</v>
      </c>
      <c r="E1382" t="s">
        <v>46</v>
      </c>
      <c r="F1382" t="s">
        <v>86</v>
      </c>
      <c r="G1382" t="s">
        <v>180</v>
      </c>
      <c r="H1382">
        <v>1</v>
      </c>
      <c r="I1382">
        <v>83470</v>
      </c>
      <c r="J1382">
        <v>0</v>
      </c>
      <c r="K1382">
        <v>0</v>
      </c>
      <c r="L1382">
        <v>83470</v>
      </c>
      <c r="M1382">
        <v>45937.55</v>
      </c>
      <c r="N1382">
        <v>37532.449999999997</v>
      </c>
      <c r="O1382" t="s">
        <v>60</v>
      </c>
      <c r="P1382">
        <v>1928.01</v>
      </c>
      <c r="Q1382" t="s">
        <v>73</v>
      </c>
      <c r="R1382" t="s">
        <v>31</v>
      </c>
      <c r="S1382">
        <v>5</v>
      </c>
      <c r="T1382">
        <v>6</v>
      </c>
      <c r="U1382" t="s">
        <v>56</v>
      </c>
      <c r="V1382" t="s">
        <v>33</v>
      </c>
      <c r="W1382">
        <v>5</v>
      </c>
    </row>
    <row r="1383" spans="1:23" x14ac:dyDescent="0.25">
      <c r="A1383" t="s">
        <v>2007</v>
      </c>
      <c r="B1383" s="1">
        <v>46016</v>
      </c>
      <c r="C1383" t="s">
        <v>643</v>
      </c>
      <c r="D1383" t="s">
        <v>124</v>
      </c>
      <c r="E1383" t="s">
        <v>36</v>
      </c>
      <c r="F1383" t="s">
        <v>27</v>
      </c>
      <c r="G1383" t="s">
        <v>28</v>
      </c>
      <c r="H1383">
        <v>1</v>
      </c>
      <c r="I1383">
        <v>25356</v>
      </c>
      <c r="J1383">
        <v>10</v>
      </c>
      <c r="K1383">
        <v>2535.6</v>
      </c>
      <c r="L1383">
        <v>22820.400000000001</v>
      </c>
      <c r="M1383">
        <v>13748.03</v>
      </c>
      <c r="N1383">
        <v>9072.3700000000008</v>
      </c>
      <c r="O1383" t="s">
        <v>39</v>
      </c>
      <c r="P1383">
        <v>1962.13</v>
      </c>
      <c r="Q1383" t="s">
        <v>40</v>
      </c>
      <c r="R1383" t="s">
        <v>31</v>
      </c>
      <c r="S1383">
        <v>5</v>
      </c>
      <c r="T1383">
        <v>4</v>
      </c>
      <c r="U1383" t="s">
        <v>32</v>
      </c>
      <c r="V1383" t="s">
        <v>33</v>
      </c>
      <c r="W1383">
        <v>2</v>
      </c>
    </row>
    <row r="1384" spans="1:23" x14ac:dyDescent="0.25">
      <c r="A1384" t="s">
        <v>2008</v>
      </c>
      <c r="B1384" s="1">
        <v>45812</v>
      </c>
      <c r="C1384" t="s">
        <v>587</v>
      </c>
      <c r="D1384" t="s">
        <v>71</v>
      </c>
      <c r="E1384" t="s">
        <v>46</v>
      </c>
      <c r="F1384" t="s">
        <v>37</v>
      </c>
      <c r="G1384" t="s">
        <v>161</v>
      </c>
      <c r="H1384">
        <v>2</v>
      </c>
      <c r="I1384">
        <v>6682</v>
      </c>
      <c r="J1384">
        <v>20</v>
      </c>
      <c r="K1384">
        <v>2672.8</v>
      </c>
      <c r="L1384">
        <v>10691.2</v>
      </c>
      <c r="M1384">
        <v>7393.3</v>
      </c>
      <c r="N1384">
        <v>3297.9</v>
      </c>
      <c r="O1384" t="s">
        <v>39</v>
      </c>
      <c r="P1384">
        <v>239.55</v>
      </c>
      <c r="Q1384" t="s">
        <v>83</v>
      </c>
      <c r="R1384" t="s">
        <v>31</v>
      </c>
      <c r="S1384">
        <v>5</v>
      </c>
      <c r="T1384">
        <v>9</v>
      </c>
      <c r="U1384" t="s">
        <v>56</v>
      </c>
      <c r="V1384" t="s">
        <v>33</v>
      </c>
      <c r="W1384">
        <v>5</v>
      </c>
    </row>
    <row r="1385" spans="1:23" x14ac:dyDescent="0.25">
      <c r="A1385" t="s">
        <v>2009</v>
      </c>
      <c r="B1385" s="1">
        <v>45990</v>
      </c>
      <c r="C1385" t="s">
        <v>1872</v>
      </c>
      <c r="D1385" t="s">
        <v>45</v>
      </c>
      <c r="E1385" t="s">
        <v>36</v>
      </c>
      <c r="F1385" t="s">
        <v>53</v>
      </c>
      <c r="G1385" t="s">
        <v>59</v>
      </c>
      <c r="H1385">
        <v>2</v>
      </c>
      <c r="I1385">
        <v>52178</v>
      </c>
      <c r="J1385">
        <v>0</v>
      </c>
      <c r="K1385">
        <v>0</v>
      </c>
      <c r="L1385">
        <v>104356</v>
      </c>
      <c r="M1385">
        <v>79560.36</v>
      </c>
      <c r="N1385">
        <v>24795.64</v>
      </c>
      <c r="O1385" t="s">
        <v>39</v>
      </c>
      <c r="P1385">
        <v>804.07</v>
      </c>
      <c r="Q1385" t="s">
        <v>30</v>
      </c>
      <c r="R1385" t="s">
        <v>31</v>
      </c>
      <c r="S1385">
        <v>5</v>
      </c>
      <c r="T1385">
        <v>5</v>
      </c>
      <c r="U1385" t="s">
        <v>32</v>
      </c>
      <c r="V1385" t="s">
        <v>42</v>
      </c>
    </row>
    <row r="1386" spans="1:23" x14ac:dyDescent="0.25">
      <c r="A1386" t="s">
        <v>2010</v>
      </c>
      <c r="B1386" s="1">
        <v>45867</v>
      </c>
      <c r="C1386" t="s">
        <v>595</v>
      </c>
      <c r="D1386" t="s">
        <v>63</v>
      </c>
      <c r="E1386" t="s">
        <v>36</v>
      </c>
      <c r="F1386" t="s">
        <v>37</v>
      </c>
      <c r="G1386" t="s">
        <v>100</v>
      </c>
      <c r="H1386">
        <v>1</v>
      </c>
      <c r="I1386">
        <v>37419</v>
      </c>
      <c r="J1386">
        <v>25</v>
      </c>
      <c r="K1386">
        <v>9354.75</v>
      </c>
      <c r="L1386">
        <v>28064.25</v>
      </c>
      <c r="M1386">
        <v>22454.53</v>
      </c>
      <c r="N1386">
        <v>5609.72</v>
      </c>
      <c r="O1386" t="s">
        <v>49</v>
      </c>
      <c r="P1386">
        <v>149.91</v>
      </c>
      <c r="Q1386" t="s">
        <v>73</v>
      </c>
      <c r="R1386" t="s">
        <v>31</v>
      </c>
      <c r="S1386">
        <v>5</v>
      </c>
      <c r="T1386">
        <v>6</v>
      </c>
      <c r="U1386" t="s">
        <v>56</v>
      </c>
      <c r="V1386" t="s">
        <v>33</v>
      </c>
      <c r="W1386">
        <v>4</v>
      </c>
    </row>
    <row r="1387" spans="1:23" x14ac:dyDescent="0.25">
      <c r="A1387" t="s">
        <v>2011</v>
      </c>
      <c r="B1387" s="1">
        <v>45717</v>
      </c>
      <c r="C1387" t="s">
        <v>2012</v>
      </c>
      <c r="D1387" t="s">
        <v>124</v>
      </c>
      <c r="E1387" t="s">
        <v>26</v>
      </c>
      <c r="F1387" t="s">
        <v>27</v>
      </c>
      <c r="G1387" t="s">
        <v>28</v>
      </c>
      <c r="H1387">
        <v>2</v>
      </c>
      <c r="I1387">
        <v>10771</v>
      </c>
      <c r="J1387">
        <v>10</v>
      </c>
      <c r="K1387">
        <v>2154.1999999999998</v>
      </c>
      <c r="L1387">
        <v>19387.8</v>
      </c>
      <c r="M1387">
        <v>15537.65</v>
      </c>
      <c r="N1387">
        <v>3850.15</v>
      </c>
      <c r="O1387" t="s">
        <v>60</v>
      </c>
      <c r="P1387">
        <v>1524.13</v>
      </c>
      <c r="Q1387" t="s">
        <v>73</v>
      </c>
      <c r="R1387" t="s">
        <v>41</v>
      </c>
      <c r="S1387">
        <v>2</v>
      </c>
      <c r="T1387">
        <v>2</v>
      </c>
      <c r="U1387" t="s">
        <v>32</v>
      </c>
      <c r="V1387" t="s">
        <v>33</v>
      </c>
      <c r="W1387">
        <v>5</v>
      </c>
    </row>
    <row r="1388" spans="1:23" x14ac:dyDescent="0.25">
      <c r="A1388" t="s">
        <v>2013</v>
      </c>
      <c r="B1388" s="1">
        <v>45729</v>
      </c>
      <c r="C1388" t="s">
        <v>1260</v>
      </c>
      <c r="D1388" t="s">
        <v>25</v>
      </c>
      <c r="E1388" t="s">
        <v>26</v>
      </c>
      <c r="F1388" t="s">
        <v>86</v>
      </c>
      <c r="G1388" t="s">
        <v>110</v>
      </c>
      <c r="H1388">
        <v>2</v>
      </c>
      <c r="I1388">
        <v>8733</v>
      </c>
      <c r="J1388">
        <v>0</v>
      </c>
      <c r="K1388">
        <v>0</v>
      </c>
      <c r="L1388">
        <v>17466</v>
      </c>
      <c r="M1388">
        <v>12322.2</v>
      </c>
      <c r="N1388">
        <v>5143.8</v>
      </c>
      <c r="O1388" t="s">
        <v>60</v>
      </c>
      <c r="P1388">
        <v>1586.31</v>
      </c>
      <c r="Q1388" t="s">
        <v>30</v>
      </c>
      <c r="R1388" t="s">
        <v>31</v>
      </c>
      <c r="S1388">
        <v>5</v>
      </c>
      <c r="T1388">
        <v>6</v>
      </c>
      <c r="U1388" t="s">
        <v>32</v>
      </c>
      <c r="V1388" t="s">
        <v>50</v>
      </c>
      <c r="W1388">
        <v>4</v>
      </c>
    </row>
    <row r="1389" spans="1:23" x14ac:dyDescent="0.25">
      <c r="A1389" t="s">
        <v>2014</v>
      </c>
      <c r="B1389" s="1">
        <v>45681</v>
      </c>
      <c r="C1389" t="s">
        <v>150</v>
      </c>
      <c r="D1389" t="s">
        <v>25</v>
      </c>
      <c r="E1389" t="s">
        <v>26</v>
      </c>
      <c r="F1389" t="s">
        <v>37</v>
      </c>
      <c r="G1389" t="s">
        <v>224</v>
      </c>
      <c r="H1389">
        <v>2</v>
      </c>
      <c r="I1389">
        <v>7176</v>
      </c>
      <c r="J1389">
        <v>15</v>
      </c>
      <c r="K1389">
        <v>2152.8000000000002</v>
      </c>
      <c r="L1389">
        <v>12199.2</v>
      </c>
      <c r="M1389">
        <v>7801.65</v>
      </c>
      <c r="N1389">
        <v>4397.55</v>
      </c>
      <c r="O1389" t="s">
        <v>91</v>
      </c>
      <c r="P1389">
        <v>1240.4000000000001</v>
      </c>
      <c r="Q1389" t="s">
        <v>73</v>
      </c>
      <c r="R1389" t="s">
        <v>31</v>
      </c>
      <c r="S1389">
        <v>5</v>
      </c>
      <c r="T1389">
        <v>8</v>
      </c>
      <c r="U1389" t="s">
        <v>56</v>
      </c>
      <c r="V1389" t="s">
        <v>33</v>
      </c>
      <c r="W1389">
        <v>2</v>
      </c>
    </row>
    <row r="1390" spans="1:23" x14ac:dyDescent="0.25">
      <c r="A1390" t="s">
        <v>2015</v>
      </c>
      <c r="B1390" s="1">
        <v>45677</v>
      </c>
      <c r="C1390" t="s">
        <v>270</v>
      </c>
      <c r="D1390" t="s">
        <v>79</v>
      </c>
      <c r="E1390" t="s">
        <v>46</v>
      </c>
      <c r="F1390" t="s">
        <v>86</v>
      </c>
      <c r="G1390" t="s">
        <v>127</v>
      </c>
      <c r="H1390">
        <v>1</v>
      </c>
      <c r="I1390">
        <v>60821</v>
      </c>
      <c r="J1390">
        <v>10</v>
      </c>
      <c r="K1390">
        <v>6082.1</v>
      </c>
      <c r="L1390">
        <v>54738.9</v>
      </c>
      <c r="M1390">
        <v>38792.99</v>
      </c>
      <c r="N1390">
        <v>15945.91</v>
      </c>
      <c r="O1390" t="s">
        <v>60</v>
      </c>
      <c r="P1390">
        <v>1022.74</v>
      </c>
      <c r="Q1390" t="s">
        <v>83</v>
      </c>
      <c r="R1390" t="s">
        <v>31</v>
      </c>
      <c r="S1390">
        <v>5</v>
      </c>
      <c r="T1390">
        <v>1</v>
      </c>
      <c r="U1390" t="s">
        <v>32</v>
      </c>
      <c r="V1390" t="s">
        <v>42</v>
      </c>
    </row>
    <row r="1391" spans="1:23" x14ac:dyDescent="0.25">
      <c r="A1391" t="s">
        <v>2016</v>
      </c>
      <c r="B1391" s="1">
        <v>45813</v>
      </c>
      <c r="C1391" t="s">
        <v>230</v>
      </c>
      <c r="D1391" t="s">
        <v>67</v>
      </c>
      <c r="E1391" t="s">
        <v>46</v>
      </c>
      <c r="F1391" t="s">
        <v>37</v>
      </c>
      <c r="G1391" t="s">
        <v>313</v>
      </c>
      <c r="H1391">
        <v>2</v>
      </c>
      <c r="I1391">
        <v>21652</v>
      </c>
      <c r="J1391">
        <v>10</v>
      </c>
      <c r="K1391">
        <v>4330.3999999999996</v>
      </c>
      <c r="L1391">
        <v>38973.599999999999</v>
      </c>
      <c r="M1391">
        <v>26274.23</v>
      </c>
      <c r="N1391">
        <v>12699.37</v>
      </c>
      <c r="O1391" t="s">
        <v>49</v>
      </c>
      <c r="P1391">
        <v>411.22</v>
      </c>
      <c r="Q1391" t="s">
        <v>83</v>
      </c>
      <c r="R1391" t="s">
        <v>31</v>
      </c>
      <c r="S1391">
        <v>5</v>
      </c>
      <c r="T1391">
        <v>3</v>
      </c>
      <c r="U1391" t="s">
        <v>32</v>
      </c>
      <c r="V1391" t="s">
        <v>33</v>
      </c>
      <c r="W1391">
        <v>3</v>
      </c>
    </row>
    <row r="1392" spans="1:23" x14ac:dyDescent="0.25">
      <c r="A1392" t="s">
        <v>2017</v>
      </c>
      <c r="B1392" s="1">
        <v>45910</v>
      </c>
      <c r="C1392" t="s">
        <v>221</v>
      </c>
      <c r="D1392" t="s">
        <v>124</v>
      </c>
      <c r="E1392" t="s">
        <v>46</v>
      </c>
      <c r="F1392" t="s">
        <v>37</v>
      </c>
      <c r="G1392" t="s">
        <v>313</v>
      </c>
      <c r="H1392">
        <v>1</v>
      </c>
      <c r="I1392">
        <v>6091</v>
      </c>
      <c r="J1392">
        <v>10</v>
      </c>
      <c r="K1392">
        <v>609.1</v>
      </c>
      <c r="L1392">
        <v>5481.9</v>
      </c>
      <c r="M1392">
        <v>3133.48</v>
      </c>
      <c r="N1392">
        <v>2348.42</v>
      </c>
      <c r="O1392" t="s">
        <v>49</v>
      </c>
      <c r="P1392">
        <v>374.07</v>
      </c>
      <c r="Q1392" t="s">
        <v>73</v>
      </c>
      <c r="R1392" t="s">
        <v>31</v>
      </c>
      <c r="S1392">
        <v>5</v>
      </c>
      <c r="T1392">
        <v>2</v>
      </c>
      <c r="U1392" t="s">
        <v>32</v>
      </c>
      <c r="V1392" t="s">
        <v>50</v>
      </c>
      <c r="W1392">
        <v>1</v>
      </c>
    </row>
    <row r="1393" spans="1:23" x14ac:dyDescent="0.25">
      <c r="A1393" t="s">
        <v>2018</v>
      </c>
      <c r="B1393" s="1">
        <v>45717</v>
      </c>
      <c r="C1393" t="s">
        <v>327</v>
      </c>
      <c r="D1393" t="s">
        <v>25</v>
      </c>
      <c r="E1393" t="s">
        <v>46</v>
      </c>
      <c r="F1393" t="s">
        <v>47</v>
      </c>
      <c r="G1393" t="s">
        <v>105</v>
      </c>
      <c r="H1393">
        <v>1</v>
      </c>
      <c r="I1393">
        <v>45335</v>
      </c>
      <c r="J1393">
        <v>20</v>
      </c>
      <c r="K1393">
        <v>9067</v>
      </c>
      <c r="L1393">
        <v>36268</v>
      </c>
      <c r="M1393">
        <v>25461.47</v>
      </c>
      <c r="N1393">
        <v>10806.53</v>
      </c>
      <c r="O1393" t="s">
        <v>29</v>
      </c>
      <c r="P1393">
        <v>838.37</v>
      </c>
      <c r="Q1393" t="s">
        <v>73</v>
      </c>
      <c r="R1393" t="s">
        <v>31</v>
      </c>
      <c r="S1393">
        <v>5</v>
      </c>
      <c r="T1393">
        <v>3</v>
      </c>
      <c r="U1393" t="s">
        <v>32</v>
      </c>
      <c r="V1393" t="s">
        <v>33</v>
      </c>
      <c r="W1393">
        <v>2</v>
      </c>
    </row>
    <row r="1394" spans="1:23" x14ac:dyDescent="0.25">
      <c r="A1394" t="s">
        <v>2019</v>
      </c>
      <c r="B1394" s="1">
        <v>45707</v>
      </c>
      <c r="C1394" t="s">
        <v>62</v>
      </c>
      <c r="D1394" t="s">
        <v>124</v>
      </c>
      <c r="E1394" t="s">
        <v>26</v>
      </c>
      <c r="F1394" t="s">
        <v>27</v>
      </c>
      <c r="G1394" t="s">
        <v>164</v>
      </c>
      <c r="H1394">
        <v>2</v>
      </c>
      <c r="I1394">
        <v>13039</v>
      </c>
      <c r="J1394">
        <v>0</v>
      </c>
      <c r="K1394">
        <v>0</v>
      </c>
      <c r="L1394">
        <v>26078</v>
      </c>
      <c r="M1394">
        <v>20897.55</v>
      </c>
      <c r="N1394">
        <v>5180.45</v>
      </c>
      <c r="O1394" t="s">
        <v>91</v>
      </c>
      <c r="P1394">
        <v>1436.99</v>
      </c>
      <c r="Q1394" t="s">
        <v>68</v>
      </c>
      <c r="R1394" t="s">
        <v>41</v>
      </c>
      <c r="S1394">
        <v>2</v>
      </c>
      <c r="T1394">
        <v>6</v>
      </c>
      <c r="U1394" t="s">
        <v>56</v>
      </c>
      <c r="V1394" t="s">
        <v>33</v>
      </c>
      <c r="W1394">
        <v>5</v>
      </c>
    </row>
    <row r="1395" spans="1:23" x14ac:dyDescent="0.25">
      <c r="A1395" t="s">
        <v>2020</v>
      </c>
      <c r="B1395" s="1">
        <v>45778</v>
      </c>
      <c r="C1395" t="s">
        <v>661</v>
      </c>
      <c r="D1395" t="s">
        <v>90</v>
      </c>
      <c r="E1395" t="s">
        <v>46</v>
      </c>
      <c r="F1395" t="s">
        <v>37</v>
      </c>
      <c r="G1395" t="s">
        <v>100</v>
      </c>
      <c r="H1395">
        <v>2</v>
      </c>
      <c r="I1395">
        <v>9940</v>
      </c>
      <c r="J1395">
        <v>20</v>
      </c>
      <c r="K1395">
        <v>3976</v>
      </c>
      <c r="L1395">
        <v>15904</v>
      </c>
      <c r="M1395">
        <v>9425.3700000000008</v>
      </c>
      <c r="N1395">
        <v>6478.63</v>
      </c>
      <c r="O1395" t="s">
        <v>39</v>
      </c>
      <c r="P1395">
        <v>1580.55</v>
      </c>
      <c r="Q1395" t="s">
        <v>68</v>
      </c>
      <c r="R1395" t="s">
        <v>41</v>
      </c>
      <c r="S1395">
        <v>2</v>
      </c>
      <c r="T1395">
        <v>2</v>
      </c>
      <c r="U1395" t="s">
        <v>32</v>
      </c>
      <c r="V1395" t="s">
        <v>33</v>
      </c>
      <c r="W1395">
        <v>2</v>
      </c>
    </row>
    <row r="1396" spans="1:23" x14ac:dyDescent="0.25">
      <c r="A1396" t="s">
        <v>2021</v>
      </c>
      <c r="B1396" s="1">
        <v>45933</v>
      </c>
      <c r="C1396" t="s">
        <v>1288</v>
      </c>
      <c r="D1396" t="s">
        <v>71</v>
      </c>
      <c r="E1396" t="s">
        <v>26</v>
      </c>
      <c r="F1396" t="s">
        <v>53</v>
      </c>
      <c r="G1396" t="s">
        <v>59</v>
      </c>
      <c r="H1396">
        <v>2</v>
      </c>
      <c r="I1396">
        <v>24626</v>
      </c>
      <c r="J1396">
        <v>15</v>
      </c>
      <c r="K1396">
        <v>7387.8</v>
      </c>
      <c r="L1396">
        <v>41864.199999999997</v>
      </c>
      <c r="M1396">
        <v>27348.27</v>
      </c>
      <c r="N1396">
        <v>14515.93</v>
      </c>
      <c r="O1396" t="s">
        <v>60</v>
      </c>
      <c r="P1396">
        <v>2478.19</v>
      </c>
      <c r="Q1396" t="s">
        <v>83</v>
      </c>
      <c r="R1396" t="s">
        <v>41</v>
      </c>
      <c r="S1396">
        <v>2</v>
      </c>
      <c r="T1396">
        <v>1</v>
      </c>
      <c r="U1396" t="s">
        <v>32</v>
      </c>
      <c r="V1396" t="s">
        <v>33</v>
      </c>
      <c r="W1396">
        <v>5</v>
      </c>
    </row>
    <row r="1397" spans="1:23" x14ac:dyDescent="0.25">
      <c r="A1397" t="s">
        <v>2022</v>
      </c>
      <c r="B1397" s="1">
        <v>45727</v>
      </c>
      <c r="C1397" t="s">
        <v>1591</v>
      </c>
      <c r="D1397" t="s">
        <v>25</v>
      </c>
      <c r="E1397" t="s">
        <v>36</v>
      </c>
      <c r="F1397" t="s">
        <v>27</v>
      </c>
      <c r="G1397" t="s">
        <v>76</v>
      </c>
      <c r="H1397">
        <v>1</v>
      </c>
      <c r="I1397">
        <v>19887</v>
      </c>
      <c r="J1397">
        <v>10</v>
      </c>
      <c r="K1397">
        <v>1988.7</v>
      </c>
      <c r="L1397">
        <v>17898.3</v>
      </c>
      <c r="M1397">
        <v>12413.23</v>
      </c>
      <c r="N1397">
        <v>5485.07</v>
      </c>
      <c r="O1397" t="s">
        <v>55</v>
      </c>
      <c r="P1397">
        <v>547.80999999999995</v>
      </c>
      <c r="Q1397" t="s">
        <v>30</v>
      </c>
      <c r="R1397" t="s">
        <v>31</v>
      </c>
      <c r="S1397">
        <v>5</v>
      </c>
      <c r="T1397">
        <v>5</v>
      </c>
      <c r="U1397" t="s">
        <v>32</v>
      </c>
      <c r="V1397" t="s">
        <v>33</v>
      </c>
      <c r="W1397">
        <v>2</v>
      </c>
    </row>
    <row r="1398" spans="1:23" x14ac:dyDescent="0.25">
      <c r="A1398" t="s">
        <v>2023</v>
      </c>
      <c r="B1398" s="1">
        <v>45856</v>
      </c>
      <c r="C1398" t="s">
        <v>631</v>
      </c>
      <c r="D1398" t="s">
        <v>79</v>
      </c>
      <c r="E1398" t="s">
        <v>46</v>
      </c>
      <c r="F1398" t="s">
        <v>53</v>
      </c>
      <c r="G1398" t="s">
        <v>82</v>
      </c>
      <c r="H1398">
        <v>1</v>
      </c>
      <c r="I1398">
        <v>57977</v>
      </c>
      <c r="J1398">
        <v>0</v>
      </c>
      <c r="K1398">
        <v>0</v>
      </c>
      <c r="L1398">
        <v>57977</v>
      </c>
      <c r="M1398">
        <v>41337.589999999997</v>
      </c>
      <c r="N1398">
        <v>16639.41</v>
      </c>
      <c r="O1398" t="s">
        <v>29</v>
      </c>
      <c r="P1398">
        <v>249.86</v>
      </c>
      <c r="Q1398" t="s">
        <v>40</v>
      </c>
      <c r="R1398" t="s">
        <v>31</v>
      </c>
      <c r="S1398">
        <v>5</v>
      </c>
      <c r="T1398">
        <v>2</v>
      </c>
      <c r="U1398" t="s">
        <v>32</v>
      </c>
      <c r="V1398" t="s">
        <v>33</v>
      </c>
      <c r="W1398">
        <v>5</v>
      </c>
    </row>
    <row r="1399" spans="1:23" x14ac:dyDescent="0.25">
      <c r="A1399" t="s">
        <v>2024</v>
      </c>
      <c r="B1399" s="1">
        <v>45890</v>
      </c>
      <c r="C1399" t="s">
        <v>875</v>
      </c>
      <c r="D1399" t="s">
        <v>71</v>
      </c>
      <c r="E1399" t="s">
        <v>46</v>
      </c>
      <c r="F1399" t="s">
        <v>86</v>
      </c>
      <c r="G1399" t="s">
        <v>127</v>
      </c>
      <c r="H1399">
        <v>1</v>
      </c>
      <c r="I1399">
        <v>42801</v>
      </c>
      <c r="J1399">
        <v>0</v>
      </c>
      <c r="K1399">
        <v>0</v>
      </c>
      <c r="L1399">
        <v>42801</v>
      </c>
      <c r="M1399">
        <v>29481.89</v>
      </c>
      <c r="N1399">
        <v>13319.11</v>
      </c>
      <c r="O1399" t="s">
        <v>91</v>
      </c>
      <c r="P1399">
        <v>910.94</v>
      </c>
      <c r="Q1399" t="s">
        <v>30</v>
      </c>
      <c r="R1399" t="s">
        <v>41</v>
      </c>
      <c r="S1399">
        <v>2</v>
      </c>
      <c r="T1399">
        <v>1</v>
      </c>
      <c r="U1399" t="s">
        <v>32</v>
      </c>
      <c r="V1399" t="s">
        <v>33</v>
      </c>
      <c r="W1399">
        <v>5</v>
      </c>
    </row>
    <row r="1400" spans="1:23" x14ac:dyDescent="0.25">
      <c r="A1400" t="s">
        <v>2025</v>
      </c>
      <c r="B1400" s="1">
        <v>45847</v>
      </c>
      <c r="C1400" t="s">
        <v>2026</v>
      </c>
      <c r="D1400" t="s">
        <v>124</v>
      </c>
      <c r="E1400" t="s">
        <v>46</v>
      </c>
      <c r="F1400" t="s">
        <v>37</v>
      </c>
      <c r="G1400" t="s">
        <v>38</v>
      </c>
      <c r="H1400">
        <v>2</v>
      </c>
      <c r="I1400">
        <v>19357</v>
      </c>
      <c r="J1400">
        <v>0</v>
      </c>
      <c r="K1400">
        <v>0</v>
      </c>
      <c r="L1400">
        <v>38714</v>
      </c>
      <c r="M1400">
        <v>31352.17</v>
      </c>
      <c r="N1400">
        <v>7361.83</v>
      </c>
      <c r="O1400" t="s">
        <v>55</v>
      </c>
      <c r="P1400">
        <v>1429.29</v>
      </c>
      <c r="Q1400" t="s">
        <v>83</v>
      </c>
      <c r="R1400" t="s">
        <v>41</v>
      </c>
      <c r="S1400">
        <v>2</v>
      </c>
      <c r="T1400">
        <v>3</v>
      </c>
      <c r="U1400" t="s">
        <v>32</v>
      </c>
      <c r="V1400" t="s">
        <v>50</v>
      </c>
      <c r="W1400">
        <v>5</v>
      </c>
    </row>
    <row r="1401" spans="1:23" x14ac:dyDescent="0.25">
      <c r="A1401" t="s">
        <v>2027</v>
      </c>
      <c r="B1401" s="1">
        <v>46001</v>
      </c>
      <c r="C1401" t="s">
        <v>1549</v>
      </c>
      <c r="D1401" t="s">
        <v>63</v>
      </c>
      <c r="E1401" t="s">
        <v>26</v>
      </c>
      <c r="F1401" t="s">
        <v>86</v>
      </c>
      <c r="G1401" t="s">
        <v>94</v>
      </c>
      <c r="H1401">
        <v>2</v>
      </c>
      <c r="I1401">
        <v>21501</v>
      </c>
      <c r="J1401">
        <v>10</v>
      </c>
      <c r="K1401">
        <v>4300.2</v>
      </c>
      <c r="L1401">
        <v>38701.800000000003</v>
      </c>
      <c r="M1401">
        <v>23332.12</v>
      </c>
      <c r="N1401">
        <v>15369.68</v>
      </c>
      <c r="O1401" t="s">
        <v>60</v>
      </c>
      <c r="P1401">
        <v>1741.18</v>
      </c>
      <c r="Q1401" t="s">
        <v>30</v>
      </c>
      <c r="R1401" t="s">
        <v>31</v>
      </c>
      <c r="S1401">
        <v>5</v>
      </c>
      <c r="T1401">
        <v>0</v>
      </c>
      <c r="U1401" t="s">
        <v>32</v>
      </c>
      <c r="V1401" t="s">
        <v>42</v>
      </c>
    </row>
    <row r="1402" spans="1:23" x14ac:dyDescent="0.25">
      <c r="A1402" t="s">
        <v>2028</v>
      </c>
      <c r="B1402" s="1">
        <v>46014</v>
      </c>
      <c r="C1402" t="s">
        <v>1832</v>
      </c>
      <c r="D1402" t="s">
        <v>25</v>
      </c>
      <c r="E1402" t="s">
        <v>46</v>
      </c>
      <c r="F1402" t="s">
        <v>27</v>
      </c>
      <c r="G1402" t="s">
        <v>113</v>
      </c>
      <c r="H1402">
        <v>2</v>
      </c>
      <c r="I1402">
        <v>7596</v>
      </c>
      <c r="J1402">
        <v>0</v>
      </c>
      <c r="K1402">
        <v>0</v>
      </c>
      <c r="L1402">
        <v>15192</v>
      </c>
      <c r="M1402">
        <v>10627.09</v>
      </c>
      <c r="N1402">
        <v>4564.91</v>
      </c>
      <c r="O1402" t="s">
        <v>55</v>
      </c>
      <c r="P1402">
        <v>326.37</v>
      </c>
      <c r="Q1402" t="s">
        <v>83</v>
      </c>
      <c r="R1402" t="s">
        <v>41</v>
      </c>
      <c r="S1402">
        <v>2</v>
      </c>
      <c r="T1402">
        <v>3</v>
      </c>
      <c r="U1402" t="s">
        <v>32</v>
      </c>
      <c r="V1402" t="s">
        <v>50</v>
      </c>
      <c r="W1402">
        <v>5</v>
      </c>
    </row>
    <row r="1403" spans="1:23" x14ac:dyDescent="0.25">
      <c r="A1403" t="s">
        <v>2029</v>
      </c>
      <c r="B1403" s="1">
        <v>45934</v>
      </c>
      <c r="C1403" t="s">
        <v>1223</v>
      </c>
      <c r="D1403" t="s">
        <v>154</v>
      </c>
      <c r="E1403" t="s">
        <v>46</v>
      </c>
      <c r="F1403" t="s">
        <v>37</v>
      </c>
      <c r="G1403" t="s">
        <v>224</v>
      </c>
      <c r="H1403">
        <v>1</v>
      </c>
      <c r="I1403">
        <v>32953</v>
      </c>
      <c r="J1403">
        <v>0</v>
      </c>
      <c r="K1403">
        <v>0</v>
      </c>
      <c r="L1403">
        <v>32953</v>
      </c>
      <c r="M1403">
        <v>21561.91</v>
      </c>
      <c r="N1403">
        <v>11391.09</v>
      </c>
      <c r="O1403" t="s">
        <v>91</v>
      </c>
      <c r="P1403">
        <v>971.19</v>
      </c>
      <c r="Q1403" t="s">
        <v>68</v>
      </c>
      <c r="R1403" t="s">
        <v>41</v>
      </c>
      <c r="S1403">
        <v>2</v>
      </c>
      <c r="T1403">
        <v>3</v>
      </c>
      <c r="U1403" t="s">
        <v>56</v>
      </c>
      <c r="V1403" t="s">
        <v>33</v>
      </c>
      <c r="W1403">
        <v>2</v>
      </c>
    </row>
    <row r="1404" spans="1:23" x14ac:dyDescent="0.25">
      <c r="A1404" t="s">
        <v>2030</v>
      </c>
      <c r="B1404" s="1">
        <v>45872</v>
      </c>
      <c r="C1404" t="s">
        <v>2031</v>
      </c>
      <c r="D1404" t="s">
        <v>79</v>
      </c>
      <c r="E1404" t="s">
        <v>46</v>
      </c>
      <c r="F1404" t="s">
        <v>47</v>
      </c>
      <c r="G1404" t="s">
        <v>146</v>
      </c>
      <c r="H1404">
        <v>1</v>
      </c>
      <c r="I1404">
        <v>31808</v>
      </c>
      <c r="J1404">
        <v>25</v>
      </c>
      <c r="K1404">
        <v>7952</v>
      </c>
      <c r="L1404">
        <v>23856</v>
      </c>
      <c r="M1404">
        <v>15488.78</v>
      </c>
      <c r="N1404">
        <v>8367.2199999999993</v>
      </c>
      <c r="O1404" t="s">
        <v>29</v>
      </c>
      <c r="P1404">
        <v>391.19</v>
      </c>
      <c r="Q1404" t="s">
        <v>68</v>
      </c>
      <c r="R1404" t="s">
        <v>41</v>
      </c>
      <c r="S1404">
        <v>2</v>
      </c>
      <c r="T1404">
        <v>4</v>
      </c>
      <c r="U1404" t="s">
        <v>56</v>
      </c>
      <c r="V1404" t="s">
        <v>33</v>
      </c>
      <c r="W1404">
        <v>1</v>
      </c>
    </row>
    <row r="1405" spans="1:23" x14ac:dyDescent="0.25">
      <c r="A1405" t="s">
        <v>2032</v>
      </c>
      <c r="B1405" s="1">
        <v>45958</v>
      </c>
      <c r="C1405" t="s">
        <v>533</v>
      </c>
      <c r="D1405" t="s">
        <v>90</v>
      </c>
      <c r="E1405" t="s">
        <v>46</v>
      </c>
      <c r="F1405" t="s">
        <v>37</v>
      </c>
      <c r="G1405" t="s">
        <v>313</v>
      </c>
      <c r="H1405">
        <v>2</v>
      </c>
      <c r="I1405">
        <v>39250</v>
      </c>
      <c r="J1405">
        <v>0</v>
      </c>
      <c r="K1405">
        <v>0</v>
      </c>
      <c r="L1405">
        <v>78500</v>
      </c>
      <c r="M1405">
        <v>61693.1</v>
      </c>
      <c r="N1405">
        <v>16806.900000000001</v>
      </c>
      <c r="O1405" t="s">
        <v>55</v>
      </c>
      <c r="P1405">
        <v>797.2</v>
      </c>
      <c r="Q1405" t="s">
        <v>73</v>
      </c>
      <c r="R1405" t="s">
        <v>31</v>
      </c>
      <c r="S1405">
        <v>5</v>
      </c>
      <c r="T1405">
        <v>1</v>
      </c>
      <c r="U1405" t="s">
        <v>32</v>
      </c>
      <c r="V1405" t="s">
        <v>50</v>
      </c>
      <c r="W1405">
        <v>2</v>
      </c>
    </row>
    <row r="1406" spans="1:23" x14ac:dyDescent="0.25">
      <c r="A1406" t="s">
        <v>2033</v>
      </c>
      <c r="B1406" s="1">
        <v>45737</v>
      </c>
      <c r="C1406" t="s">
        <v>657</v>
      </c>
      <c r="D1406" t="s">
        <v>71</v>
      </c>
      <c r="E1406" t="s">
        <v>46</v>
      </c>
      <c r="F1406" t="s">
        <v>37</v>
      </c>
      <c r="G1406" t="s">
        <v>38</v>
      </c>
      <c r="H1406">
        <v>4</v>
      </c>
      <c r="I1406">
        <v>36170</v>
      </c>
      <c r="J1406">
        <v>25</v>
      </c>
      <c r="K1406">
        <v>36170</v>
      </c>
      <c r="L1406">
        <v>108510</v>
      </c>
      <c r="M1406">
        <v>65590.009999999995</v>
      </c>
      <c r="N1406">
        <v>42919.99</v>
      </c>
      <c r="O1406" t="s">
        <v>29</v>
      </c>
      <c r="P1406">
        <v>1511.29</v>
      </c>
      <c r="Q1406" t="s">
        <v>73</v>
      </c>
      <c r="R1406" t="s">
        <v>41</v>
      </c>
      <c r="S1406">
        <v>2</v>
      </c>
      <c r="T1406">
        <v>3</v>
      </c>
      <c r="U1406" t="s">
        <v>32</v>
      </c>
      <c r="V1406" t="s">
        <v>50</v>
      </c>
      <c r="W1406">
        <v>3</v>
      </c>
    </row>
    <row r="1407" spans="1:23" x14ac:dyDescent="0.25">
      <c r="A1407" t="s">
        <v>2034</v>
      </c>
      <c r="B1407" s="1">
        <v>45870</v>
      </c>
      <c r="C1407" t="s">
        <v>1300</v>
      </c>
      <c r="D1407" t="s">
        <v>90</v>
      </c>
      <c r="E1407" t="s">
        <v>46</v>
      </c>
      <c r="F1407" t="s">
        <v>47</v>
      </c>
      <c r="G1407" t="s">
        <v>64</v>
      </c>
      <c r="H1407">
        <v>1</v>
      </c>
      <c r="I1407">
        <v>32417</v>
      </c>
      <c r="J1407">
        <v>15</v>
      </c>
      <c r="K1407">
        <v>4862.55</v>
      </c>
      <c r="L1407">
        <v>27554.45</v>
      </c>
      <c r="M1407">
        <v>17333.57</v>
      </c>
      <c r="N1407">
        <v>10220.879999999999</v>
      </c>
      <c r="O1407" t="s">
        <v>55</v>
      </c>
      <c r="P1407">
        <v>2023.94</v>
      </c>
      <c r="Q1407" t="s">
        <v>68</v>
      </c>
      <c r="R1407" t="s">
        <v>41</v>
      </c>
      <c r="S1407">
        <v>2</v>
      </c>
      <c r="T1407">
        <v>1</v>
      </c>
      <c r="U1407" t="s">
        <v>32</v>
      </c>
      <c r="V1407" t="s">
        <v>33</v>
      </c>
      <c r="W1407">
        <v>5</v>
      </c>
    </row>
    <row r="1408" spans="1:23" x14ac:dyDescent="0.25">
      <c r="A1408" t="s">
        <v>2035</v>
      </c>
      <c r="B1408" s="1">
        <v>45993</v>
      </c>
      <c r="C1408" t="s">
        <v>2036</v>
      </c>
      <c r="D1408" t="s">
        <v>67</v>
      </c>
      <c r="E1408" t="s">
        <v>36</v>
      </c>
      <c r="F1408" t="s">
        <v>86</v>
      </c>
      <c r="G1408" t="s">
        <v>180</v>
      </c>
      <c r="H1408">
        <v>1</v>
      </c>
      <c r="I1408">
        <v>38624</v>
      </c>
      <c r="J1408">
        <v>15</v>
      </c>
      <c r="K1408">
        <v>5793.6</v>
      </c>
      <c r="L1408">
        <v>32830.400000000001</v>
      </c>
      <c r="M1408">
        <v>20840.22</v>
      </c>
      <c r="N1408">
        <v>11990.18</v>
      </c>
      <c r="O1408" t="s">
        <v>91</v>
      </c>
      <c r="P1408">
        <v>798.41</v>
      </c>
      <c r="Q1408" t="s">
        <v>30</v>
      </c>
      <c r="R1408" t="s">
        <v>41</v>
      </c>
      <c r="S1408">
        <v>2</v>
      </c>
      <c r="T1408">
        <v>1</v>
      </c>
      <c r="U1408" t="s">
        <v>32</v>
      </c>
      <c r="V1408" t="s">
        <v>33</v>
      </c>
      <c r="W1408">
        <v>4</v>
      </c>
    </row>
    <row r="1409" spans="1:23" x14ac:dyDescent="0.25">
      <c r="A1409" t="s">
        <v>2037</v>
      </c>
      <c r="B1409" s="1">
        <v>45708</v>
      </c>
      <c r="C1409" t="s">
        <v>282</v>
      </c>
      <c r="D1409" t="s">
        <v>154</v>
      </c>
      <c r="E1409" t="s">
        <v>46</v>
      </c>
      <c r="F1409" t="s">
        <v>37</v>
      </c>
      <c r="G1409" t="s">
        <v>313</v>
      </c>
      <c r="H1409">
        <v>2</v>
      </c>
      <c r="I1409">
        <v>5420</v>
      </c>
      <c r="J1409">
        <v>10</v>
      </c>
      <c r="K1409">
        <v>1084</v>
      </c>
      <c r="L1409">
        <v>9756</v>
      </c>
      <c r="M1409">
        <v>6437.35</v>
      </c>
      <c r="N1409">
        <v>3318.65</v>
      </c>
      <c r="O1409" t="s">
        <v>91</v>
      </c>
      <c r="P1409">
        <v>2404.7199999999998</v>
      </c>
      <c r="Q1409" t="s">
        <v>40</v>
      </c>
      <c r="R1409" t="s">
        <v>41</v>
      </c>
      <c r="S1409">
        <v>2</v>
      </c>
      <c r="T1409">
        <v>5</v>
      </c>
      <c r="U1409" t="s">
        <v>56</v>
      </c>
      <c r="V1409" t="s">
        <v>33</v>
      </c>
      <c r="W1409">
        <v>1</v>
      </c>
    </row>
    <row r="1410" spans="1:23" x14ac:dyDescent="0.25">
      <c r="A1410" t="s">
        <v>2038</v>
      </c>
      <c r="B1410" s="1">
        <v>45908</v>
      </c>
      <c r="C1410" t="s">
        <v>1026</v>
      </c>
      <c r="D1410" t="s">
        <v>25</v>
      </c>
      <c r="E1410" t="s">
        <v>26</v>
      </c>
      <c r="F1410" t="s">
        <v>47</v>
      </c>
      <c r="G1410" t="s">
        <v>64</v>
      </c>
      <c r="H1410">
        <v>1</v>
      </c>
      <c r="I1410">
        <v>16371</v>
      </c>
      <c r="J1410">
        <v>20</v>
      </c>
      <c r="K1410">
        <v>3274.2</v>
      </c>
      <c r="L1410">
        <v>13096.8</v>
      </c>
      <c r="M1410">
        <v>10300.24</v>
      </c>
      <c r="N1410">
        <v>2796.56</v>
      </c>
      <c r="O1410" t="s">
        <v>60</v>
      </c>
      <c r="P1410">
        <v>2372.71</v>
      </c>
      <c r="Q1410" t="s">
        <v>73</v>
      </c>
      <c r="R1410" t="s">
        <v>41</v>
      </c>
      <c r="S1410">
        <v>2</v>
      </c>
      <c r="T1410">
        <v>1</v>
      </c>
      <c r="U1410" t="s">
        <v>32</v>
      </c>
      <c r="V1410" t="s">
        <v>50</v>
      </c>
      <c r="W1410">
        <v>5</v>
      </c>
    </row>
    <row r="1411" spans="1:23" x14ac:dyDescent="0.25">
      <c r="A1411" t="s">
        <v>2039</v>
      </c>
      <c r="B1411" s="1">
        <v>45973</v>
      </c>
      <c r="C1411" t="s">
        <v>137</v>
      </c>
      <c r="D1411" t="s">
        <v>45</v>
      </c>
      <c r="E1411" t="s">
        <v>46</v>
      </c>
      <c r="F1411" t="s">
        <v>53</v>
      </c>
      <c r="G1411" t="s">
        <v>82</v>
      </c>
      <c r="H1411">
        <v>3</v>
      </c>
      <c r="I1411">
        <v>27151</v>
      </c>
      <c r="J1411">
        <v>10</v>
      </c>
      <c r="K1411">
        <v>8145.3</v>
      </c>
      <c r="L1411">
        <v>73307.7</v>
      </c>
      <c r="M1411">
        <v>48970.52</v>
      </c>
      <c r="N1411">
        <v>24337.18</v>
      </c>
      <c r="O1411" t="s">
        <v>91</v>
      </c>
      <c r="P1411">
        <v>538.89</v>
      </c>
      <c r="Q1411" t="s">
        <v>68</v>
      </c>
      <c r="R1411" t="s">
        <v>41</v>
      </c>
      <c r="S1411">
        <v>2</v>
      </c>
      <c r="T1411">
        <v>0</v>
      </c>
      <c r="U1411" t="s">
        <v>32</v>
      </c>
      <c r="V1411" t="s">
        <v>50</v>
      </c>
      <c r="W1411">
        <v>2</v>
      </c>
    </row>
    <row r="1412" spans="1:23" x14ac:dyDescent="0.25">
      <c r="A1412" t="s">
        <v>2040</v>
      </c>
      <c r="B1412" s="1">
        <v>45866</v>
      </c>
      <c r="C1412" t="s">
        <v>961</v>
      </c>
      <c r="D1412" t="s">
        <v>97</v>
      </c>
      <c r="E1412" t="s">
        <v>36</v>
      </c>
      <c r="F1412" t="s">
        <v>86</v>
      </c>
      <c r="G1412" t="s">
        <v>127</v>
      </c>
      <c r="H1412">
        <v>2</v>
      </c>
      <c r="I1412">
        <v>6819</v>
      </c>
      <c r="J1412">
        <v>20</v>
      </c>
      <c r="K1412">
        <v>2727.6</v>
      </c>
      <c r="L1412">
        <v>10910.4</v>
      </c>
      <c r="M1412">
        <v>8130.66</v>
      </c>
      <c r="N1412">
        <v>2779.74</v>
      </c>
      <c r="O1412" t="s">
        <v>49</v>
      </c>
      <c r="P1412">
        <v>102.3</v>
      </c>
      <c r="Q1412" t="s">
        <v>40</v>
      </c>
      <c r="R1412" t="s">
        <v>31</v>
      </c>
      <c r="S1412">
        <v>5</v>
      </c>
      <c r="T1412">
        <v>7</v>
      </c>
      <c r="U1412" t="s">
        <v>56</v>
      </c>
      <c r="V1412" t="s">
        <v>33</v>
      </c>
      <c r="W1412">
        <v>3</v>
      </c>
    </row>
    <row r="1413" spans="1:23" x14ac:dyDescent="0.25">
      <c r="A1413" t="s">
        <v>2041</v>
      </c>
      <c r="B1413" s="1">
        <v>45801</v>
      </c>
      <c r="C1413" t="s">
        <v>618</v>
      </c>
      <c r="D1413" t="s">
        <v>90</v>
      </c>
      <c r="E1413" t="s">
        <v>46</v>
      </c>
      <c r="F1413" t="s">
        <v>86</v>
      </c>
      <c r="G1413" t="s">
        <v>180</v>
      </c>
      <c r="H1413">
        <v>2</v>
      </c>
      <c r="I1413">
        <v>44352</v>
      </c>
      <c r="J1413">
        <v>5</v>
      </c>
      <c r="K1413">
        <v>4435.2</v>
      </c>
      <c r="L1413">
        <v>84268.800000000003</v>
      </c>
      <c r="M1413">
        <v>50740.63</v>
      </c>
      <c r="N1413">
        <v>33528.17</v>
      </c>
      <c r="O1413" t="s">
        <v>91</v>
      </c>
      <c r="P1413">
        <v>2330.87</v>
      </c>
      <c r="Q1413" t="s">
        <v>73</v>
      </c>
      <c r="R1413" t="s">
        <v>31</v>
      </c>
      <c r="S1413">
        <v>5</v>
      </c>
      <c r="T1413">
        <v>5</v>
      </c>
      <c r="U1413" t="s">
        <v>32</v>
      </c>
      <c r="V1413" t="s">
        <v>50</v>
      </c>
      <c r="W1413">
        <v>1</v>
      </c>
    </row>
    <row r="1414" spans="1:23" x14ac:dyDescent="0.25">
      <c r="A1414" t="s">
        <v>2042</v>
      </c>
      <c r="B1414" s="1">
        <v>45674</v>
      </c>
      <c r="C1414" t="s">
        <v>702</v>
      </c>
      <c r="D1414" t="s">
        <v>67</v>
      </c>
      <c r="E1414" t="s">
        <v>26</v>
      </c>
      <c r="F1414" t="s">
        <v>86</v>
      </c>
      <c r="G1414" t="s">
        <v>180</v>
      </c>
      <c r="H1414">
        <v>1</v>
      </c>
      <c r="I1414">
        <v>59345</v>
      </c>
      <c r="J1414">
        <v>0</v>
      </c>
      <c r="K1414">
        <v>0</v>
      </c>
      <c r="L1414">
        <v>59345</v>
      </c>
      <c r="M1414">
        <v>46238.64</v>
      </c>
      <c r="N1414">
        <v>13106.36</v>
      </c>
      <c r="O1414" t="s">
        <v>60</v>
      </c>
      <c r="P1414">
        <v>209.99</v>
      </c>
      <c r="Q1414" t="s">
        <v>83</v>
      </c>
      <c r="R1414" t="s">
        <v>41</v>
      </c>
      <c r="S1414">
        <v>2</v>
      </c>
      <c r="T1414">
        <v>1</v>
      </c>
      <c r="U1414" t="s">
        <v>32</v>
      </c>
      <c r="V1414" t="s">
        <v>42</v>
      </c>
    </row>
    <row r="1415" spans="1:23" x14ac:dyDescent="0.25">
      <c r="A1415" t="s">
        <v>2043</v>
      </c>
      <c r="B1415" s="1">
        <v>46011</v>
      </c>
      <c r="C1415" t="s">
        <v>70</v>
      </c>
      <c r="D1415" t="s">
        <v>90</v>
      </c>
      <c r="E1415" t="s">
        <v>26</v>
      </c>
      <c r="F1415" t="s">
        <v>47</v>
      </c>
      <c r="G1415" t="s">
        <v>146</v>
      </c>
      <c r="H1415">
        <v>1</v>
      </c>
      <c r="I1415">
        <v>15290</v>
      </c>
      <c r="J1415">
        <v>5</v>
      </c>
      <c r="K1415">
        <v>764.5</v>
      </c>
      <c r="L1415">
        <v>14525.5</v>
      </c>
      <c r="M1415">
        <v>8791.41</v>
      </c>
      <c r="N1415">
        <v>5734.09</v>
      </c>
      <c r="O1415" t="s">
        <v>49</v>
      </c>
      <c r="P1415">
        <v>253.11</v>
      </c>
      <c r="Q1415" t="s">
        <v>40</v>
      </c>
      <c r="R1415" t="s">
        <v>41</v>
      </c>
      <c r="S1415">
        <v>2</v>
      </c>
      <c r="T1415">
        <v>6</v>
      </c>
      <c r="U1415" t="s">
        <v>56</v>
      </c>
      <c r="V1415" t="s">
        <v>33</v>
      </c>
      <c r="W1415">
        <v>5</v>
      </c>
    </row>
    <row r="1416" spans="1:23" x14ac:dyDescent="0.25">
      <c r="A1416" t="s">
        <v>2044</v>
      </c>
      <c r="B1416" s="1">
        <v>45847</v>
      </c>
      <c r="C1416" t="s">
        <v>1729</v>
      </c>
      <c r="D1416" t="s">
        <v>154</v>
      </c>
      <c r="E1416" t="s">
        <v>26</v>
      </c>
      <c r="F1416" t="s">
        <v>27</v>
      </c>
      <c r="G1416" t="s">
        <v>164</v>
      </c>
      <c r="H1416">
        <v>1</v>
      </c>
      <c r="I1416">
        <v>26349</v>
      </c>
      <c r="J1416">
        <v>15</v>
      </c>
      <c r="K1416">
        <v>3952.35</v>
      </c>
      <c r="L1416">
        <v>22396.65</v>
      </c>
      <c r="M1416">
        <v>12370.93</v>
      </c>
      <c r="N1416">
        <v>10025.719999999999</v>
      </c>
      <c r="O1416" t="s">
        <v>49</v>
      </c>
      <c r="P1416">
        <v>462.81</v>
      </c>
      <c r="Q1416" t="s">
        <v>30</v>
      </c>
      <c r="R1416" t="s">
        <v>41</v>
      </c>
      <c r="S1416">
        <v>2</v>
      </c>
      <c r="T1416">
        <v>1</v>
      </c>
      <c r="U1416" t="s">
        <v>32</v>
      </c>
      <c r="V1416" t="s">
        <v>33</v>
      </c>
      <c r="W1416">
        <v>5</v>
      </c>
    </row>
    <row r="1417" spans="1:23" x14ac:dyDescent="0.25">
      <c r="A1417" t="s">
        <v>2045</v>
      </c>
      <c r="B1417" s="1">
        <v>45769</v>
      </c>
      <c r="C1417" t="s">
        <v>1744</v>
      </c>
      <c r="D1417" t="s">
        <v>97</v>
      </c>
      <c r="E1417" t="s">
        <v>36</v>
      </c>
      <c r="F1417" t="s">
        <v>37</v>
      </c>
      <c r="G1417" t="s">
        <v>161</v>
      </c>
      <c r="H1417">
        <v>1</v>
      </c>
      <c r="I1417">
        <v>13540</v>
      </c>
      <c r="J1417">
        <v>10</v>
      </c>
      <c r="K1417">
        <v>1354</v>
      </c>
      <c r="L1417">
        <v>12186</v>
      </c>
      <c r="M1417">
        <v>8747.6</v>
      </c>
      <c r="N1417">
        <v>3438.4</v>
      </c>
      <c r="O1417" t="s">
        <v>39</v>
      </c>
      <c r="P1417">
        <v>314.81</v>
      </c>
      <c r="Q1417" t="s">
        <v>83</v>
      </c>
      <c r="R1417" t="s">
        <v>31</v>
      </c>
      <c r="S1417">
        <v>5</v>
      </c>
      <c r="T1417">
        <v>6</v>
      </c>
      <c r="U1417" t="s">
        <v>56</v>
      </c>
      <c r="V1417" t="s">
        <v>33</v>
      </c>
      <c r="W1417">
        <v>3</v>
      </c>
    </row>
    <row r="1418" spans="1:23" x14ac:dyDescent="0.25">
      <c r="A1418" t="s">
        <v>2046</v>
      </c>
      <c r="B1418" s="1">
        <v>45885</v>
      </c>
      <c r="C1418" t="s">
        <v>316</v>
      </c>
      <c r="D1418" t="s">
        <v>63</v>
      </c>
      <c r="E1418" t="s">
        <v>46</v>
      </c>
      <c r="F1418" t="s">
        <v>53</v>
      </c>
      <c r="G1418" t="s">
        <v>151</v>
      </c>
      <c r="H1418">
        <v>1</v>
      </c>
      <c r="I1418">
        <v>78546</v>
      </c>
      <c r="J1418">
        <v>5</v>
      </c>
      <c r="K1418">
        <v>3927.3</v>
      </c>
      <c r="L1418">
        <v>74618.7</v>
      </c>
      <c r="M1418">
        <v>60213.4</v>
      </c>
      <c r="N1418">
        <v>14405.3</v>
      </c>
      <c r="O1418" t="s">
        <v>60</v>
      </c>
      <c r="P1418">
        <v>1667.53</v>
      </c>
      <c r="Q1418" t="s">
        <v>83</v>
      </c>
      <c r="R1418" t="s">
        <v>31</v>
      </c>
      <c r="S1418">
        <v>5</v>
      </c>
      <c r="T1418">
        <v>2</v>
      </c>
      <c r="U1418" t="s">
        <v>32</v>
      </c>
      <c r="V1418" t="s">
        <v>50</v>
      </c>
      <c r="W1418">
        <v>3</v>
      </c>
    </row>
    <row r="1419" spans="1:23" x14ac:dyDescent="0.25">
      <c r="A1419" t="s">
        <v>2047</v>
      </c>
      <c r="B1419" s="1">
        <v>45885</v>
      </c>
      <c r="C1419" t="s">
        <v>451</v>
      </c>
      <c r="D1419" t="s">
        <v>124</v>
      </c>
      <c r="E1419" t="s">
        <v>46</v>
      </c>
      <c r="F1419" t="s">
        <v>86</v>
      </c>
      <c r="G1419" t="s">
        <v>180</v>
      </c>
      <c r="H1419">
        <v>1</v>
      </c>
      <c r="I1419">
        <v>15941</v>
      </c>
      <c r="J1419">
        <v>10</v>
      </c>
      <c r="K1419">
        <v>1594.1</v>
      </c>
      <c r="L1419">
        <v>14346.9</v>
      </c>
      <c r="M1419">
        <v>8630.4</v>
      </c>
      <c r="N1419">
        <v>5716.5</v>
      </c>
      <c r="O1419" t="s">
        <v>55</v>
      </c>
      <c r="P1419">
        <v>1685.17</v>
      </c>
      <c r="Q1419" t="s">
        <v>30</v>
      </c>
      <c r="R1419" t="s">
        <v>31</v>
      </c>
      <c r="S1419">
        <v>5</v>
      </c>
      <c r="T1419">
        <v>2</v>
      </c>
      <c r="U1419" t="s">
        <v>32</v>
      </c>
      <c r="V1419" t="s">
        <v>50</v>
      </c>
      <c r="W1419">
        <v>5</v>
      </c>
    </row>
    <row r="1420" spans="1:23" x14ac:dyDescent="0.25">
      <c r="A1420" t="s">
        <v>2048</v>
      </c>
      <c r="B1420" s="1">
        <v>45778</v>
      </c>
      <c r="C1420" t="s">
        <v>312</v>
      </c>
      <c r="D1420" t="s">
        <v>25</v>
      </c>
      <c r="E1420" t="s">
        <v>46</v>
      </c>
      <c r="F1420" t="s">
        <v>86</v>
      </c>
      <c r="G1420" t="s">
        <v>127</v>
      </c>
      <c r="H1420">
        <v>1</v>
      </c>
      <c r="I1420">
        <v>19514</v>
      </c>
      <c r="J1420">
        <v>10</v>
      </c>
      <c r="K1420">
        <v>1951.4</v>
      </c>
      <c r="L1420">
        <v>17562.599999999999</v>
      </c>
      <c r="M1420">
        <v>11468.15</v>
      </c>
      <c r="N1420">
        <v>6094.45</v>
      </c>
      <c r="O1420" t="s">
        <v>29</v>
      </c>
      <c r="P1420">
        <v>2133.83</v>
      </c>
      <c r="Q1420" t="s">
        <v>30</v>
      </c>
      <c r="R1420" t="s">
        <v>31</v>
      </c>
      <c r="S1420">
        <v>5</v>
      </c>
      <c r="T1420">
        <v>8</v>
      </c>
      <c r="U1420" t="s">
        <v>56</v>
      </c>
      <c r="V1420" t="s">
        <v>33</v>
      </c>
      <c r="W1420">
        <v>4</v>
      </c>
    </row>
    <row r="1421" spans="1:23" x14ac:dyDescent="0.25">
      <c r="A1421" t="s">
        <v>2049</v>
      </c>
      <c r="B1421" s="1">
        <v>45843</v>
      </c>
      <c r="C1421" t="s">
        <v>1449</v>
      </c>
      <c r="D1421" t="s">
        <v>79</v>
      </c>
      <c r="E1421" t="s">
        <v>46</v>
      </c>
      <c r="F1421" t="s">
        <v>37</v>
      </c>
      <c r="G1421" t="s">
        <v>313</v>
      </c>
      <c r="H1421">
        <v>3</v>
      </c>
      <c r="I1421">
        <v>38545</v>
      </c>
      <c r="J1421">
        <v>25</v>
      </c>
      <c r="K1421">
        <v>28908.75</v>
      </c>
      <c r="L1421">
        <v>86726.25</v>
      </c>
      <c r="M1421">
        <v>62822.44</v>
      </c>
      <c r="N1421">
        <v>23903.81</v>
      </c>
      <c r="O1421" t="s">
        <v>29</v>
      </c>
      <c r="P1421">
        <v>436.51</v>
      </c>
      <c r="Q1421" t="s">
        <v>83</v>
      </c>
      <c r="R1421" t="s">
        <v>41</v>
      </c>
      <c r="S1421">
        <v>2</v>
      </c>
      <c r="T1421">
        <v>3</v>
      </c>
      <c r="U1421" t="s">
        <v>56</v>
      </c>
      <c r="V1421" t="s">
        <v>33</v>
      </c>
      <c r="W1421">
        <v>5</v>
      </c>
    </row>
    <row r="1422" spans="1:23" x14ac:dyDescent="0.25">
      <c r="A1422" t="s">
        <v>2050</v>
      </c>
      <c r="B1422" s="1">
        <v>45708</v>
      </c>
      <c r="C1422" t="s">
        <v>2051</v>
      </c>
      <c r="D1422" t="s">
        <v>71</v>
      </c>
      <c r="E1422" t="s">
        <v>36</v>
      </c>
      <c r="F1422" t="s">
        <v>53</v>
      </c>
      <c r="G1422" t="s">
        <v>59</v>
      </c>
      <c r="H1422">
        <v>1</v>
      </c>
      <c r="I1422">
        <v>64364</v>
      </c>
      <c r="J1422">
        <v>15</v>
      </c>
      <c r="K1422">
        <v>9654.6</v>
      </c>
      <c r="L1422">
        <v>54709.4</v>
      </c>
      <c r="M1422">
        <v>36568.089999999997</v>
      </c>
      <c r="N1422">
        <v>18141.310000000001</v>
      </c>
      <c r="O1422" t="s">
        <v>60</v>
      </c>
      <c r="P1422">
        <v>658.17</v>
      </c>
      <c r="Q1422" t="s">
        <v>30</v>
      </c>
      <c r="R1422" t="s">
        <v>31</v>
      </c>
      <c r="S1422">
        <v>5</v>
      </c>
      <c r="T1422">
        <v>5</v>
      </c>
      <c r="U1422" t="s">
        <v>32</v>
      </c>
      <c r="V1422" t="s">
        <v>42</v>
      </c>
    </row>
    <row r="1423" spans="1:23" x14ac:dyDescent="0.25">
      <c r="A1423" t="s">
        <v>2052</v>
      </c>
      <c r="B1423" s="1">
        <v>46009</v>
      </c>
      <c r="C1423" t="s">
        <v>1281</v>
      </c>
      <c r="D1423" t="s">
        <v>25</v>
      </c>
      <c r="E1423" t="s">
        <v>46</v>
      </c>
      <c r="F1423" t="s">
        <v>53</v>
      </c>
      <c r="G1423" t="s">
        <v>54</v>
      </c>
      <c r="H1423">
        <v>4</v>
      </c>
      <c r="I1423">
        <v>36181</v>
      </c>
      <c r="J1423">
        <v>25</v>
      </c>
      <c r="K1423">
        <v>36181</v>
      </c>
      <c r="L1423">
        <v>108543</v>
      </c>
      <c r="M1423">
        <v>61661.43</v>
      </c>
      <c r="N1423">
        <v>46881.57</v>
      </c>
      <c r="O1423" t="s">
        <v>55</v>
      </c>
      <c r="P1423">
        <v>1211.3800000000001</v>
      </c>
      <c r="Q1423" t="s">
        <v>68</v>
      </c>
      <c r="R1423" t="s">
        <v>41</v>
      </c>
      <c r="S1423">
        <v>2</v>
      </c>
      <c r="T1423">
        <v>4</v>
      </c>
      <c r="U1423" t="s">
        <v>56</v>
      </c>
      <c r="V1423" t="s">
        <v>33</v>
      </c>
      <c r="W1423">
        <v>3</v>
      </c>
    </row>
    <row r="1424" spans="1:23" x14ac:dyDescent="0.25">
      <c r="A1424" t="s">
        <v>2053</v>
      </c>
      <c r="B1424" s="1">
        <v>45846</v>
      </c>
      <c r="C1424" t="s">
        <v>2054</v>
      </c>
      <c r="D1424" t="s">
        <v>25</v>
      </c>
      <c r="E1424" t="s">
        <v>36</v>
      </c>
      <c r="F1424" t="s">
        <v>37</v>
      </c>
      <c r="G1424" t="s">
        <v>313</v>
      </c>
      <c r="H1424">
        <v>2</v>
      </c>
      <c r="I1424">
        <v>14434</v>
      </c>
      <c r="J1424">
        <v>15</v>
      </c>
      <c r="K1424">
        <v>4330.2</v>
      </c>
      <c r="L1424">
        <v>24537.8</v>
      </c>
      <c r="M1424">
        <v>16147.06</v>
      </c>
      <c r="N1424">
        <v>8390.74</v>
      </c>
      <c r="O1424" t="s">
        <v>91</v>
      </c>
      <c r="P1424">
        <v>2282.4699999999998</v>
      </c>
      <c r="Q1424" t="s">
        <v>30</v>
      </c>
      <c r="R1424" t="s">
        <v>31</v>
      </c>
      <c r="S1424">
        <v>5</v>
      </c>
      <c r="T1424">
        <v>4</v>
      </c>
      <c r="U1424" t="s">
        <v>32</v>
      </c>
      <c r="V1424" t="s">
        <v>33</v>
      </c>
      <c r="W1424">
        <v>4</v>
      </c>
    </row>
    <row r="1425" spans="1:23" x14ac:dyDescent="0.25">
      <c r="A1425" t="s">
        <v>2055</v>
      </c>
      <c r="B1425" s="1">
        <v>45936</v>
      </c>
      <c r="C1425" t="s">
        <v>270</v>
      </c>
      <c r="D1425" t="s">
        <v>79</v>
      </c>
      <c r="E1425" t="s">
        <v>46</v>
      </c>
      <c r="F1425" t="s">
        <v>86</v>
      </c>
      <c r="G1425" t="s">
        <v>110</v>
      </c>
      <c r="H1425">
        <v>2</v>
      </c>
      <c r="I1425">
        <v>77834</v>
      </c>
      <c r="J1425">
        <v>0</v>
      </c>
      <c r="K1425">
        <v>0</v>
      </c>
      <c r="L1425">
        <v>155668</v>
      </c>
      <c r="M1425">
        <v>119863.2</v>
      </c>
      <c r="N1425">
        <v>35804.800000000003</v>
      </c>
      <c r="O1425" t="s">
        <v>49</v>
      </c>
      <c r="P1425">
        <v>404.91</v>
      </c>
      <c r="Q1425" t="s">
        <v>73</v>
      </c>
      <c r="R1425" t="s">
        <v>31</v>
      </c>
      <c r="S1425">
        <v>5</v>
      </c>
      <c r="T1425">
        <v>3</v>
      </c>
      <c r="U1425" t="s">
        <v>32</v>
      </c>
      <c r="V1425" t="s">
        <v>33</v>
      </c>
      <c r="W1425">
        <v>2</v>
      </c>
    </row>
    <row r="1426" spans="1:23" x14ac:dyDescent="0.25">
      <c r="A1426" t="s">
        <v>2056</v>
      </c>
      <c r="B1426" s="1">
        <v>45988</v>
      </c>
      <c r="C1426" t="s">
        <v>2057</v>
      </c>
      <c r="D1426" t="s">
        <v>154</v>
      </c>
      <c r="E1426" t="s">
        <v>26</v>
      </c>
      <c r="F1426" t="s">
        <v>47</v>
      </c>
      <c r="G1426" t="s">
        <v>146</v>
      </c>
      <c r="H1426">
        <v>1</v>
      </c>
      <c r="I1426">
        <v>49424</v>
      </c>
      <c r="J1426">
        <v>0</v>
      </c>
      <c r="K1426">
        <v>0</v>
      </c>
      <c r="L1426">
        <v>49424</v>
      </c>
      <c r="M1426">
        <v>35696.6</v>
      </c>
      <c r="N1426">
        <v>13727.4</v>
      </c>
      <c r="O1426" t="s">
        <v>60</v>
      </c>
      <c r="P1426">
        <v>489.3</v>
      </c>
      <c r="Q1426" t="s">
        <v>40</v>
      </c>
      <c r="R1426" t="s">
        <v>31</v>
      </c>
      <c r="S1426">
        <v>5</v>
      </c>
      <c r="T1426">
        <v>1</v>
      </c>
      <c r="U1426" t="s">
        <v>32</v>
      </c>
      <c r="V1426" t="s">
        <v>50</v>
      </c>
      <c r="W1426">
        <v>3</v>
      </c>
    </row>
    <row r="1427" spans="1:23" x14ac:dyDescent="0.25">
      <c r="A1427" t="s">
        <v>2058</v>
      </c>
      <c r="B1427" s="1">
        <v>45841</v>
      </c>
      <c r="C1427" t="s">
        <v>282</v>
      </c>
      <c r="D1427" t="s">
        <v>79</v>
      </c>
      <c r="E1427" t="s">
        <v>46</v>
      </c>
      <c r="F1427" t="s">
        <v>86</v>
      </c>
      <c r="G1427" t="s">
        <v>94</v>
      </c>
      <c r="H1427">
        <v>1</v>
      </c>
      <c r="I1427">
        <v>7003</v>
      </c>
      <c r="J1427">
        <v>0</v>
      </c>
      <c r="K1427">
        <v>0</v>
      </c>
      <c r="L1427">
        <v>7003</v>
      </c>
      <c r="M1427">
        <v>5526.91</v>
      </c>
      <c r="N1427">
        <v>1476.09</v>
      </c>
      <c r="O1427" t="s">
        <v>91</v>
      </c>
      <c r="P1427">
        <v>2105.9</v>
      </c>
      <c r="Q1427" t="s">
        <v>40</v>
      </c>
      <c r="R1427" t="s">
        <v>41</v>
      </c>
      <c r="S1427">
        <v>2</v>
      </c>
      <c r="T1427">
        <v>1</v>
      </c>
      <c r="U1427" t="s">
        <v>32</v>
      </c>
      <c r="V1427" t="s">
        <v>33</v>
      </c>
      <c r="W1427">
        <v>5</v>
      </c>
    </row>
    <row r="1428" spans="1:23" x14ac:dyDescent="0.25">
      <c r="A1428" t="s">
        <v>2059</v>
      </c>
      <c r="B1428" s="1">
        <v>45689</v>
      </c>
      <c r="C1428" t="s">
        <v>1637</v>
      </c>
      <c r="D1428" t="s">
        <v>67</v>
      </c>
      <c r="E1428" t="s">
        <v>36</v>
      </c>
      <c r="F1428" t="s">
        <v>47</v>
      </c>
      <c r="G1428" t="s">
        <v>105</v>
      </c>
      <c r="H1428">
        <v>3</v>
      </c>
      <c r="I1428">
        <v>14921</v>
      </c>
      <c r="J1428">
        <v>10</v>
      </c>
      <c r="K1428">
        <v>4476.3</v>
      </c>
      <c r="L1428">
        <v>40286.699999999997</v>
      </c>
      <c r="M1428">
        <v>23552.95</v>
      </c>
      <c r="N1428">
        <v>16733.75</v>
      </c>
      <c r="O1428" t="s">
        <v>60</v>
      </c>
      <c r="P1428">
        <v>2319.5500000000002</v>
      </c>
      <c r="Q1428" t="s">
        <v>68</v>
      </c>
      <c r="R1428" t="s">
        <v>41</v>
      </c>
      <c r="S1428">
        <v>2</v>
      </c>
      <c r="T1428">
        <v>5</v>
      </c>
      <c r="U1428" t="s">
        <v>32</v>
      </c>
      <c r="V1428" t="s">
        <v>50</v>
      </c>
      <c r="W1428">
        <v>5</v>
      </c>
    </row>
    <row r="1429" spans="1:23" x14ac:dyDescent="0.25">
      <c r="A1429" t="s">
        <v>2060</v>
      </c>
      <c r="B1429" s="1">
        <v>45861</v>
      </c>
      <c r="C1429" t="s">
        <v>1238</v>
      </c>
      <c r="D1429" t="s">
        <v>90</v>
      </c>
      <c r="E1429" t="s">
        <v>36</v>
      </c>
      <c r="F1429" t="s">
        <v>53</v>
      </c>
      <c r="G1429" t="s">
        <v>82</v>
      </c>
      <c r="H1429">
        <v>1</v>
      </c>
      <c r="I1429">
        <v>15298</v>
      </c>
      <c r="J1429">
        <v>10</v>
      </c>
      <c r="K1429">
        <v>1529.8</v>
      </c>
      <c r="L1429">
        <v>13768.2</v>
      </c>
      <c r="M1429">
        <v>10082.27</v>
      </c>
      <c r="N1429">
        <v>3685.93</v>
      </c>
      <c r="O1429" t="s">
        <v>60</v>
      </c>
      <c r="P1429">
        <v>2417.92</v>
      </c>
      <c r="Q1429" t="s">
        <v>73</v>
      </c>
      <c r="R1429" t="s">
        <v>31</v>
      </c>
      <c r="S1429">
        <v>5</v>
      </c>
      <c r="T1429">
        <v>2</v>
      </c>
      <c r="U1429" t="s">
        <v>32</v>
      </c>
      <c r="V1429" t="s">
        <v>33</v>
      </c>
      <c r="W1429">
        <v>5</v>
      </c>
    </row>
    <row r="1430" spans="1:23" x14ac:dyDescent="0.25">
      <c r="A1430" t="s">
        <v>2061</v>
      </c>
      <c r="B1430" s="1">
        <v>45799</v>
      </c>
      <c r="C1430" t="s">
        <v>75</v>
      </c>
      <c r="D1430" t="s">
        <v>79</v>
      </c>
      <c r="E1430" t="s">
        <v>36</v>
      </c>
      <c r="F1430" t="s">
        <v>27</v>
      </c>
      <c r="G1430" t="s">
        <v>113</v>
      </c>
      <c r="H1430">
        <v>2</v>
      </c>
      <c r="I1430">
        <v>22589</v>
      </c>
      <c r="J1430">
        <v>0</v>
      </c>
      <c r="K1430">
        <v>0</v>
      </c>
      <c r="L1430">
        <v>45178</v>
      </c>
      <c r="M1430">
        <v>29436.79</v>
      </c>
      <c r="N1430">
        <v>15741.21</v>
      </c>
      <c r="O1430" t="s">
        <v>29</v>
      </c>
      <c r="P1430">
        <v>1117.1500000000001</v>
      </c>
      <c r="Q1430" t="s">
        <v>30</v>
      </c>
      <c r="R1430" t="s">
        <v>41</v>
      </c>
      <c r="S1430">
        <v>2</v>
      </c>
      <c r="T1430">
        <v>2</v>
      </c>
      <c r="U1430" t="s">
        <v>32</v>
      </c>
      <c r="V1430" t="s">
        <v>50</v>
      </c>
      <c r="W1430">
        <v>5</v>
      </c>
    </row>
    <row r="1431" spans="1:23" x14ac:dyDescent="0.25">
      <c r="A1431" t="s">
        <v>2062</v>
      </c>
      <c r="B1431" s="1">
        <v>45755</v>
      </c>
      <c r="C1431" t="s">
        <v>400</v>
      </c>
      <c r="D1431" t="s">
        <v>45</v>
      </c>
      <c r="E1431" t="s">
        <v>26</v>
      </c>
      <c r="F1431" t="s">
        <v>27</v>
      </c>
      <c r="G1431" t="s">
        <v>72</v>
      </c>
      <c r="H1431">
        <v>1</v>
      </c>
      <c r="I1431">
        <v>29025</v>
      </c>
      <c r="J1431">
        <v>0</v>
      </c>
      <c r="K1431">
        <v>0</v>
      </c>
      <c r="L1431">
        <v>29025</v>
      </c>
      <c r="M1431">
        <v>16100.62</v>
      </c>
      <c r="N1431">
        <v>12924.38</v>
      </c>
      <c r="O1431" t="s">
        <v>29</v>
      </c>
      <c r="P1431">
        <v>2353.19</v>
      </c>
      <c r="Q1431" t="s">
        <v>73</v>
      </c>
      <c r="R1431" t="s">
        <v>41</v>
      </c>
      <c r="S1431">
        <v>2</v>
      </c>
      <c r="T1431">
        <v>1</v>
      </c>
      <c r="U1431" t="s">
        <v>32</v>
      </c>
      <c r="V1431" t="s">
        <v>50</v>
      </c>
      <c r="W1431">
        <v>2</v>
      </c>
    </row>
    <row r="1432" spans="1:23" x14ac:dyDescent="0.25">
      <c r="A1432" t="s">
        <v>2063</v>
      </c>
      <c r="B1432" s="1">
        <v>45720</v>
      </c>
      <c r="C1432" t="s">
        <v>1783</v>
      </c>
      <c r="D1432" t="s">
        <v>124</v>
      </c>
      <c r="E1432" t="s">
        <v>26</v>
      </c>
      <c r="F1432" t="s">
        <v>47</v>
      </c>
      <c r="G1432" t="s">
        <v>105</v>
      </c>
      <c r="H1432">
        <v>3</v>
      </c>
      <c r="I1432">
        <v>15335</v>
      </c>
      <c r="J1432">
        <v>10</v>
      </c>
      <c r="K1432">
        <v>4600.5</v>
      </c>
      <c r="L1432">
        <v>41404.5</v>
      </c>
      <c r="M1432">
        <v>25498.83</v>
      </c>
      <c r="N1432">
        <v>15905.67</v>
      </c>
      <c r="O1432" t="s">
        <v>60</v>
      </c>
      <c r="P1432">
        <v>248.88</v>
      </c>
      <c r="Q1432" t="s">
        <v>73</v>
      </c>
      <c r="R1432" t="s">
        <v>31</v>
      </c>
      <c r="S1432">
        <v>5</v>
      </c>
      <c r="T1432">
        <v>3</v>
      </c>
      <c r="U1432" t="s">
        <v>32</v>
      </c>
      <c r="V1432" t="s">
        <v>42</v>
      </c>
    </row>
    <row r="1433" spans="1:23" x14ac:dyDescent="0.25">
      <c r="A1433" t="s">
        <v>2064</v>
      </c>
      <c r="B1433" s="1">
        <v>45890</v>
      </c>
      <c r="C1433" t="s">
        <v>1252</v>
      </c>
      <c r="D1433" t="s">
        <v>90</v>
      </c>
      <c r="E1433" t="s">
        <v>46</v>
      </c>
      <c r="F1433" t="s">
        <v>27</v>
      </c>
      <c r="G1433" t="s">
        <v>76</v>
      </c>
      <c r="H1433">
        <v>2</v>
      </c>
      <c r="I1433">
        <v>14272</v>
      </c>
      <c r="J1433">
        <v>0</v>
      </c>
      <c r="K1433">
        <v>0</v>
      </c>
      <c r="L1433">
        <v>28544</v>
      </c>
      <c r="M1433">
        <v>16037.19</v>
      </c>
      <c r="N1433">
        <v>12506.81</v>
      </c>
      <c r="O1433" t="s">
        <v>55</v>
      </c>
      <c r="P1433">
        <v>220.5</v>
      </c>
      <c r="Q1433" t="s">
        <v>40</v>
      </c>
      <c r="R1433" t="s">
        <v>31</v>
      </c>
      <c r="S1433">
        <v>5</v>
      </c>
      <c r="T1433">
        <v>6</v>
      </c>
      <c r="U1433" t="s">
        <v>56</v>
      </c>
      <c r="V1433" t="s">
        <v>33</v>
      </c>
      <c r="W1433">
        <v>4</v>
      </c>
    </row>
    <row r="1434" spans="1:23" x14ac:dyDescent="0.25">
      <c r="A1434" t="s">
        <v>2065</v>
      </c>
      <c r="B1434" s="1">
        <v>45704</v>
      </c>
      <c r="C1434" t="s">
        <v>576</v>
      </c>
      <c r="D1434" t="s">
        <v>25</v>
      </c>
      <c r="E1434" t="s">
        <v>26</v>
      </c>
      <c r="F1434" t="s">
        <v>53</v>
      </c>
      <c r="G1434" t="s">
        <v>268</v>
      </c>
      <c r="H1434">
        <v>1</v>
      </c>
      <c r="I1434">
        <v>43295</v>
      </c>
      <c r="J1434">
        <v>25</v>
      </c>
      <c r="K1434">
        <v>10823.75</v>
      </c>
      <c r="L1434">
        <v>32471.25</v>
      </c>
      <c r="M1434">
        <v>25912.02</v>
      </c>
      <c r="N1434">
        <v>6559.23</v>
      </c>
      <c r="O1434" t="s">
        <v>29</v>
      </c>
      <c r="P1434">
        <v>864.75</v>
      </c>
      <c r="Q1434" t="s">
        <v>40</v>
      </c>
      <c r="R1434" t="s">
        <v>31</v>
      </c>
      <c r="S1434">
        <v>5</v>
      </c>
      <c r="T1434">
        <v>6</v>
      </c>
      <c r="U1434" t="s">
        <v>56</v>
      </c>
      <c r="V1434" t="s">
        <v>33</v>
      </c>
      <c r="W1434">
        <v>3</v>
      </c>
    </row>
    <row r="1435" spans="1:23" x14ac:dyDescent="0.25">
      <c r="A1435" t="s">
        <v>2066</v>
      </c>
      <c r="B1435" s="1">
        <v>45997</v>
      </c>
      <c r="C1435" t="s">
        <v>653</v>
      </c>
      <c r="D1435" t="s">
        <v>79</v>
      </c>
      <c r="E1435" t="s">
        <v>46</v>
      </c>
      <c r="F1435" t="s">
        <v>47</v>
      </c>
      <c r="G1435" t="s">
        <v>48</v>
      </c>
      <c r="H1435">
        <v>1</v>
      </c>
      <c r="I1435">
        <v>37932</v>
      </c>
      <c r="J1435">
        <v>15</v>
      </c>
      <c r="K1435">
        <v>5689.8</v>
      </c>
      <c r="L1435">
        <v>32242.2</v>
      </c>
      <c r="M1435">
        <v>19843.97</v>
      </c>
      <c r="N1435">
        <v>12398.23</v>
      </c>
      <c r="O1435" t="s">
        <v>29</v>
      </c>
      <c r="P1435">
        <v>2162.0500000000002</v>
      </c>
      <c r="Q1435" t="s">
        <v>68</v>
      </c>
      <c r="R1435" t="s">
        <v>41</v>
      </c>
      <c r="S1435">
        <v>2</v>
      </c>
      <c r="T1435">
        <v>5</v>
      </c>
      <c r="U1435" t="s">
        <v>32</v>
      </c>
      <c r="V1435" t="s">
        <v>50</v>
      </c>
      <c r="W1435">
        <v>4</v>
      </c>
    </row>
    <row r="1436" spans="1:23" x14ac:dyDescent="0.25">
      <c r="A1436" t="s">
        <v>2067</v>
      </c>
      <c r="B1436" s="1">
        <v>45766</v>
      </c>
      <c r="C1436" t="s">
        <v>2068</v>
      </c>
      <c r="D1436" t="s">
        <v>79</v>
      </c>
      <c r="E1436" t="s">
        <v>26</v>
      </c>
      <c r="F1436" t="s">
        <v>47</v>
      </c>
      <c r="G1436" t="s">
        <v>138</v>
      </c>
      <c r="H1436">
        <v>2</v>
      </c>
      <c r="I1436">
        <v>34740</v>
      </c>
      <c r="J1436">
        <v>0</v>
      </c>
      <c r="K1436">
        <v>0</v>
      </c>
      <c r="L1436">
        <v>69480</v>
      </c>
      <c r="M1436">
        <v>44036.57</v>
      </c>
      <c r="N1436">
        <v>25443.43</v>
      </c>
      <c r="O1436" t="s">
        <v>60</v>
      </c>
      <c r="P1436">
        <v>2174.12</v>
      </c>
      <c r="Q1436" t="s">
        <v>40</v>
      </c>
      <c r="R1436" t="s">
        <v>41</v>
      </c>
      <c r="S1436">
        <v>2</v>
      </c>
      <c r="T1436">
        <v>2</v>
      </c>
      <c r="U1436" t="s">
        <v>32</v>
      </c>
      <c r="V1436" t="s">
        <v>42</v>
      </c>
    </row>
    <row r="1437" spans="1:23" x14ac:dyDescent="0.25">
      <c r="A1437" t="s">
        <v>2069</v>
      </c>
      <c r="B1437" s="1">
        <v>45986</v>
      </c>
      <c r="C1437" t="s">
        <v>2070</v>
      </c>
      <c r="D1437" t="s">
        <v>63</v>
      </c>
      <c r="E1437" t="s">
        <v>46</v>
      </c>
      <c r="F1437" t="s">
        <v>47</v>
      </c>
      <c r="G1437" t="s">
        <v>105</v>
      </c>
      <c r="H1437">
        <v>1</v>
      </c>
      <c r="I1437">
        <v>51256</v>
      </c>
      <c r="J1437">
        <v>15</v>
      </c>
      <c r="K1437">
        <v>7688.4</v>
      </c>
      <c r="L1437">
        <v>43567.6</v>
      </c>
      <c r="M1437">
        <v>31773.81</v>
      </c>
      <c r="N1437">
        <v>11793.79</v>
      </c>
      <c r="O1437" t="s">
        <v>55</v>
      </c>
      <c r="P1437">
        <v>1916.45</v>
      </c>
      <c r="Q1437" t="s">
        <v>83</v>
      </c>
      <c r="R1437" t="s">
        <v>41</v>
      </c>
      <c r="S1437">
        <v>2</v>
      </c>
      <c r="T1437">
        <v>2</v>
      </c>
      <c r="U1437" t="s">
        <v>32</v>
      </c>
      <c r="V1437" t="s">
        <v>33</v>
      </c>
      <c r="W1437">
        <v>5</v>
      </c>
    </row>
    <row r="1438" spans="1:23" x14ac:dyDescent="0.25">
      <c r="A1438" t="s">
        <v>2071</v>
      </c>
      <c r="B1438" s="1">
        <v>45985</v>
      </c>
      <c r="C1438" t="s">
        <v>1744</v>
      </c>
      <c r="D1438" t="s">
        <v>97</v>
      </c>
      <c r="E1438" t="s">
        <v>46</v>
      </c>
      <c r="F1438" t="s">
        <v>86</v>
      </c>
      <c r="G1438" t="s">
        <v>180</v>
      </c>
      <c r="H1438">
        <v>2</v>
      </c>
      <c r="I1438">
        <v>58513</v>
      </c>
      <c r="J1438">
        <v>0</v>
      </c>
      <c r="K1438">
        <v>0</v>
      </c>
      <c r="L1438">
        <v>117026</v>
      </c>
      <c r="M1438">
        <v>92141.5</v>
      </c>
      <c r="N1438">
        <v>24884.5</v>
      </c>
      <c r="O1438" t="s">
        <v>39</v>
      </c>
      <c r="P1438">
        <v>2266.7800000000002</v>
      </c>
      <c r="Q1438" t="s">
        <v>68</v>
      </c>
      <c r="R1438" t="s">
        <v>31</v>
      </c>
      <c r="S1438">
        <v>5</v>
      </c>
      <c r="T1438">
        <v>1</v>
      </c>
      <c r="U1438" t="s">
        <v>32</v>
      </c>
      <c r="V1438" t="s">
        <v>50</v>
      </c>
      <c r="W1438">
        <v>3</v>
      </c>
    </row>
    <row r="1439" spans="1:23" x14ac:dyDescent="0.25">
      <c r="A1439" t="s">
        <v>2072</v>
      </c>
      <c r="B1439" s="1">
        <v>45963</v>
      </c>
      <c r="C1439" t="s">
        <v>1378</v>
      </c>
      <c r="D1439" t="s">
        <v>90</v>
      </c>
      <c r="E1439" t="s">
        <v>36</v>
      </c>
      <c r="F1439" t="s">
        <v>27</v>
      </c>
      <c r="G1439" t="s">
        <v>28</v>
      </c>
      <c r="H1439">
        <v>1</v>
      </c>
      <c r="I1439">
        <v>20746</v>
      </c>
      <c r="J1439">
        <v>0</v>
      </c>
      <c r="K1439">
        <v>0</v>
      </c>
      <c r="L1439">
        <v>20746</v>
      </c>
      <c r="M1439">
        <v>14508.13</v>
      </c>
      <c r="N1439">
        <v>6237.87</v>
      </c>
      <c r="O1439" t="s">
        <v>55</v>
      </c>
      <c r="P1439">
        <v>208.17</v>
      </c>
      <c r="Q1439" t="s">
        <v>73</v>
      </c>
      <c r="R1439" t="s">
        <v>31</v>
      </c>
      <c r="S1439">
        <v>5</v>
      </c>
      <c r="T1439">
        <v>5</v>
      </c>
      <c r="U1439" t="s">
        <v>32</v>
      </c>
      <c r="V1439" t="s">
        <v>42</v>
      </c>
    </row>
    <row r="1440" spans="1:23" x14ac:dyDescent="0.25">
      <c r="A1440" t="s">
        <v>2073</v>
      </c>
      <c r="B1440" s="1">
        <v>45668</v>
      </c>
      <c r="C1440" t="s">
        <v>802</v>
      </c>
      <c r="D1440" t="s">
        <v>97</v>
      </c>
      <c r="E1440" t="s">
        <v>36</v>
      </c>
      <c r="F1440" t="s">
        <v>37</v>
      </c>
      <c r="G1440" t="s">
        <v>224</v>
      </c>
      <c r="H1440">
        <v>1</v>
      </c>
      <c r="I1440">
        <v>39635</v>
      </c>
      <c r="J1440">
        <v>0</v>
      </c>
      <c r="K1440">
        <v>0</v>
      </c>
      <c r="L1440">
        <v>39635</v>
      </c>
      <c r="M1440">
        <v>28487.58</v>
      </c>
      <c r="N1440">
        <v>11147.42</v>
      </c>
      <c r="O1440" t="s">
        <v>49</v>
      </c>
      <c r="P1440">
        <v>465.56</v>
      </c>
      <c r="Q1440" t="s">
        <v>68</v>
      </c>
      <c r="R1440" t="s">
        <v>31</v>
      </c>
      <c r="S1440">
        <v>5</v>
      </c>
      <c r="T1440">
        <v>5</v>
      </c>
      <c r="U1440" t="s">
        <v>32</v>
      </c>
      <c r="V1440" t="s">
        <v>33</v>
      </c>
      <c r="W1440">
        <v>1</v>
      </c>
    </row>
    <row r="1441" spans="1:23" x14ac:dyDescent="0.25">
      <c r="A1441" t="s">
        <v>2074</v>
      </c>
      <c r="B1441" s="1">
        <v>45683</v>
      </c>
      <c r="C1441" t="s">
        <v>817</v>
      </c>
      <c r="D1441" t="s">
        <v>79</v>
      </c>
      <c r="E1441" t="s">
        <v>26</v>
      </c>
      <c r="F1441" t="s">
        <v>27</v>
      </c>
      <c r="G1441" t="s">
        <v>113</v>
      </c>
      <c r="H1441">
        <v>1</v>
      </c>
      <c r="I1441">
        <v>20272</v>
      </c>
      <c r="J1441">
        <v>0</v>
      </c>
      <c r="K1441">
        <v>0</v>
      </c>
      <c r="L1441">
        <v>20272</v>
      </c>
      <c r="M1441">
        <v>16541.189999999999</v>
      </c>
      <c r="N1441">
        <v>3730.81</v>
      </c>
      <c r="O1441" t="s">
        <v>91</v>
      </c>
      <c r="P1441">
        <v>1002.22</v>
      </c>
      <c r="Q1441" t="s">
        <v>40</v>
      </c>
      <c r="R1441" t="s">
        <v>41</v>
      </c>
      <c r="S1441">
        <v>2</v>
      </c>
      <c r="T1441">
        <v>4</v>
      </c>
      <c r="U1441" t="s">
        <v>32</v>
      </c>
      <c r="V1441" t="s">
        <v>50</v>
      </c>
      <c r="W1441">
        <v>1</v>
      </c>
    </row>
    <row r="1442" spans="1:23" x14ac:dyDescent="0.25">
      <c r="A1442" t="s">
        <v>2075</v>
      </c>
      <c r="B1442" s="1">
        <v>45828</v>
      </c>
      <c r="C1442" t="s">
        <v>1862</v>
      </c>
      <c r="D1442" t="s">
        <v>67</v>
      </c>
      <c r="E1442" t="s">
        <v>36</v>
      </c>
      <c r="F1442" t="s">
        <v>86</v>
      </c>
      <c r="G1442" t="s">
        <v>127</v>
      </c>
      <c r="H1442">
        <v>3</v>
      </c>
      <c r="I1442">
        <v>17570</v>
      </c>
      <c r="J1442">
        <v>25</v>
      </c>
      <c r="K1442">
        <v>13177.5</v>
      </c>
      <c r="L1442">
        <v>39532.5</v>
      </c>
      <c r="M1442">
        <v>31849.63</v>
      </c>
      <c r="N1442">
        <v>7682.87</v>
      </c>
      <c r="O1442" t="s">
        <v>55</v>
      </c>
      <c r="P1442">
        <v>1609.61</v>
      </c>
      <c r="Q1442" t="s">
        <v>30</v>
      </c>
      <c r="R1442" t="s">
        <v>31</v>
      </c>
      <c r="S1442">
        <v>5</v>
      </c>
      <c r="T1442">
        <v>0</v>
      </c>
      <c r="U1442" t="s">
        <v>32</v>
      </c>
      <c r="V1442" t="s">
        <v>50</v>
      </c>
      <c r="W1442">
        <v>5</v>
      </c>
    </row>
    <row r="1443" spans="1:23" x14ac:dyDescent="0.25">
      <c r="A1443" t="s">
        <v>2076</v>
      </c>
      <c r="B1443" s="1">
        <v>45782</v>
      </c>
      <c r="C1443" t="s">
        <v>476</v>
      </c>
      <c r="D1443" t="s">
        <v>45</v>
      </c>
      <c r="E1443" t="s">
        <v>46</v>
      </c>
      <c r="F1443" t="s">
        <v>47</v>
      </c>
      <c r="G1443" t="s">
        <v>64</v>
      </c>
      <c r="H1443">
        <v>1</v>
      </c>
      <c r="I1443">
        <v>45307</v>
      </c>
      <c r="J1443">
        <v>0</v>
      </c>
      <c r="K1443">
        <v>0</v>
      </c>
      <c r="L1443">
        <v>45307</v>
      </c>
      <c r="M1443">
        <v>33081.440000000002</v>
      </c>
      <c r="N1443">
        <v>12225.56</v>
      </c>
      <c r="O1443" t="s">
        <v>29</v>
      </c>
      <c r="P1443">
        <v>2497.0100000000002</v>
      </c>
      <c r="Q1443" t="s">
        <v>73</v>
      </c>
      <c r="R1443" t="s">
        <v>31</v>
      </c>
      <c r="S1443">
        <v>5</v>
      </c>
      <c r="T1443">
        <v>3</v>
      </c>
      <c r="U1443" t="s">
        <v>32</v>
      </c>
      <c r="V1443" t="s">
        <v>42</v>
      </c>
    </row>
    <row r="1444" spans="1:23" x14ac:dyDescent="0.25">
      <c r="A1444" t="s">
        <v>2077</v>
      </c>
      <c r="B1444" s="1">
        <v>45722</v>
      </c>
      <c r="C1444" t="s">
        <v>119</v>
      </c>
      <c r="D1444" t="s">
        <v>67</v>
      </c>
      <c r="E1444" t="s">
        <v>26</v>
      </c>
      <c r="F1444" t="s">
        <v>53</v>
      </c>
      <c r="G1444" t="s">
        <v>151</v>
      </c>
      <c r="H1444">
        <v>3</v>
      </c>
      <c r="I1444">
        <v>75727</v>
      </c>
      <c r="J1444">
        <v>25</v>
      </c>
      <c r="K1444">
        <v>56795.25</v>
      </c>
      <c r="L1444">
        <v>170385.75</v>
      </c>
      <c r="M1444">
        <v>118678.29</v>
      </c>
      <c r="N1444">
        <v>51707.46</v>
      </c>
      <c r="O1444" t="s">
        <v>60</v>
      </c>
      <c r="P1444">
        <v>1194.6199999999999</v>
      </c>
      <c r="Q1444" t="s">
        <v>40</v>
      </c>
      <c r="R1444" t="s">
        <v>41</v>
      </c>
      <c r="S1444">
        <v>2</v>
      </c>
      <c r="T1444">
        <v>2</v>
      </c>
      <c r="U1444" t="s">
        <v>32</v>
      </c>
      <c r="V1444" t="s">
        <v>33</v>
      </c>
      <c r="W1444">
        <v>2</v>
      </c>
    </row>
    <row r="1445" spans="1:23" x14ac:dyDescent="0.25">
      <c r="A1445" t="s">
        <v>2078</v>
      </c>
      <c r="B1445" s="1">
        <v>45947</v>
      </c>
      <c r="C1445" t="s">
        <v>1288</v>
      </c>
      <c r="E1445" t="s">
        <v>46</v>
      </c>
      <c r="F1445" t="s">
        <v>86</v>
      </c>
      <c r="G1445" t="s">
        <v>180</v>
      </c>
      <c r="H1445">
        <v>3</v>
      </c>
      <c r="I1445">
        <v>26829</v>
      </c>
      <c r="J1445">
        <v>15</v>
      </c>
      <c r="K1445">
        <v>12073.05</v>
      </c>
      <c r="L1445">
        <v>68413.95</v>
      </c>
      <c r="M1445">
        <v>45662.55</v>
      </c>
      <c r="N1445">
        <v>22751.4</v>
      </c>
      <c r="O1445" t="s">
        <v>49</v>
      </c>
      <c r="P1445">
        <v>364.66</v>
      </c>
      <c r="Q1445" t="s">
        <v>68</v>
      </c>
      <c r="R1445" t="s">
        <v>31</v>
      </c>
      <c r="S1445">
        <v>5</v>
      </c>
      <c r="T1445">
        <v>4</v>
      </c>
      <c r="U1445" t="s">
        <v>32</v>
      </c>
      <c r="V1445" t="s">
        <v>42</v>
      </c>
    </row>
    <row r="1446" spans="1:23" x14ac:dyDescent="0.25">
      <c r="A1446" t="s">
        <v>2079</v>
      </c>
      <c r="B1446" s="1">
        <v>45763</v>
      </c>
      <c r="C1446" t="s">
        <v>758</v>
      </c>
      <c r="D1446" t="s">
        <v>71</v>
      </c>
      <c r="E1446" t="s">
        <v>46</v>
      </c>
      <c r="F1446" t="s">
        <v>27</v>
      </c>
      <c r="G1446" t="s">
        <v>113</v>
      </c>
      <c r="H1446">
        <v>2</v>
      </c>
      <c r="I1446">
        <v>23462</v>
      </c>
      <c r="J1446">
        <v>20</v>
      </c>
      <c r="K1446">
        <v>9384.7999999999993</v>
      </c>
      <c r="L1446">
        <v>37539.199999999997</v>
      </c>
      <c r="M1446">
        <v>23600.41</v>
      </c>
      <c r="N1446">
        <v>13938.79</v>
      </c>
      <c r="O1446" t="s">
        <v>39</v>
      </c>
      <c r="P1446">
        <v>931.38</v>
      </c>
      <c r="Q1446" t="s">
        <v>40</v>
      </c>
      <c r="R1446" t="s">
        <v>31</v>
      </c>
      <c r="S1446">
        <v>5</v>
      </c>
      <c r="T1446">
        <v>6</v>
      </c>
      <c r="U1446" t="s">
        <v>32</v>
      </c>
      <c r="V1446" t="s">
        <v>42</v>
      </c>
    </row>
    <row r="1447" spans="1:23" x14ac:dyDescent="0.25">
      <c r="A1447" t="s">
        <v>2080</v>
      </c>
      <c r="B1447" s="1">
        <v>45693</v>
      </c>
      <c r="C1447" t="s">
        <v>1154</v>
      </c>
      <c r="D1447" t="s">
        <v>25</v>
      </c>
      <c r="E1447" t="s">
        <v>26</v>
      </c>
      <c r="F1447" t="s">
        <v>53</v>
      </c>
      <c r="G1447" t="s">
        <v>268</v>
      </c>
      <c r="H1447">
        <v>1</v>
      </c>
      <c r="I1447">
        <v>65863</v>
      </c>
      <c r="J1447">
        <v>0</v>
      </c>
      <c r="K1447">
        <v>0</v>
      </c>
      <c r="L1447">
        <v>65863</v>
      </c>
      <c r="M1447">
        <v>45988.32</v>
      </c>
      <c r="N1447">
        <v>19874.68</v>
      </c>
      <c r="O1447" t="s">
        <v>29</v>
      </c>
      <c r="P1447">
        <v>1424.06</v>
      </c>
      <c r="Q1447" t="s">
        <v>73</v>
      </c>
      <c r="R1447" t="s">
        <v>41</v>
      </c>
      <c r="S1447">
        <v>2</v>
      </c>
      <c r="T1447">
        <v>1</v>
      </c>
      <c r="U1447" t="s">
        <v>32</v>
      </c>
      <c r="V1447" t="s">
        <v>33</v>
      </c>
      <c r="W1447">
        <v>5</v>
      </c>
    </row>
    <row r="1448" spans="1:23" x14ac:dyDescent="0.25">
      <c r="A1448" t="s">
        <v>2081</v>
      </c>
      <c r="B1448" s="1">
        <v>45941</v>
      </c>
      <c r="C1448" t="s">
        <v>912</v>
      </c>
      <c r="D1448" t="s">
        <v>79</v>
      </c>
      <c r="E1448" t="s">
        <v>46</v>
      </c>
      <c r="F1448" t="s">
        <v>53</v>
      </c>
      <c r="G1448" t="s">
        <v>151</v>
      </c>
      <c r="H1448">
        <v>3</v>
      </c>
      <c r="I1448">
        <v>59794</v>
      </c>
      <c r="J1448">
        <v>0</v>
      </c>
      <c r="K1448">
        <v>0</v>
      </c>
      <c r="L1448">
        <v>179382</v>
      </c>
      <c r="M1448">
        <v>144836.13</v>
      </c>
      <c r="N1448">
        <v>34545.870000000003</v>
      </c>
      <c r="O1448" t="s">
        <v>60</v>
      </c>
      <c r="P1448">
        <v>1111.9100000000001</v>
      </c>
      <c r="Q1448" t="s">
        <v>83</v>
      </c>
      <c r="R1448" t="s">
        <v>41</v>
      </c>
      <c r="S1448">
        <v>2</v>
      </c>
      <c r="T1448">
        <v>1</v>
      </c>
      <c r="U1448" t="s">
        <v>32</v>
      </c>
      <c r="V1448" t="s">
        <v>33</v>
      </c>
      <c r="W1448">
        <v>5</v>
      </c>
    </row>
    <row r="1449" spans="1:23" x14ac:dyDescent="0.25">
      <c r="A1449" t="s">
        <v>2082</v>
      </c>
      <c r="B1449" s="1">
        <v>45764</v>
      </c>
      <c r="C1449" t="s">
        <v>137</v>
      </c>
      <c r="D1449" t="s">
        <v>79</v>
      </c>
      <c r="E1449" t="s">
        <v>46</v>
      </c>
      <c r="F1449" t="s">
        <v>37</v>
      </c>
      <c r="G1449" t="s">
        <v>38</v>
      </c>
      <c r="H1449">
        <v>4</v>
      </c>
      <c r="I1449">
        <v>27662</v>
      </c>
      <c r="J1449">
        <v>0</v>
      </c>
      <c r="K1449">
        <v>0</v>
      </c>
      <c r="L1449">
        <v>110648</v>
      </c>
      <c r="M1449">
        <v>60986.74</v>
      </c>
      <c r="N1449">
        <v>49661.26</v>
      </c>
      <c r="O1449" t="s">
        <v>49</v>
      </c>
      <c r="P1449">
        <v>171.4</v>
      </c>
      <c r="Q1449" t="s">
        <v>68</v>
      </c>
      <c r="R1449" t="s">
        <v>31</v>
      </c>
      <c r="S1449">
        <v>5</v>
      </c>
      <c r="T1449">
        <v>2</v>
      </c>
      <c r="U1449" t="s">
        <v>32</v>
      </c>
      <c r="V1449" t="s">
        <v>42</v>
      </c>
    </row>
    <row r="1450" spans="1:23" x14ac:dyDescent="0.25">
      <c r="A1450" t="s">
        <v>2083</v>
      </c>
      <c r="B1450" s="1">
        <v>45958</v>
      </c>
      <c r="C1450" t="s">
        <v>1981</v>
      </c>
      <c r="D1450" t="s">
        <v>67</v>
      </c>
      <c r="E1450" t="s">
        <v>26</v>
      </c>
      <c r="F1450" t="s">
        <v>37</v>
      </c>
      <c r="G1450" t="s">
        <v>100</v>
      </c>
      <c r="H1450">
        <v>4</v>
      </c>
      <c r="I1450">
        <v>13259</v>
      </c>
      <c r="J1450">
        <v>5</v>
      </c>
      <c r="K1450">
        <v>2651.8</v>
      </c>
      <c r="L1450">
        <v>50384.2</v>
      </c>
      <c r="M1450">
        <v>27956.42</v>
      </c>
      <c r="N1450">
        <v>22427.78</v>
      </c>
      <c r="O1450" t="s">
        <v>39</v>
      </c>
      <c r="P1450">
        <v>1657.33</v>
      </c>
      <c r="Q1450" t="s">
        <v>83</v>
      </c>
      <c r="R1450" t="s">
        <v>31</v>
      </c>
      <c r="S1450">
        <v>5</v>
      </c>
      <c r="T1450">
        <v>7</v>
      </c>
      <c r="U1450" t="s">
        <v>56</v>
      </c>
      <c r="V1450" t="s">
        <v>33</v>
      </c>
      <c r="W1450">
        <v>3</v>
      </c>
    </row>
    <row r="1451" spans="1:23" x14ac:dyDescent="0.25">
      <c r="A1451" t="s">
        <v>2084</v>
      </c>
      <c r="B1451" s="1">
        <v>45768</v>
      </c>
      <c r="C1451" t="s">
        <v>1449</v>
      </c>
      <c r="D1451" t="s">
        <v>67</v>
      </c>
      <c r="E1451" t="s">
        <v>46</v>
      </c>
      <c r="F1451" t="s">
        <v>37</v>
      </c>
      <c r="G1451" t="s">
        <v>100</v>
      </c>
      <c r="H1451">
        <v>2</v>
      </c>
      <c r="I1451">
        <v>13780</v>
      </c>
      <c r="J1451">
        <v>0</v>
      </c>
      <c r="K1451">
        <v>0</v>
      </c>
      <c r="L1451">
        <v>27560</v>
      </c>
      <c r="M1451">
        <v>16363.85</v>
      </c>
      <c r="N1451">
        <v>11196.15</v>
      </c>
      <c r="O1451" t="s">
        <v>39</v>
      </c>
      <c r="P1451">
        <v>684.89</v>
      </c>
      <c r="Q1451" t="s">
        <v>83</v>
      </c>
      <c r="R1451" t="s">
        <v>41</v>
      </c>
      <c r="S1451">
        <v>2</v>
      </c>
      <c r="T1451">
        <v>2</v>
      </c>
      <c r="U1451" t="s">
        <v>32</v>
      </c>
      <c r="V1451" t="s">
        <v>33</v>
      </c>
      <c r="W1451">
        <v>5</v>
      </c>
    </row>
    <row r="1452" spans="1:23" x14ac:dyDescent="0.25">
      <c r="A1452" t="s">
        <v>2085</v>
      </c>
      <c r="B1452" s="1">
        <v>45777</v>
      </c>
      <c r="C1452" t="s">
        <v>249</v>
      </c>
      <c r="D1452" t="s">
        <v>154</v>
      </c>
      <c r="E1452" t="s">
        <v>46</v>
      </c>
      <c r="F1452" t="s">
        <v>37</v>
      </c>
      <c r="G1452" t="s">
        <v>224</v>
      </c>
      <c r="H1452">
        <v>3</v>
      </c>
      <c r="I1452">
        <v>21149</v>
      </c>
      <c r="J1452">
        <v>0</v>
      </c>
      <c r="K1452">
        <v>0</v>
      </c>
      <c r="L1452">
        <v>63447</v>
      </c>
      <c r="M1452">
        <v>50393.96</v>
      </c>
      <c r="N1452">
        <v>13053.04</v>
      </c>
      <c r="O1452" t="s">
        <v>55</v>
      </c>
      <c r="P1452">
        <v>1814.02</v>
      </c>
      <c r="Q1452" t="s">
        <v>40</v>
      </c>
      <c r="R1452" t="s">
        <v>41</v>
      </c>
      <c r="S1452">
        <v>2</v>
      </c>
      <c r="T1452">
        <v>1</v>
      </c>
      <c r="U1452" t="s">
        <v>32</v>
      </c>
      <c r="V1452" t="s">
        <v>50</v>
      </c>
      <c r="W1452">
        <v>3</v>
      </c>
    </row>
    <row r="1453" spans="1:23" x14ac:dyDescent="0.25">
      <c r="A1453" t="s">
        <v>2086</v>
      </c>
      <c r="B1453" s="1">
        <v>45826</v>
      </c>
      <c r="C1453" t="s">
        <v>62</v>
      </c>
      <c r="D1453" t="s">
        <v>67</v>
      </c>
      <c r="E1453" t="s">
        <v>26</v>
      </c>
      <c r="F1453" t="s">
        <v>27</v>
      </c>
      <c r="G1453" t="s">
        <v>72</v>
      </c>
      <c r="H1453">
        <v>4</v>
      </c>
      <c r="I1453">
        <v>29121</v>
      </c>
      <c r="J1453">
        <v>10</v>
      </c>
      <c r="K1453">
        <v>11648.4</v>
      </c>
      <c r="L1453">
        <v>104835.6</v>
      </c>
      <c r="M1453">
        <v>66294.929999999993</v>
      </c>
      <c r="N1453">
        <v>38540.67</v>
      </c>
      <c r="O1453" t="s">
        <v>49</v>
      </c>
      <c r="P1453">
        <v>399.64</v>
      </c>
      <c r="Q1453" t="s">
        <v>30</v>
      </c>
      <c r="R1453" t="s">
        <v>41</v>
      </c>
      <c r="S1453">
        <v>2</v>
      </c>
      <c r="T1453">
        <v>3</v>
      </c>
      <c r="U1453" t="s">
        <v>32</v>
      </c>
      <c r="V1453" t="s">
        <v>50</v>
      </c>
      <c r="W1453">
        <v>5</v>
      </c>
    </row>
    <row r="1454" spans="1:23" x14ac:dyDescent="0.25">
      <c r="A1454" t="s">
        <v>2087</v>
      </c>
      <c r="B1454" s="1">
        <v>45733</v>
      </c>
      <c r="C1454" t="s">
        <v>657</v>
      </c>
      <c r="D1454" t="s">
        <v>97</v>
      </c>
      <c r="E1454" t="s">
        <v>26</v>
      </c>
      <c r="F1454" t="s">
        <v>86</v>
      </c>
      <c r="G1454" t="s">
        <v>180</v>
      </c>
      <c r="H1454">
        <v>1</v>
      </c>
      <c r="I1454">
        <v>54847</v>
      </c>
      <c r="J1454">
        <v>10</v>
      </c>
      <c r="K1454">
        <v>5484.7</v>
      </c>
      <c r="L1454">
        <v>49362.3</v>
      </c>
      <c r="M1454">
        <v>36805.99</v>
      </c>
      <c r="N1454">
        <v>12556.31</v>
      </c>
      <c r="O1454" t="s">
        <v>60</v>
      </c>
      <c r="P1454">
        <v>1187.02</v>
      </c>
      <c r="Q1454" t="s">
        <v>40</v>
      </c>
      <c r="R1454" t="s">
        <v>41</v>
      </c>
      <c r="S1454">
        <v>2</v>
      </c>
      <c r="T1454">
        <v>2</v>
      </c>
      <c r="U1454" t="s">
        <v>32</v>
      </c>
      <c r="V1454" t="s">
        <v>33</v>
      </c>
      <c r="W1454">
        <v>5</v>
      </c>
    </row>
    <row r="1455" spans="1:23" x14ac:dyDescent="0.25">
      <c r="A1455" t="s">
        <v>2088</v>
      </c>
      <c r="B1455" s="1">
        <v>45963</v>
      </c>
      <c r="C1455" t="s">
        <v>526</v>
      </c>
      <c r="D1455" t="s">
        <v>97</v>
      </c>
      <c r="E1455" t="s">
        <v>26</v>
      </c>
      <c r="F1455" t="s">
        <v>37</v>
      </c>
      <c r="G1455" t="s">
        <v>100</v>
      </c>
      <c r="H1455">
        <v>3</v>
      </c>
      <c r="I1455">
        <v>18984</v>
      </c>
      <c r="J1455">
        <v>10</v>
      </c>
      <c r="K1455">
        <v>5695.2</v>
      </c>
      <c r="L1455">
        <v>51256.800000000003</v>
      </c>
      <c r="M1455">
        <v>37254.82</v>
      </c>
      <c r="N1455">
        <v>14001.98</v>
      </c>
      <c r="O1455" t="s">
        <v>91</v>
      </c>
      <c r="P1455">
        <v>1157.93</v>
      </c>
      <c r="Q1455" t="s">
        <v>30</v>
      </c>
      <c r="R1455" t="s">
        <v>31</v>
      </c>
      <c r="S1455">
        <v>5</v>
      </c>
      <c r="T1455">
        <v>10</v>
      </c>
      <c r="U1455" t="s">
        <v>56</v>
      </c>
      <c r="V1455" t="s">
        <v>33</v>
      </c>
      <c r="W1455">
        <v>5</v>
      </c>
    </row>
    <row r="1456" spans="1:23" x14ac:dyDescent="0.25">
      <c r="A1456" t="s">
        <v>2089</v>
      </c>
      <c r="B1456" s="1">
        <v>45659</v>
      </c>
      <c r="C1456" t="s">
        <v>840</v>
      </c>
      <c r="D1456" t="s">
        <v>63</v>
      </c>
      <c r="E1456" t="s">
        <v>46</v>
      </c>
      <c r="F1456" t="s">
        <v>47</v>
      </c>
      <c r="G1456" t="s">
        <v>105</v>
      </c>
      <c r="H1456">
        <v>1</v>
      </c>
      <c r="I1456">
        <v>37193</v>
      </c>
      <c r="J1456">
        <v>20</v>
      </c>
      <c r="K1456">
        <v>7438.6</v>
      </c>
      <c r="L1456">
        <v>29754.400000000001</v>
      </c>
      <c r="M1456">
        <v>16401.68</v>
      </c>
      <c r="N1456">
        <v>13352.72</v>
      </c>
      <c r="O1456" t="s">
        <v>29</v>
      </c>
      <c r="P1456">
        <v>565.86</v>
      </c>
      <c r="Q1456" t="s">
        <v>30</v>
      </c>
      <c r="R1456" t="s">
        <v>41</v>
      </c>
      <c r="S1456">
        <v>2</v>
      </c>
      <c r="T1456">
        <v>1</v>
      </c>
      <c r="U1456" t="s">
        <v>32</v>
      </c>
      <c r="V1456" t="s">
        <v>42</v>
      </c>
    </row>
    <row r="1457" spans="1:23" x14ac:dyDescent="0.25">
      <c r="A1457" t="s">
        <v>2090</v>
      </c>
      <c r="B1457" s="1">
        <v>45799</v>
      </c>
      <c r="C1457" t="s">
        <v>233</v>
      </c>
      <c r="D1457" t="s">
        <v>63</v>
      </c>
      <c r="E1457" t="s">
        <v>46</v>
      </c>
      <c r="F1457" t="s">
        <v>37</v>
      </c>
      <c r="G1457" t="s">
        <v>38</v>
      </c>
      <c r="H1457">
        <v>4</v>
      </c>
      <c r="I1457">
        <v>6075</v>
      </c>
      <c r="J1457">
        <v>10</v>
      </c>
      <c r="K1457">
        <v>2430</v>
      </c>
      <c r="L1457">
        <v>21870</v>
      </c>
      <c r="M1457">
        <v>12168.91</v>
      </c>
      <c r="N1457">
        <v>9701.09</v>
      </c>
      <c r="O1457" t="s">
        <v>39</v>
      </c>
      <c r="P1457">
        <v>337.02</v>
      </c>
      <c r="Q1457" t="s">
        <v>83</v>
      </c>
      <c r="R1457" t="s">
        <v>41</v>
      </c>
      <c r="S1457">
        <v>2</v>
      </c>
      <c r="T1457">
        <v>2</v>
      </c>
      <c r="U1457" t="s">
        <v>32</v>
      </c>
      <c r="V1457" t="s">
        <v>50</v>
      </c>
      <c r="W1457">
        <v>5</v>
      </c>
    </row>
    <row r="1458" spans="1:23" x14ac:dyDescent="0.25">
      <c r="A1458" t="s">
        <v>2091</v>
      </c>
      <c r="B1458" s="1">
        <v>45732</v>
      </c>
      <c r="C1458" t="s">
        <v>494</v>
      </c>
      <c r="D1458" t="s">
        <v>63</v>
      </c>
      <c r="E1458" t="s">
        <v>26</v>
      </c>
      <c r="F1458" t="s">
        <v>37</v>
      </c>
      <c r="G1458" t="s">
        <v>161</v>
      </c>
      <c r="H1458">
        <v>2</v>
      </c>
      <c r="I1458">
        <v>22373</v>
      </c>
      <c r="J1458">
        <v>0</v>
      </c>
      <c r="K1458">
        <v>0</v>
      </c>
      <c r="L1458">
        <v>44746</v>
      </c>
      <c r="M1458">
        <v>35698.22</v>
      </c>
      <c r="N1458">
        <v>9047.7800000000007</v>
      </c>
      <c r="O1458" t="s">
        <v>60</v>
      </c>
      <c r="P1458">
        <v>305.06</v>
      </c>
      <c r="Q1458" t="s">
        <v>30</v>
      </c>
      <c r="R1458" t="s">
        <v>31</v>
      </c>
      <c r="S1458">
        <v>5</v>
      </c>
      <c r="T1458">
        <v>4</v>
      </c>
      <c r="U1458" t="s">
        <v>32</v>
      </c>
      <c r="V1458" t="s">
        <v>42</v>
      </c>
    </row>
    <row r="1459" spans="1:23" x14ac:dyDescent="0.25">
      <c r="A1459" t="s">
        <v>2092</v>
      </c>
      <c r="B1459" s="1">
        <v>45724</v>
      </c>
      <c r="C1459" t="s">
        <v>468</v>
      </c>
      <c r="D1459" t="s">
        <v>154</v>
      </c>
      <c r="E1459" t="s">
        <v>46</v>
      </c>
      <c r="F1459" t="s">
        <v>27</v>
      </c>
      <c r="G1459" t="s">
        <v>76</v>
      </c>
      <c r="H1459">
        <v>2</v>
      </c>
      <c r="I1459">
        <v>11419</v>
      </c>
      <c r="J1459">
        <v>0</v>
      </c>
      <c r="K1459">
        <v>0</v>
      </c>
      <c r="L1459">
        <v>22838</v>
      </c>
      <c r="M1459">
        <v>15161.27</v>
      </c>
      <c r="N1459">
        <v>7676.73</v>
      </c>
      <c r="O1459" t="s">
        <v>29</v>
      </c>
      <c r="P1459">
        <v>1015</v>
      </c>
      <c r="Q1459" t="s">
        <v>68</v>
      </c>
      <c r="R1459" t="s">
        <v>41</v>
      </c>
      <c r="S1459">
        <v>2</v>
      </c>
      <c r="T1459">
        <v>2</v>
      </c>
      <c r="U1459" t="s">
        <v>32</v>
      </c>
      <c r="V1459" t="s">
        <v>33</v>
      </c>
      <c r="W1459">
        <v>1</v>
      </c>
    </row>
    <row r="1460" spans="1:23" x14ac:dyDescent="0.25">
      <c r="A1460" t="s">
        <v>2093</v>
      </c>
      <c r="B1460" s="1">
        <v>45934</v>
      </c>
      <c r="C1460" t="s">
        <v>245</v>
      </c>
      <c r="D1460" t="s">
        <v>90</v>
      </c>
      <c r="E1460" t="s">
        <v>46</v>
      </c>
      <c r="F1460" t="s">
        <v>53</v>
      </c>
      <c r="G1460" t="s">
        <v>59</v>
      </c>
      <c r="H1460">
        <v>2</v>
      </c>
      <c r="I1460">
        <v>49848</v>
      </c>
      <c r="J1460">
        <v>0</v>
      </c>
      <c r="K1460">
        <v>0</v>
      </c>
      <c r="L1460">
        <v>99696</v>
      </c>
      <c r="M1460">
        <v>79297.31</v>
      </c>
      <c r="N1460">
        <v>20398.689999999999</v>
      </c>
      <c r="O1460" t="s">
        <v>49</v>
      </c>
      <c r="P1460">
        <v>357.7</v>
      </c>
      <c r="Q1460" t="s">
        <v>68</v>
      </c>
      <c r="R1460" t="s">
        <v>41</v>
      </c>
      <c r="S1460">
        <v>2</v>
      </c>
      <c r="T1460">
        <v>6</v>
      </c>
      <c r="U1460" t="s">
        <v>32</v>
      </c>
      <c r="V1460" t="s">
        <v>42</v>
      </c>
    </row>
    <row r="1461" spans="1:23" x14ac:dyDescent="0.25">
      <c r="A1461" t="s">
        <v>2094</v>
      </c>
      <c r="B1461" s="1">
        <v>45786</v>
      </c>
      <c r="C1461" t="s">
        <v>2095</v>
      </c>
      <c r="D1461" t="s">
        <v>124</v>
      </c>
      <c r="E1461" t="s">
        <v>26</v>
      </c>
      <c r="F1461" t="s">
        <v>47</v>
      </c>
      <c r="G1461" t="s">
        <v>105</v>
      </c>
      <c r="H1461">
        <v>2</v>
      </c>
      <c r="I1461">
        <v>14318</v>
      </c>
      <c r="J1461">
        <v>0</v>
      </c>
      <c r="K1461">
        <v>0</v>
      </c>
      <c r="L1461">
        <v>28636</v>
      </c>
      <c r="M1461">
        <v>17874.25</v>
      </c>
      <c r="N1461">
        <v>10761.75</v>
      </c>
      <c r="O1461" t="s">
        <v>55</v>
      </c>
      <c r="P1461">
        <v>624.70000000000005</v>
      </c>
      <c r="Q1461" t="s">
        <v>30</v>
      </c>
      <c r="R1461" t="s">
        <v>41</v>
      </c>
      <c r="S1461">
        <v>2</v>
      </c>
      <c r="T1461">
        <v>3</v>
      </c>
      <c r="U1461" t="s">
        <v>56</v>
      </c>
      <c r="V1461" t="s">
        <v>33</v>
      </c>
      <c r="W1461">
        <v>3</v>
      </c>
    </row>
    <row r="1462" spans="1:23" x14ac:dyDescent="0.25">
      <c r="A1462" t="s">
        <v>2096</v>
      </c>
      <c r="B1462" s="1">
        <v>45747</v>
      </c>
      <c r="C1462" t="s">
        <v>620</v>
      </c>
      <c r="D1462" t="s">
        <v>71</v>
      </c>
      <c r="E1462" t="s">
        <v>46</v>
      </c>
      <c r="F1462" t="s">
        <v>86</v>
      </c>
      <c r="G1462" t="s">
        <v>87</v>
      </c>
      <c r="H1462">
        <v>1</v>
      </c>
      <c r="I1462">
        <v>20550</v>
      </c>
      <c r="J1462">
        <v>25</v>
      </c>
      <c r="K1462">
        <v>5137.5</v>
      </c>
      <c r="L1462">
        <v>15412.5</v>
      </c>
      <c r="M1462">
        <v>9989.44</v>
      </c>
      <c r="N1462">
        <v>5423.06</v>
      </c>
      <c r="O1462" t="s">
        <v>49</v>
      </c>
      <c r="P1462">
        <v>371.71</v>
      </c>
      <c r="Q1462" t="s">
        <v>73</v>
      </c>
      <c r="R1462" t="s">
        <v>31</v>
      </c>
      <c r="S1462">
        <v>5</v>
      </c>
      <c r="T1462">
        <v>4</v>
      </c>
      <c r="U1462" t="s">
        <v>32</v>
      </c>
      <c r="V1462" t="s">
        <v>33</v>
      </c>
      <c r="W1462">
        <v>5</v>
      </c>
    </row>
    <row r="1463" spans="1:23" x14ac:dyDescent="0.25">
      <c r="A1463" t="s">
        <v>2097</v>
      </c>
      <c r="B1463" s="1">
        <v>45714</v>
      </c>
      <c r="C1463" t="s">
        <v>2098</v>
      </c>
      <c r="D1463" t="s">
        <v>79</v>
      </c>
      <c r="E1463" t="s">
        <v>26</v>
      </c>
      <c r="F1463" t="s">
        <v>86</v>
      </c>
      <c r="G1463" t="s">
        <v>94</v>
      </c>
      <c r="H1463">
        <v>1</v>
      </c>
      <c r="I1463">
        <v>16593</v>
      </c>
      <c r="J1463">
        <v>10</v>
      </c>
      <c r="K1463">
        <v>1659.3</v>
      </c>
      <c r="L1463">
        <v>14933.7</v>
      </c>
      <c r="M1463">
        <v>8591.61</v>
      </c>
      <c r="N1463">
        <v>6342.09</v>
      </c>
      <c r="O1463" t="s">
        <v>39</v>
      </c>
      <c r="P1463">
        <v>2106.23</v>
      </c>
      <c r="Q1463" t="s">
        <v>73</v>
      </c>
      <c r="R1463" t="s">
        <v>41</v>
      </c>
      <c r="S1463">
        <v>2</v>
      </c>
      <c r="T1463">
        <v>1</v>
      </c>
      <c r="U1463" t="s">
        <v>32</v>
      </c>
      <c r="V1463" t="s">
        <v>33</v>
      </c>
      <c r="W1463">
        <v>3</v>
      </c>
    </row>
    <row r="1464" spans="1:23" x14ac:dyDescent="0.25">
      <c r="A1464" t="s">
        <v>2099</v>
      </c>
      <c r="B1464" s="1">
        <v>45996</v>
      </c>
      <c r="C1464" t="s">
        <v>1346</v>
      </c>
      <c r="D1464" t="s">
        <v>71</v>
      </c>
      <c r="E1464" t="s">
        <v>26</v>
      </c>
      <c r="F1464" t="s">
        <v>47</v>
      </c>
      <c r="G1464" t="s">
        <v>105</v>
      </c>
      <c r="H1464">
        <v>1</v>
      </c>
      <c r="I1464">
        <v>34245</v>
      </c>
      <c r="J1464">
        <v>20</v>
      </c>
      <c r="K1464">
        <v>6849</v>
      </c>
      <c r="L1464">
        <v>27396</v>
      </c>
      <c r="M1464">
        <v>16918.36</v>
      </c>
      <c r="N1464">
        <v>10477.64</v>
      </c>
      <c r="O1464" t="s">
        <v>91</v>
      </c>
      <c r="P1464">
        <v>399.8</v>
      </c>
      <c r="Q1464" t="s">
        <v>73</v>
      </c>
      <c r="R1464" t="s">
        <v>31</v>
      </c>
      <c r="S1464">
        <v>5</v>
      </c>
      <c r="T1464">
        <v>4</v>
      </c>
      <c r="U1464" t="s">
        <v>32</v>
      </c>
      <c r="V1464" t="s">
        <v>33</v>
      </c>
      <c r="W1464">
        <v>5</v>
      </c>
    </row>
    <row r="1465" spans="1:23" x14ac:dyDescent="0.25">
      <c r="A1465" t="s">
        <v>2100</v>
      </c>
      <c r="B1465" s="1">
        <v>45671</v>
      </c>
      <c r="C1465" t="s">
        <v>905</v>
      </c>
      <c r="D1465" t="s">
        <v>154</v>
      </c>
      <c r="E1465" t="s">
        <v>46</v>
      </c>
      <c r="F1465" t="s">
        <v>27</v>
      </c>
      <c r="G1465" t="s">
        <v>72</v>
      </c>
      <c r="H1465">
        <v>1</v>
      </c>
      <c r="I1465">
        <v>20332</v>
      </c>
      <c r="J1465">
        <v>25</v>
      </c>
      <c r="K1465">
        <v>5083</v>
      </c>
      <c r="L1465">
        <v>15249</v>
      </c>
      <c r="M1465">
        <v>8874.9599999999991</v>
      </c>
      <c r="N1465">
        <v>6374.04</v>
      </c>
      <c r="O1465" t="s">
        <v>60</v>
      </c>
      <c r="P1465">
        <v>232.47</v>
      </c>
      <c r="Q1465" t="s">
        <v>40</v>
      </c>
      <c r="R1465" t="s">
        <v>41</v>
      </c>
      <c r="S1465">
        <v>2</v>
      </c>
      <c r="T1465">
        <v>3</v>
      </c>
      <c r="U1465" t="s">
        <v>32</v>
      </c>
      <c r="V1465" t="s">
        <v>50</v>
      </c>
      <c r="W1465">
        <v>2</v>
      </c>
    </row>
    <row r="1466" spans="1:23" x14ac:dyDescent="0.25">
      <c r="A1466" t="s">
        <v>2101</v>
      </c>
      <c r="B1466" s="1">
        <v>45725</v>
      </c>
      <c r="C1466" t="s">
        <v>370</v>
      </c>
      <c r="D1466" t="s">
        <v>124</v>
      </c>
      <c r="E1466" t="s">
        <v>26</v>
      </c>
      <c r="F1466" t="s">
        <v>53</v>
      </c>
      <c r="G1466" t="s">
        <v>54</v>
      </c>
      <c r="H1466">
        <v>1</v>
      </c>
      <c r="I1466">
        <v>11644</v>
      </c>
      <c r="J1466">
        <v>15</v>
      </c>
      <c r="K1466">
        <v>1746.6</v>
      </c>
      <c r="L1466">
        <v>9897.4</v>
      </c>
      <c r="M1466">
        <v>7433.71</v>
      </c>
      <c r="N1466">
        <v>2463.69</v>
      </c>
      <c r="O1466" t="s">
        <v>55</v>
      </c>
      <c r="P1466">
        <v>274.72000000000003</v>
      </c>
      <c r="Q1466" t="s">
        <v>73</v>
      </c>
      <c r="R1466" t="s">
        <v>41</v>
      </c>
      <c r="S1466">
        <v>2</v>
      </c>
      <c r="T1466">
        <v>1</v>
      </c>
      <c r="U1466" t="s">
        <v>32</v>
      </c>
      <c r="V1466" t="s">
        <v>33</v>
      </c>
      <c r="W1466">
        <v>3</v>
      </c>
    </row>
    <row r="1467" spans="1:23" x14ac:dyDescent="0.25">
      <c r="A1467" t="s">
        <v>2102</v>
      </c>
      <c r="B1467" s="1">
        <v>45665</v>
      </c>
      <c r="C1467" t="s">
        <v>1695</v>
      </c>
      <c r="D1467" t="s">
        <v>154</v>
      </c>
      <c r="E1467" t="s">
        <v>36</v>
      </c>
      <c r="F1467" t="s">
        <v>37</v>
      </c>
      <c r="G1467" t="s">
        <v>38</v>
      </c>
      <c r="H1467">
        <v>2</v>
      </c>
      <c r="I1467">
        <v>10550</v>
      </c>
      <c r="J1467">
        <v>0</v>
      </c>
      <c r="K1467">
        <v>0</v>
      </c>
      <c r="L1467">
        <v>21100</v>
      </c>
      <c r="M1467">
        <v>17030.07</v>
      </c>
      <c r="N1467">
        <v>4069.93</v>
      </c>
      <c r="O1467" t="s">
        <v>91</v>
      </c>
      <c r="P1467">
        <v>727.05</v>
      </c>
      <c r="Q1467" t="s">
        <v>40</v>
      </c>
      <c r="R1467" t="s">
        <v>41</v>
      </c>
      <c r="S1467">
        <v>2</v>
      </c>
      <c r="T1467">
        <v>3</v>
      </c>
      <c r="U1467" t="s">
        <v>56</v>
      </c>
      <c r="V1467" t="s">
        <v>33</v>
      </c>
      <c r="W1467">
        <v>5</v>
      </c>
    </row>
    <row r="1468" spans="1:23" x14ac:dyDescent="0.25">
      <c r="A1468" t="s">
        <v>2103</v>
      </c>
      <c r="B1468" s="1">
        <v>45841</v>
      </c>
      <c r="C1468" t="s">
        <v>1860</v>
      </c>
      <c r="D1468" t="s">
        <v>63</v>
      </c>
      <c r="E1468" t="s">
        <v>46</v>
      </c>
      <c r="F1468" t="s">
        <v>37</v>
      </c>
      <c r="G1468" t="s">
        <v>38</v>
      </c>
      <c r="H1468">
        <v>3</v>
      </c>
      <c r="I1468">
        <v>13519</v>
      </c>
      <c r="J1468">
        <v>10</v>
      </c>
      <c r="K1468">
        <v>4055.7</v>
      </c>
      <c r="L1468">
        <v>36501.300000000003</v>
      </c>
      <c r="M1468">
        <v>26065.86</v>
      </c>
      <c r="N1468">
        <v>10435.44</v>
      </c>
      <c r="O1468" t="s">
        <v>29</v>
      </c>
      <c r="P1468">
        <v>1042.42</v>
      </c>
      <c r="Q1468" t="s">
        <v>68</v>
      </c>
      <c r="R1468" t="s">
        <v>41</v>
      </c>
      <c r="S1468">
        <v>2</v>
      </c>
      <c r="T1468">
        <v>5</v>
      </c>
      <c r="U1468" t="s">
        <v>56</v>
      </c>
      <c r="V1468" t="s">
        <v>33</v>
      </c>
      <c r="W1468">
        <v>3</v>
      </c>
    </row>
    <row r="1469" spans="1:23" x14ac:dyDescent="0.25">
      <c r="A1469" t="s">
        <v>2104</v>
      </c>
      <c r="B1469" s="1">
        <v>45779</v>
      </c>
      <c r="C1469" t="s">
        <v>528</v>
      </c>
      <c r="D1469" t="s">
        <v>79</v>
      </c>
      <c r="E1469" t="s">
        <v>46</v>
      </c>
      <c r="F1469" t="s">
        <v>37</v>
      </c>
      <c r="G1469" t="s">
        <v>161</v>
      </c>
      <c r="H1469">
        <v>1</v>
      </c>
      <c r="I1469">
        <v>34576</v>
      </c>
      <c r="J1469">
        <v>0</v>
      </c>
      <c r="K1469">
        <v>0</v>
      </c>
      <c r="L1469">
        <v>34576</v>
      </c>
      <c r="M1469">
        <v>24677.66</v>
      </c>
      <c r="N1469">
        <v>9898.34</v>
      </c>
      <c r="O1469" t="s">
        <v>91</v>
      </c>
      <c r="P1469">
        <v>961.84</v>
      </c>
      <c r="Q1469" t="s">
        <v>40</v>
      </c>
      <c r="R1469" t="s">
        <v>31</v>
      </c>
      <c r="S1469">
        <v>5</v>
      </c>
      <c r="T1469">
        <v>5</v>
      </c>
      <c r="U1469" t="s">
        <v>32</v>
      </c>
      <c r="V1469" t="s">
        <v>33</v>
      </c>
      <c r="W1469">
        <v>5</v>
      </c>
    </row>
    <row r="1470" spans="1:23" x14ac:dyDescent="0.25">
      <c r="A1470" t="s">
        <v>2105</v>
      </c>
      <c r="B1470" s="1">
        <v>45959</v>
      </c>
      <c r="C1470" t="s">
        <v>570</v>
      </c>
      <c r="D1470" t="s">
        <v>124</v>
      </c>
      <c r="E1470" t="s">
        <v>26</v>
      </c>
      <c r="F1470" t="s">
        <v>53</v>
      </c>
      <c r="G1470" t="s">
        <v>59</v>
      </c>
      <c r="H1470">
        <v>2</v>
      </c>
      <c r="I1470">
        <v>93790</v>
      </c>
      <c r="J1470">
        <v>5</v>
      </c>
      <c r="K1470">
        <v>9379</v>
      </c>
      <c r="L1470">
        <v>178201</v>
      </c>
      <c r="M1470">
        <v>142052.01999999999</v>
      </c>
      <c r="N1470">
        <v>36148.980000000003</v>
      </c>
      <c r="O1470" t="s">
        <v>55</v>
      </c>
      <c r="P1470">
        <v>1702.3</v>
      </c>
      <c r="Q1470" t="s">
        <v>68</v>
      </c>
      <c r="R1470" t="s">
        <v>31</v>
      </c>
      <c r="S1470">
        <v>5</v>
      </c>
      <c r="T1470">
        <v>2</v>
      </c>
      <c r="U1470" t="s">
        <v>32</v>
      </c>
      <c r="V1470" t="s">
        <v>33</v>
      </c>
      <c r="W1470">
        <v>5</v>
      </c>
    </row>
    <row r="1471" spans="1:23" x14ac:dyDescent="0.25">
      <c r="A1471" t="s">
        <v>2106</v>
      </c>
      <c r="B1471" s="1">
        <v>45823</v>
      </c>
      <c r="C1471" t="s">
        <v>637</v>
      </c>
      <c r="D1471" t="s">
        <v>79</v>
      </c>
      <c r="E1471" t="s">
        <v>26</v>
      </c>
      <c r="F1471" t="s">
        <v>37</v>
      </c>
      <c r="G1471" t="s">
        <v>100</v>
      </c>
      <c r="H1471">
        <v>1</v>
      </c>
      <c r="I1471">
        <v>34651</v>
      </c>
      <c r="J1471">
        <v>0</v>
      </c>
      <c r="K1471">
        <v>0</v>
      </c>
      <c r="L1471">
        <v>34651</v>
      </c>
      <c r="M1471">
        <v>22705.18</v>
      </c>
      <c r="N1471">
        <v>11945.82</v>
      </c>
      <c r="O1471" t="s">
        <v>49</v>
      </c>
      <c r="P1471">
        <v>146.13</v>
      </c>
      <c r="Q1471" t="s">
        <v>68</v>
      </c>
      <c r="R1471" t="s">
        <v>31</v>
      </c>
      <c r="S1471">
        <v>5</v>
      </c>
      <c r="T1471">
        <v>5</v>
      </c>
      <c r="U1471" t="s">
        <v>32</v>
      </c>
      <c r="V1471" t="s">
        <v>33</v>
      </c>
      <c r="W1471">
        <v>4</v>
      </c>
    </row>
    <row r="1472" spans="1:23" x14ac:dyDescent="0.25">
      <c r="A1472" t="s">
        <v>2107</v>
      </c>
      <c r="B1472" s="1">
        <v>45666</v>
      </c>
      <c r="C1472" t="s">
        <v>1332</v>
      </c>
      <c r="D1472" t="s">
        <v>154</v>
      </c>
      <c r="E1472" t="s">
        <v>26</v>
      </c>
      <c r="F1472" t="s">
        <v>37</v>
      </c>
      <c r="G1472" t="s">
        <v>224</v>
      </c>
      <c r="H1472">
        <v>2</v>
      </c>
      <c r="I1472">
        <v>14198</v>
      </c>
      <c r="J1472">
        <v>0</v>
      </c>
      <c r="K1472">
        <v>0</v>
      </c>
      <c r="L1472">
        <v>28396</v>
      </c>
      <c r="M1472">
        <v>16368.78</v>
      </c>
      <c r="N1472">
        <v>12027.22</v>
      </c>
      <c r="O1472" t="s">
        <v>49</v>
      </c>
      <c r="P1472">
        <v>305.24</v>
      </c>
      <c r="Q1472" t="s">
        <v>83</v>
      </c>
      <c r="R1472" t="s">
        <v>31</v>
      </c>
      <c r="S1472">
        <v>5</v>
      </c>
      <c r="T1472">
        <v>3</v>
      </c>
      <c r="U1472" t="s">
        <v>32</v>
      </c>
      <c r="V1472" t="s">
        <v>42</v>
      </c>
    </row>
    <row r="1473" spans="1:23" x14ac:dyDescent="0.25">
      <c r="A1473" t="s">
        <v>2108</v>
      </c>
      <c r="B1473" s="1">
        <v>45747</v>
      </c>
      <c r="C1473" t="s">
        <v>233</v>
      </c>
      <c r="D1473" t="s">
        <v>67</v>
      </c>
      <c r="E1473" t="s">
        <v>26</v>
      </c>
      <c r="F1473" t="s">
        <v>86</v>
      </c>
      <c r="G1473" t="s">
        <v>127</v>
      </c>
      <c r="H1473">
        <v>1</v>
      </c>
      <c r="I1473">
        <v>23944</v>
      </c>
      <c r="J1473">
        <v>20</v>
      </c>
      <c r="K1473">
        <v>4788.8</v>
      </c>
      <c r="L1473">
        <v>19155.2</v>
      </c>
      <c r="M1473">
        <v>13055.75</v>
      </c>
      <c r="N1473">
        <v>6099.45</v>
      </c>
      <c r="O1473" t="s">
        <v>60</v>
      </c>
      <c r="P1473">
        <v>2156.02</v>
      </c>
      <c r="Q1473" t="s">
        <v>40</v>
      </c>
      <c r="R1473" t="s">
        <v>41</v>
      </c>
      <c r="S1473">
        <v>2</v>
      </c>
      <c r="T1473">
        <v>1</v>
      </c>
      <c r="U1473" t="s">
        <v>32</v>
      </c>
      <c r="V1473" t="s">
        <v>33</v>
      </c>
      <c r="W1473">
        <v>3</v>
      </c>
    </row>
    <row r="1474" spans="1:23" x14ac:dyDescent="0.25">
      <c r="A1474" t="s">
        <v>2109</v>
      </c>
      <c r="B1474" s="1">
        <v>45793</v>
      </c>
      <c r="C1474" t="s">
        <v>1350</v>
      </c>
      <c r="D1474" t="s">
        <v>90</v>
      </c>
      <c r="E1474" t="s">
        <v>46</v>
      </c>
      <c r="F1474" t="s">
        <v>53</v>
      </c>
      <c r="G1474" t="s">
        <v>59</v>
      </c>
      <c r="H1474">
        <v>1</v>
      </c>
      <c r="I1474">
        <v>115019</v>
      </c>
      <c r="J1474">
        <v>25</v>
      </c>
      <c r="K1474">
        <v>28754.75</v>
      </c>
      <c r="L1474">
        <v>86264.25</v>
      </c>
      <c r="M1474">
        <v>53129.26</v>
      </c>
      <c r="N1474">
        <v>33134.99</v>
      </c>
      <c r="O1474" t="s">
        <v>39</v>
      </c>
      <c r="P1474">
        <v>1912.99</v>
      </c>
      <c r="Q1474" t="s">
        <v>73</v>
      </c>
      <c r="R1474" t="s">
        <v>31</v>
      </c>
      <c r="S1474">
        <v>5</v>
      </c>
      <c r="T1474">
        <v>4</v>
      </c>
      <c r="U1474" t="s">
        <v>32</v>
      </c>
      <c r="V1474" t="s">
        <v>33</v>
      </c>
      <c r="W1474">
        <v>2</v>
      </c>
    </row>
    <row r="1475" spans="1:23" x14ac:dyDescent="0.25">
      <c r="A1475" t="s">
        <v>2110</v>
      </c>
      <c r="B1475" s="1">
        <v>45684</v>
      </c>
      <c r="C1475" t="s">
        <v>301</v>
      </c>
      <c r="D1475" t="s">
        <v>45</v>
      </c>
      <c r="E1475" t="s">
        <v>26</v>
      </c>
      <c r="F1475" t="s">
        <v>86</v>
      </c>
      <c r="G1475" t="s">
        <v>180</v>
      </c>
      <c r="H1475">
        <v>1</v>
      </c>
      <c r="I1475">
        <v>37161</v>
      </c>
      <c r="J1475">
        <v>10</v>
      </c>
      <c r="K1475">
        <v>3716.1</v>
      </c>
      <c r="L1475">
        <v>33444.9</v>
      </c>
      <c r="M1475">
        <v>18471.53</v>
      </c>
      <c r="N1475">
        <v>14973.37</v>
      </c>
      <c r="O1475" t="s">
        <v>39</v>
      </c>
      <c r="P1475">
        <v>1775.14</v>
      </c>
      <c r="Q1475" t="s">
        <v>30</v>
      </c>
      <c r="R1475" t="s">
        <v>31</v>
      </c>
      <c r="S1475">
        <v>5</v>
      </c>
      <c r="T1475">
        <v>2</v>
      </c>
      <c r="U1475" t="s">
        <v>32</v>
      </c>
      <c r="V1475" t="s">
        <v>50</v>
      </c>
      <c r="W1475">
        <v>4</v>
      </c>
    </row>
    <row r="1476" spans="1:23" x14ac:dyDescent="0.25">
      <c r="A1476" t="s">
        <v>2111</v>
      </c>
      <c r="B1476" s="1">
        <v>45722</v>
      </c>
      <c r="C1476" t="s">
        <v>211</v>
      </c>
      <c r="D1476" t="s">
        <v>97</v>
      </c>
      <c r="E1476" t="s">
        <v>26</v>
      </c>
      <c r="F1476" t="s">
        <v>86</v>
      </c>
      <c r="G1476" t="s">
        <v>94</v>
      </c>
      <c r="H1476">
        <v>1</v>
      </c>
      <c r="I1476">
        <v>72189</v>
      </c>
      <c r="J1476">
        <v>0</v>
      </c>
      <c r="K1476">
        <v>0</v>
      </c>
      <c r="L1476">
        <v>72189</v>
      </c>
      <c r="M1476">
        <v>57024.959999999999</v>
      </c>
      <c r="N1476">
        <v>15164.04</v>
      </c>
      <c r="O1476" t="s">
        <v>49</v>
      </c>
      <c r="P1476">
        <v>127.64</v>
      </c>
      <c r="Q1476" t="s">
        <v>83</v>
      </c>
      <c r="R1476" t="s">
        <v>31</v>
      </c>
      <c r="S1476">
        <v>5</v>
      </c>
      <c r="T1476">
        <v>3</v>
      </c>
      <c r="U1476" t="s">
        <v>32</v>
      </c>
      <c r="V1476" t="s">
        <v>42</v>
      </c>
    </row>
    <row r="1477" spans="1:23" x14ac:dyDescent="0.25">
      <c r="A1477" t="s">
        <v>2112</v>
      </c>
      <c r="B1477" s="1">
        <v>45873</v>
      </c>
      <c r="C1477" t="s">
        <v>191</v>
      </c>
      <c r="D1477" t="s">
        <v>124</v>
      </c>
      <c r="E1477" t="s">
        <v>46</v>
      </c>
      <c r="F1477" t="s">
        <v>86</v>
      </c>
      <c r="G1477" t="s">
        <v>180</v>
      </c>
      <c r="H1477">
        <v>1</v>
      </c>
      <c r="I1477">
        <v>25516</v>
      </c>
      <c r="J1477">
        <v>5</v>
      </c>
      <c r="K1477">
        <v>1275.8</v>
      </c>
      <c r="L1477">
        <v>24240.2</v>
      </c>
      <c r="M1477">
        <v>16836.34</v>
      </c>
      <c r="N1477">
        <v>7403.86</v>
      </c>
      <c r="O1477" t="s">
        <v>39</v>
      </c>
      <c r="P1477">
        <v>2031.02</v>
      </c>
      <c r="Q1477" t="s">
        <v>68</v>
      </c>
      <c r="R1477" t="s">
        <v>31</v>
      </c>
      <c r="S1477">
        <v>5</v>
      </c>
      <c r="T1477">
        <v>2</v>
      </c>
      <c r="U1477" t="s">
        <v>32</v>
      </c>
      <c r="V1477" t="s">
        <v>42</v>
      </c>
    </row>
    <row r="1478" spans="1:23" x14ac:dyDescent="0.25">
      <c r="A1478" t="s">
        <v>2113</v>
      </c>
      <c r="B1478" s="1">
        <v>45927</v>
      </c>
      <c r="C1478" t="s">
        <v>1350</v>
      </c>
      <c r="D1478" t="s">
        <v>79</v>
      </c>
      <c r="E1478" t="s">
        <v>46</v>
      </c>
      <c r="F1478" t="s">
        <v>53</v>
      </c>
      <c r="G1478" t="s">
        <v>82</v>
      </c>
      <c r="H1478">
        <v>1</v>
      </c>
      <c r="I1478">
        <v>111201</v>
      </c>
      <c r="J1478">
        <v>0</v>
      </c>
      <c r="K1478">
        <v>0</v>
      </c>
      <c r="L1478">
        <v>111201</v>
      </c>
      <c r="M1478">
        <v>68293.09</v>
      </c>
      <c r="N1478">
        <v>42907.91</v>
      </c>
      <c r="O1478" t="s">
        <v>49</v>
      </c>
      <c r="P1478">
        <v>472.29</v>
      </c>
      <c r="Q1478" t="s">
        <v>30</v>
      </c>
      <c r="R1478" t="s">
        <v>31</v>
      </c>
      <c r="S1478">
        <v>5</v>
      </c>
      <c r="T1478">
        <v>5</v>
      </c>
      <c r="U1478" t="s">
        <v>32</v>
      </c>
      <c r="V1478" t="s">
        <v>42</v>
      </c>
    </row>
    <row r="1479" spans="1:23" x14ac:dyDescent="0.25">
      <c r="A1479" t="s">
        <v>2114</v>
      </c>
      <c r="B1479" s="1">
        <v>45716</v>
      </c>
      <c r="C1479" t="s">
        <v>203</v>
      </c>
      <c r="D1479" t="s">
        <v>67</v>
      </c>
      <c r="E1479" t="s">
        <v>26</v>
      </c>
      <c r="F1479" t="s">
        <v>47</v>
      </c>
      <c r="G1479" t="s">
        <v>105</v>
      </c>
      <c r="H1479">
        <v>2</v>
      </c>
      <c r="I1479">
        <v>38856</v>
      </c>
      <c r="J1479">
        <v>0</v>
      </c>
      <c r="K1479">
        <v>0</v>
      </c>
      <c r="L1479">
        <v>77712</v>
      </c>
      <c r="M1479">
        <v>43638.42</v>
      </c>
      <c r="N1479">
        <v>34073.58</v>
      </c>
      <c r="O1479" t="s">
        <v>49</v>
      </c>
      <c r="P1479">
        <v>165.64</v>
      </c>
      <c r="Q1479" t="s">
        <v>83</v>
      </c>
      <c r="R1479" t="s">
        <v>31</v>
      </c>
      <c r="S1479">
        <v>5</v>
      </c>
      <c r="T1479">
        <v>5</v>
      </c>
      <c r="U1479" t="s">
        <v>32</v>
      </c>
      <c r="V1479" t="s">
        <v>33</v>
      </c>
      <c r="W1479">
        <v>1</v>
      </c>
    </row>
    <row r="1480" spans="1:23" x14ac:dyDescent="0.25">
      <c r="A1480" t="s">
        <v>2115</v>
      </c>
      <c r="B1480" s="1">
        <v>45690</v>
      </c>
      <c r="C1480" t="s">
        <v>1063</v>
      </c>
      <c r="D1480" t="s">
        <v>67</v>
      </c>
      <c r="E1480" t="s">
        <v>46</v>
      </c>
      <c r="F1480" t="s">
        <v>53</v>
      </c>
      <c r="G1480" t="s">
        <v>54</v>
      </c>
      <c r="H1480">
        <v>1</v>
      </c>
      <c r="I1480">
        <v>56865</v>
      </c>
      <c r="J1480">
        <v>0</v>
      </c>
      <c r="K1480">
        <v>0</v>
      </c>
      <c r="L1480">
        <v>56865</v>
      </c>
      <c r="M1480">
        <v>34044.050000000003</v>
      </c>
      <c r="N1480">
        <v>22820.95</v>
      </c>
      <c r="O1480" t="s">
        <v>55</v>
      </c>
      <c r="P1480">
        <v>1054.02</v>
      </c>
      <c r="Q1480" t="s">
        <v>83</v>
      </c>
      <c r="R1480" t="s">
        <v>31</v>
      </c>
      <c r="S1480">
        <v>5</v>
      </c>
      <c r="T1480">
        <v>3</v>
      </c>
      <c r="U1480" t="s">
        <v>32</v>
      </c>
      <c r="V1480" t="s">
        <v>33</v>
      </c>
      <c r="W1480">
        <v>5</v>
      </c>
    </row>
    <row r="1481" spans="1:23" x14ac:dyDescent="0.25">
      <c r="A1481" t="s">
        <v>2116</v>
      </c>
      <c r="B1481" s="1">
        <v>45901</v>
      </c>
      <c r="C1481" t="s">
        <v>135</v>
      </c>
      <c r="D1481" t="s">
        <v>63</v>
      </c>
      <c r="E1481" t="s">
        <v>46</v>
      </c>
      <c r="F1481" t="s">
        <v>37</v>
      </c>
      <c r="G1481" t="s">
        <v>224</v>
      </c>
      <c r="H1481">
        <v>1</v>
      </c>
      <c r="I1481">
        <v>29914</v>
      </c>
      <c r="J1481">
        <v>10</v>
      </c>
      <c r="K1481">
        <v>2991.4</v>
      </c>
      <c r="L1481">
        <v>26922.6</v>
      </c>
      <c r="M1481">
        <v>17267.52</v>
      </c>
      <c r="N1481">
        <v>9655.08</v>
      </c>
      <c r="O1481" t="s">
        <v>39</v>
      </c>
      <c r="P1481">
        <v>1183.9100000000001</v>
      </c>
      <c r="Q1481" t="s">
        <v>83</v>
      </c>
      <c r="R1481" t="s">
        <v>31</v>
      </c>
      <c r="S1481">
        <v>5</v>
      </c>
      <c r="T1481">
        <v>4</v>
      </c>
      <c r="U1481" t="s">
        <v>32</v>
      </c>
      <c r="V1481" t="s">
        <v>33</v>
      </c>
      <c r="W1481">
        <v>4</v>
      </c>
    </row>
    <row r="1482" spans="1:23" x14ac:dyDescent="0.25">
      <c r="A1482" t="s">
        <v>2117</v>
      </c>
      <c r="B1482" s="1">
        <v>45887</v>
      </c>
      <c r="C1482" t="s">
        <v>380</v>
      </c>
      <c r="D1482" t="s">
        <v>79</v>
      </c>
      <c r="E1482" t="s">
        <v>26</v>
      </c>
      <c r="F1482" t="s">
        <v>47</v>
      </c>
      <c r="G1482" t="s">
        <v>105</v>
      </c>
      <c r="H1482">
        <v>1</v>
      </c>
      <c r="I1482">
        <v>16264</v>
      </c>
      <c r="J1482">
        <v>15</v>
      </c>
      <c r="K1482">
        <v>2439.6</v>
      </c>
      <c r="L1482">
        <v>13824.4</v>
      </c>
      <c r="M1482">
        <v>8001.13</v>
      </c>
      <c r="N1482">
        <v>5823.27</v>
      </c>
      <c r="O1482" t="s">
        <v>49</v>
      </c>
      <c r="P1482">
        <v>221.76</v>
      </c>
      <c r="Q1482" t="s">
        <v>30</v>
      </c>
      <c r="R1482" t="s">
        <v>41</v>
      </c>
      <c r="S1482">
        <v>2</v>
      </c>
      <c r="T1482">
        <v>6</v>
      </c>
      <c r="U1482" t="s">
        <v>32</v>
      </c>
      <c r="V1482" t="s">
        <v>50</v>
      </c>
      <c r="W1482">
        <v>5</v>
      </c>
    </row>
    <row r="1483" spans="1:23" x14ac:dyDescent="0.25">
      <c r="A1483" t="s">
        <v>2118</v>
      </c>
      <c r="B1483" s="1">
        <v>45843</v>
      </c>
      <c r="C1483" t="s">
        <v>2012</v>
      </c>
      <c r="D1483" t="s">
        <v>25</v>
      </c>
      <c r="E1483" t="s">
        <v>26</v>
      </c>
      <c r="F1483" t="s">
        <v>37</v>
      </c>
      <c r="G1483" t="s">
        <v>161</v>
      </c>
      <c r="H1483">
        <v>1</v>
      </c>
      <c r="I1483">
        <v>22775</v>
      </c>
      <c r="J1483">
        <v>0</v>
      </c>
      <c r="K1483">
        <v>0</v>
      </c>
      <c r="L1483">
        <v>22775</v>
      </c>
      <c r="M1483">
        <v>13546.25</v>
      </c>
      <c r="N1483">
        <v>9228.75</v>
      </c>
      <c r="O1483" t="s">
        <v>39</v>
      </c>
      <c r="P1483">
        <v>1707.14</v>
      </c>
      <c r="Q1483" t="s">
        <v>73</v>
      </c>
      <c r="R1483" t="s">
        <v>31</v>
      </c>
      <c r="S1483">
        <v>5</v>
      </c>
      <c r="T1483">
        <v>4</v>
      </c>
      <c r="U1483" t="s">
        <v>32</v>
      </c>
      <c r="V1483" t="s">
        <v>33</v>
      </c>
      <c r="W1483">
        <v>5</v>
      </c>
    </row>
    <row r="1484" spans="1:23" x14ac:dyDescent="0.25">
      <c r="A1484" t="s">
        <v>2119</v>
      </c>
      <c r="B1484" s="1">
        <v>45920</v>
      </c>
      <c r="C1484" t="s">
        <v>496</v>
      </c>
      <c r="D1484" t="s">
        <v>63</v>
      </c>
      <c r="E1484" t="s">
        <v>36</v>
      </c>
      <c r="F1484" t="s">
        <v>27</v>
      </c>
      <c r="G1484" t="s">
        <v>164</v>
      </c>
      <c r="H1484">
        <v>1</v>
      </c>
      <c r="I1484">
        <v>3527</v>
      </c>
      <c r="J1484">
        <v>0</v>
      </c>
      <c r="K1484">
        <v>0</v>
      </c>
      <c r="L1484">
        <v>3527</v>
      </c>
      <c r="M1484">
        <v>2008.05</v>
      </c>
      <c r="N1484">
        <v>1518.95</v>
      </c>
      <c r="O1484" t="s">
        <v>60</v>
      </c>
      <c r="P1484">
        <v>422.55</v>
      </c>
      <c r="Q1484" t="s">
        <v>73</v>
      </c>
      <c r="R1484" t="s">
        <v>41</v>
      </c>
      <c r="S1484">
        <v>2</v>
      </c>
      <c r="T1484">
        <v>5</v>
      </c>
      <c r="U1484" t="s">
        <v>56</v>
      </c>
      <c r="V1484" t="s">
        <v>33</v>
      </c>
      <c r="W1484">
        <v>5</v>
      </c>
    </row>
    <row r="1485" spans="1:23" x14ac:dyDescent="0.25">
      <c r="A1485" t="s">
        <v>2120</v>
      </c>
      <c r="B1485" s="1">
        <v>45961</v>
      </c>
      <c r="C1485" t="s">
        <v>1106</v>
      </c>
      <c r="D1485" t="s">
        <v>154</v>
      </c>
      <c r="E1485" t="s">
        <v>26</v>
      </c>
      <c r="F1485" t="s">
        <v>47</v>
      </c>
      <c r="G1485" t="s">
        <v>138</v>
      </c>
      <c r="H1485">
        <v>1</v>
      </c>
      <c r="I1485">
        <v>41856</v>
      </c>
      <c r="J1485">
        <v>10</v>
      </c>
      <c r="K1485">
        <v>4185.6000000000004</v>
      </c>
      <c r="L1485">
        <v>37670.400000000001</v>
      </c>
      <c r="M1485">
        <v>25592.639999999999</v>
      </c>
      <c r="N1485">
        <v>12077.76</v>
      </c>
      <c r="O1485" t="s">
        <v>39</v>
      </c>
      <c r="P1485">
        <v>1067.3499999999999</v>
      </c>
      <c r="Q1485" t="s">
        <v>40</v>
      </c>
      <c r="R1485" t="s">
        <v>41</v>
      </c>
      <c r="S1485">
        <v>2</v>
      </c>
      <c r="T1485">
        <v>1</v>
      </c>
      <c r="U1485" t="s">
        <v>32</v>
      </c>
      <c r="V1485" t="s">
        <v>33</v>
      </c>
      <c r="W1485">
        <v>3</v>
      </c>
    </row>
    <row r="1486" spans="1:23" x14ac:dyDescent="0.25">
      <c r="A1486" t="s">
        <v>2121</v>
      </c>
      <c r="B1486" s="1">
        <v>45713</v>
      </c>
      <c r="C1486" t="s">
        <v>1554</v>
      </c>
      <c r="D1486" t="s">
        <v>67</v>
      </c>
      <c r="E1486" t="s">
        <v>46</v>
      </c>
      <c r="F1486" t="s">
        <v>27</v>
      </c>
      <c r="G1486" t="s">
        <v>28</v>
      </c>
      <c r="H1486">
        <v>2</v>
      </c>
      <c r="I1486">
        <v>4427</v>
      </c>
      <c r="J1486">
        <v>25</v>
      </c>
      <c r="K1486">
        <v>2213.5</v>
      </c>
      <c r="L1486">
        <v>6640.5</v>
      </c>
      <c r="M1486">
        <v>4046.52</v>
      </c>
      <c r="N1486">
        <v>2593.98</v>
      </c>
      <c r="O1486" t="s">
        <v>55</v>
      </c>
      <c r="P1486">
        <v>722.13</v>
      </c>
      <c r="Q1486" t="s">
        <v>83</v>
      </c>
      <c r="R1486" t="s">
        <v>31</v>
      </c>
      <c r="S1486">
        <v>5</v>
      </c>
      <c r="T1486">
        <v>3</v>
      </c>
      <c r="U1486" t="s">
        <v>32</v>
      </c>
      <c r="V1486" t="s">
        <v>50</v>
      </c>
      <c r="W1486">
        <v>5</v>
      </c>
    </row>
    <row r="1487" spans="1:23" x14ac:dyDescent="0.25">
      <c r="A1487" t="s">
        <v>2122</v>
      </c>
      <c r="B1487" s="1">
        <v>45889</v>
      </c>
      <c r="C1487" t="s">
        <v>1488</v>
      </c>
      <c r="D1487" t="s">
        <v>154</v>
      </c>
      <c r="E1487" t="s">
        <v>36</v>
      </c>
      <c r="F1487" t="s">
        <v>86</v>
      </c>
      <c r="G1487" t="s">
        <v>110</v>
      </c>
      <c r="H1487">
        <v>2</v>
      </c>
      <c r="I1487">
        <v>27976</v>
      </c>
      <c r="J1487">
        <v>15</v>
      </c>
      <c r="K1487">
        <v>8392.7999999999993</v>
      </c>
      <c r="L1487">
        <v>47559.199999999997</v>
      </c>
      <c r="M1487">
        <v>30392.91</v>
      </c>
      <c r="N1487">
        <v>17166.29</v>
      </c>
      <c r="O1487" t="s">
        <v>49</v>
      </c>
      <c r="P1487">
        <v>69.66</v>
      </c>
      <c r="Q1487" t="s">
        <v>73</v>
      </c>
      <c r="R1487" t="s">
        <v>41</v>
      </c>
      <c r="S1487">
        <v>2</v>
      </c>
      <c r="T1487">
        <v>3</v>
      </c>
      <c r="U1487" t="s">
        <v>56</v>
      </c>
      <c r="V1487" t="s">
        <v>33</v>
      </c>
      <c r="W1487">
        <v>1</v>
      </c>
    </row>
    <row r="1488" spans="1:23" x14ac:dyDescent="0.25">
      <c r="A1488" t="s">
        <v>2123</v>
      </c>
      <c r="B1488" s="1">
        <v>45915</v>
      </c>
      <c r="C1488" t="s">
        <v>500</v>
      </c>
      <c r="D1488" t="s">
        <v>45</v>
      </c>
      <c r="E1488" t="s">
        <v>46</v>
      </c>
      <c r="F1488" t="s">
        <v>53</v>
      </c>
      <c r="G1488" t="s">
        <v>54</v>
      </c>
      <c r="H1488">
        <v>1</v>
      </c>
      <c r="I1488">
        <v>25814</v>
      </c>
      <c r="J1488">
        <v>0</v>
      </c>
      <c r="K1488">
        <v>0</v>
      </c>
      <c r="L1488">
        <v>25814</v>
      </c>
      <c r="M1488">
        <v>17812.189999999999</v>
      </c>
      <c r="N1488">
        <v>8001.81</v>
      </c>
      <c r="O1488" t="s">
        <v>55</v>
      </c>
      <c r="P1488">
        <v>462.69</v>
      </c>
      <c r="Q1488" t="s">
        <v>40</v>
      </c>
      <c r="R1488" t="s">
        <v>31</v>
      </c>
      <c r="S1488">
        <v>5</v>
      </c>
      <c r="T1488">
        <v>2</v>
      </c>
      <c r="U1488" t="s">
        <v>32</v>
      </c>
      <c r="V1488" t="s">
        <v>33</v>
      </c>
      <c r="W1488">
        <v>5</v>
      </c>
    </row>
    <row r="1489" spans="1:23" x14ac:dyDescent="0.25">
      <c r="A1489" t="s">
        <v>2124</v>
      </c>
      <c r="B1489" s="1">
        <v>45771</v>
      </c>
      <c r="C1489" t="s">
        <v>1202</v>
      </c>
      <c r="D1489" t="s">
        <v>25</v>
      </c>
      <c r="E1489" t="s">
        <v>46</v>
      </c>
      <c r="F1489" t="s">
        <v>27</v>
      </c>
      <c r="G1489" t="s">
        <v>164</v>
      </c>
      <c r="H1489">
        <v>2</v>
      </c>
      <c r="I1489">
        <v>25001</v>
      </c>
      <c r="J1489">
        <v>20</v>
      </c>
      <c r="K1489">
        <v>10000.4</v>
      </c>
      <c r="L1489">
        <v>40001.599999999999</v>
      </c>
      <c r="M1489">
        <v>31660.68</v>
      </c>
      <c r="N1489">
        <v>8340.92</v>
      </c>
      <c r="O1489" t="s">
        <v>49</v>
      </c>
      <c r="P1489">
        <v>320.12</v>
      </c>
      <c r="Q1489" t="s">
        <v>73</v>
      </c>
      <c r="R1489" t="s">
        <v>41</v>
      </c>
      <c r="S1489">
        <v>2</v>
      </c>
      <c r="T1489">
        <v>4</v>
      </c>
      <c r="U1489" t="s">
        <v>32</v>
      </c>
      <c r="V1489" t="s">
        <v>42</v>
      </c>
    </row>
    <row r="1490" spans="1:23" x14ac:dyDescent="0.25">
      <c r="A1490" t="s">
        <v>2125</v>
      </c>
      <c r="B1490" s="1">
        <v>45972</v>
      </c>
      <c r="C1490" t="s">
        <v>364</v>
      </c>
      <c r="D1490" t="s">
        <v>67</v>
      </c>
      <c r="E1490" t="s">
        <v>46</v>
      </c>
      <c r="F1490" t="s">
        <v>47</v>
      </c>
      <c r="G1490" t="s">
        <v>146</v>
      </c>
      <c r="H1490">
        <v>1</v>
      </c>
      <c r="I1490">
        <v>29003</v>
      </c>
      <c r="J1490">
        <v>0</v>
      </c>
      <c r="K1490">
        <v>0</v>
      </c>
      <c r="L1490">
        <v>29003</v>
      </c>
      <c r="M1490">
        <v>20281.240000000002</v>
      </c>
      <c r="N1490">
        <v>8721.76</v>
      </c>
      <c r="O1490" t="s">
        <v>55</v>
      </c>
      <c r="P1490">
        <v>1195.1400000000001</v>
      </c>
      <c r="Q1490" t="s">
        <v>30</v>
      </c>
      <c r="R1490" t="s">
        <v>31</v>
      </c>
      <c r="S1490">
        <v>5</v>
      </c>
      <c r="T1490">
        <v>0</v>
      </c>
      <c r="U1490" t="s">
        <v>32</v>
      </c>
      <c r="V1490" t="s">
        <v>42</v>
      </c>
    </row>
    <row r="1491" spans="1:23" x14ac:dyDescent="0.25">
      <c r="A1491" t="s">
        <v>2126</v>
      </c>
      <c r="B1491" s="1">
        <v>45680</v>
      </c>
      <c r="C1491" t="s">
        <v>753</v>
      </c>
      <c r="D1491" t="s">
        <v>124</v>
      </c>
      <c r="E1491" t="s">
        <v>36</v>
      </c>
      <c r="F1491" t="s">
        <v>47</v>
      </c>
      <c r="G1491" t="s">
        <v>48</v>
      </c>
      <c r="H1491">
        <v>1</v>
      </c>
      <c r="I1491">
        <v>18020</v>
      </c>
      <c r="J1491">
        <v>10</v>
      </c>
      <c r="K1491">
        <v>1802</v>
      </c>
      <c r="L1491">
        <v>16218</v>
      </c>
      <c r="M1491">
        <v>10884.39</v>
      </c>
      <c r="N1491">
        <v>5333.61</v>
      </c>
      <c r="O1491" t="s">
        <v>55</v>
      </c>
      <c r="P1491">
        <v>1162.67</v>
      </c>
      <c r="Q1491" t="s">
        <v>73</v>
      </c>
      <c r="R1491" t="s">
        <v>41</v>
      </c>
      <c r="S1491">
        <v>2</v>
      </c>
      <c r="T1491">
        <v>4</v>
      </c>
      <c r="U1491" t="s">
        <v>56</v>
      </c>
      <c r="V1491" t="s">
        <v>33</v>
      </c>
      <c r="W1491">
        <v>1</v>
      </c>
    </row>
    <row r="1492" spans="1:23" x14ac:dyDescent="0.25">
      <c r="A1492" t="s">
        <v>2127</v>
      </c>
      <c r="B1492" s="1">
        <v>45995</v>
      </c>
      <c r="C1492" t="s">
        <v>233</v>
      </c>
      <c r="D1492" t="s">
        <v>67</v>
      </c>
      <c r="E1492" t="s">
        <v>26</v>
      </c>
      <c r="F1492" t="s">
        <v>37</v>
      </c>
      <c r="G1492" t="s">
        <v>100</v>
      </c>
      <c r="H1492">
        <v>1</v>
      </c>
      <c r="I1492">
        <v>7509</v>
      </c>
      <c r="J1492">
        <v>15</v>
      </c>
      <c r="K1492">
        <v>1126.3499999999999</v>
      </c>
      <c r="L1492">
        <v>6382.65</v>
      </c>
      <c r="M1492">
        <v>4424.51</v>
      </c>
      <c r="N1492">
        <v>1958.14</v>
      </c>
      <c r="O1492" t="s">
        <v>29</v>
      </c>
      <c r="P1492">
        <v>1956.3</v>
      </c>
      <c r="Q1492" t="s">
        <v>83</v>
      </c>
      <c r="R1492" t="s">
        <v>31</v>
      </c>
      <c r="S1492">
        <v>5</v>
      </c>
      <c r="T1492">
        <v>3</v>
      </c>
      <c r="U1492" t="s">
        <v>32</v>
      </c>
      <c r="V1492" t="s">
        <v>33</v>
      </c>
      <c r="W1492">
        <v>1</v>
      </c>
    </row>
    <row r="1493" spans="1:23" x14ac:dyDescent="0.25">
      <c r="A1493" t="s">
        <v>2128</v>
      </c>
      <c r="B1493" s="1">
        <v>45924</v>
      </c>
      <c r="C1493" t="s">
        <v>282</v>
      </c>
      <c r="D1493" t="s">
        <v>67</v>
      </c>
      <c r="E1493" t="s">
        <v>46</v>
      </c>
      <c r="F1493" t="s">
        <v>27</v>
      </c>
      <c r="G1493" t="s">
        <v>164</v>
      </c>
      <c r="H1493">
        <v>2</v>
      </c>
      <c r="I1493">
        <v>10768</v>
      </c>
      <c r="J1493">
        <v>15</v>
      </c>
      <c r="K1493">
        <v>3230.4</v>
      </c>
      <c r="L1493">
        <v>18305.599999999999</v>
      </c>
      <c r="M1493">
        <v>14619.75</v>
      </c>
      <c r="N1493">
        <v>3685.85</v>
      </c>
      <c r="O1493" t="s">
        <v>39</v>
      </c>
      <c r="P1493">
        <v>1612.02</v>
      </c>
      <c r="Q1493" t="s">
        <v>40</v>
      </c>
      <c r="R1493" t="s">
        <v>31</v>
      </c>
      <c r="S1493">
        <v>5</v>
      </c>
      <c r="T1493">
        <v>10</v>
      </c>
      <c r="U1493" t="s">
        <v>56</v>
      </c>
      <c r="V1493" t="s">
        <v>33</v>
      </c>
      <c r="W1493">
        <v>4</v>
      </c>
    </row>
    <row r="1494" spans="1:23" x14ac:dyDescent="0.25">
      <c r="A1494" t="s">
        <v>2129</v>
      </c>
      <c r="B1494" s="1">
        <v>45812</v>
      </c>
      <c r="C1494" t="s">
        <v>766</v>
      </c>
      <c r="D1494" t="s">
        <v>90</v>
      </c>
      <c r="E1494" t="s">
        <v>46</v>
      </c>
      <c r="F1494" t="s">
        <v>86</v>
      </c>
      <c r="G1494" t="s">
        <v>94</v>
      </c>
      <c r="H1494">
        <v>2</v>
      </c>
      <c r="I1494">
        <v>68419</v>
      </c>
      <c r="J1494">
        <v>10</v>
      </c>
      <c r="K1494">
        <v>13683.8</v>
      </c>
      <c r="L1494">
        <v>123154.2</v>
      </c>
      <c r="M1494">
        <v>92664.73</v>
      </c>
      <c r="N1494">
        <v>30489.47</v>
      </c>
      <c r="O1494" t="s">
        <v>55</v>
      </c>
      <c r="P1494">
        <v>717.29</v>
      </c>
      <c r="Q1494" t="s">
        <v>30</v>
      </c>
      <c r="R1494" t="s">
        <v>41</v>
      </c>
      <c r="S1494">
        <v>2</v>
      </c>
      <c r="T1494">
        <v>1</v>
      </c>
      <c r="U1494" t="s">
        <v>32</v>
      </c>
      <c r="V1494" t="s">
        <v>33</v>
      </c>
      <c r="W1494">
        <v>5</v>
      </c>
    </row>
    <row r="1495" spans="1:23" x14ac:dyDescent="0.25">
      <c r="A1495" t="s">
        <v>2130</v>
      </c>
      <c r="B1495" s="1">
        <v>45892</v>
      </c>
      <c r="C1495" t="s">
        <v>2131</v>
      </c>
      <c r="D1495" t="s">
        <v>79</v>
      </c>
      <c r="E1495" t="s">
        <v>26</v>
      </c>
      <c r="F1495" t="s">
        <v>47</v>
      </c>
      <c r="G1495" t="s">
        <v>64</v>
      </c>
      <c r="H1495">
        <v>1</v>
      </c>
      <c r="I1495">
        <v>21275</v>
      </c>
      <c r="J1495">
        <v>10</v>
      </c>
      <c r="K1495">
        <v>2127.5</v>
      </c>
      <c r="L1495">
        <v>19147.5</v>
      </c>
      <c r="M1495">
        <v>11078.31</v>
      </c>
      <c r="N1495">
        <v>8069.19</v>
      </c>
      <c r="O1495" t="s">
        <v>91</v>
      </c>
      <c r="P1495">
        <v>1580.46</v>
      </c>
      <c r="Q1495" t="s">
        <v>68</v>
      </c>
      <c r="R1495" t="s">
        <v>31</v>
      </c>
      <c r="S1495">
        <v>5</v>
      </c>
      <c r="T1495">
        <v>5</v>
      </c>
      <c r="U1495" t="s">
        <v>32</v>
      </c>
      <c r="V1495" t="s">
        <v>33</v>
      </c>
      <c r="W1495">
        <v>5</v>
      </c>
    </row>
    <row r="1496" spans="1:23" x14ac:dyDescent="0.25">
      <c r="A1496" t="s">
        <v>2132</v>
      </c>
      <c r="B1496" s="1">
        <v>45987</v>
      </c>
      <c r="C1496" t="s">
        <v>172</v>
      </c>
      <c r="D1496" t="s">
        <v>63</v>
      </c>
      <c r="E1496" t="s">
        <v>36</v>
      </c>
      <c r="F1496" t="s">
        <v>86</v>
      </c>
      <c r="G1496" t="s">
        <v>110</v>
      </c>
      <c r="H1496">
        <v>3</v>
      </c>
      <c r="I1496">
        <v>29880</v>
      </c>
      <c r="J1496">
        <v>15</v>
      </c>
      <c r="K1496">
        <v>13446</v>
      </c>
      <c r="L1496">
        <v>76194</v>
      </c>
      <c r="M1496">
        <v>58592.92</v>
      </c>
      <c r="N1496">
        <v>17601.080000000002</v>
      </c>
      <c r="O1496" t="s">
        <v>60</v>
      </c>
      <c r="P1496">
        <v>1514.33</v>
      </c>
      <c r="Q1496" t="s">
        <v>73</v>
      </c>
      <c r="R1496" t="s">
        <v>41</v>
      </c>
      <c r="S1496">
        <v>2</v>
      </c>
      <c r="T1496">
        <v>5</v>
      </c>
      <c r="U1496" t="s">
        <v>56</v>
      </c>
      <c r="V1496" t="s">
        <v>33</v>
      </c>
      <c r="W1496">
        <v>2</v>
      </c>
    </row>
    <row r="1497" spans="1:23" x14ac:dyDescent="0.25">
      <c r="A1497" t="s">
        <v>2133</v>
      </c>
      <c r="B1497" s="1">
        <v>45673</v>
      </c>
      <c r="C1497" t="s">
        <v>852</v>
      </c>
      <c r="D1497" t="s">
        <v>124</v>
      </c>
      <c r="E1497" t="s">
        <v>26</v>
      </c>
      <c r="F1497" t="s">
        <v>86</v>
      </c>
      <c r="G1497" t="s">
        <v>94</v>
      </c>
      <c r="H1497">
        <v>1</v>
      </c>
      <c r="I1497">
        <v>47150</v>
      </c>
      <c r="J1497">
        <v>0</v>
      </c>
      <c r="K1497">
        <v>0</v>
      </c>
      <c r="L1497">
        <v>47150</v>
      </c>
      <c r="M1497">
        <v>33610.36</v>
      </c>
      <c r="N1497">
        <v>13539.64</v>
      </c>
      <c r="O1497" t="s">
        <v>49</v>
      </c>
      <c r="P1497">
        <v>229.97</v>
      </c>
      <c r="Q1497" t="s">
        <v>73</v>
      </c>
      <c r="R1497" t="s">
        <v>41</v>
      </c>
      <c r="S1497">
        <v>2</v>
      </c>
      <c r="T1497">
        <v>6</v>
      </c>
      <c r="U1497" t="s">
        <v>56</v>
      </c>
      <c r="V1497" t="s">
        <v>33</v>
      </c>
      <c r="W1497">
        <v>5</v>
      </c>
    </row>
    <row r="1498" spans="1:23" x14ac:dyDescent="0.25">
      <c r="A1498" t="s">
        <v>2134</v>
      </c>
      <c r="B1498" s="1">
        <v>45689</v>
      </c>
      <c r="C1498" t="s">
        <v>1832</v>
      </c>
      <c r="D1498" t="s">
        <v>63</v>
      </c>
      <c r="E1498" t="s">
        <v>36</v>
      </c>
      <c r="F1498" t="s">
        <v>37</v>
      </c>
      <c r="G1498" t="s">
        <v>224</v>
      </c>
      <c r="H1498">
        <v>2</v>
      </c>
      <c r="I1498">
        <v>6104</v>
      </c>
      <c r="J1498">
        <v>25</v>
      </c>
      <c r="K1498">
        <v>3052</v>
      </c>
      <c r="L1498">
        <v>9156</v>
      </c>
      <c r="M1498">
        <v>7471.51</v>
      </c>
      <c r="N1498">
        <v>1684.49</v>
      </c>
      <c r="O1498" t="s">
        <v>39</v>
      </c>
      <c r="P1498">
        <v>447.51</v>
      </c>
      <c r="Q1498" t="s">
        <v>30</v>
      </c>
      <c r="R1498" t="s">
        <v>31</v>
      </c>
      <c r="S1498">
        <v>5</v>
      </c>
      <c r="T1498">
        <v>5</v>
      </c>
      <c r="U1498" t="s">
        <v>32</v>
      </c>
      <c r="V1498" t="s">
        <v>42</v>
      </c>
    </row>
    <row r="1499" spans="1:23" x14ac:dyDescent="0.25">
      <c r="A1499" t="s">
        <v>2135</v>
      </c>
      <c r="B1499" s="1">
        <v>45903</v>
      </c>
      <c r="C1499" t="s">
        <v>1386</v>
      </c>
      <c r="D1499" t="s">
        <v>71</v>
      </c>
      <c r="E1499" t="s">
        <v>26</v>
      </c>
      <c r="F1499" t="s">
        <v>47</v>
      </c>
      <c r="G1499" t="s">
        <v>48</v>
      </c>
      <c r="H1499">
        <v>1</v>
      </c>
      <c r="I1499">
        <v>21142</v>
      </c>
      <c r="J1499">
        <v>20</v>
      </c>
      <c r="K1499">
        <v>4228.3999999999996</v>
      </c>
      <c r="L1499">
        <v>16913.599999999999</v>
      </c>
      <c r="M1499">
        <v>9433.92</v>
      </c>
      <c r="N1499">
        <v>7479.68</v>
      </c>
      <c r="O1499" t="s">
        <v>60</v>
      </c>
      <c r="P1499">
        <v>1710.78</v>
      </c>
      <c r="Q1499" t="s">
        <v>73</v>
      </c>
      <c r="R1499" t="s">
        <v>31</v>
      </c>
      <c r="S1499">
        <v>5</v>
      </c>
      <c r="T1499">
        <v>0</v>
      </c>
      <c r="U1499" t="s">
        <v>32</v>
      </c>
      <c r="V1499" t="s">
        <v>50</v>
      </c>
      <c r="W1499">
        <v>4</v>
      </c>
    </row>
    <row r="1500" spans="1:23" x14ac:dyDescent="0.25">
      <c r="A1500" t="s">
        <v>2136</v>
      </c>
      <c r="B1500" s="1">
        <v>45863</v>
      </c>
      <c r="C1500" t="s">
        <v>857</v>
      </c>
      <c r="D1500" t="s">
        <v>154</v>
      </c>
      <c r="E1500" t="s">
        <v>46</v>
      </c>
      <c r="F1500" t="s">
        <v>53</v>
      </c>
      <c r="G1500" t="s">
        <v>268</v>
      </c>
      <c r="H1500">
        <v>1</v>
      </c>
      <c r="I1500">
        <v>44438</v>
      </c>
      <c r="J1500">
        <v>0</v>
      </c>
      <c r="K1500">
        <v>0</v>
      </c>
      <c r="L1500">
        <v>44438</v>
      </c>
      <c r="M1500">
        <v>29381.72</v>
      </c>
      <c r="N1500">
        <v>15056.28</v>
      </c>
      <c r="O1500" t="s">
        <v>49</v>
      </c>
      <c r="P1500">
        <v>155.61000000000001</v>
      </c>
      <c r="Q1500" t="s">
        <v>73</v>
      </c>
      <c r="R1500" t="s">
        <v>31</v>
      </c>
      <c r="S1500">
        <v>5</v>
      </c>
      <c r="T1500">
        <v>7</v>
      </c>
      <c r="U1500" t="s">
        <v>56</v>
      </c>
      <c r="V1500" t="s">
        <v>33</v>
      </c>
      <c r="W1500">
        <v>5</v>
      </c>
    </row>
    <row r="1501" spans="1:23" x14ac:dyDescent="0.25">
      <c r="A1501" t="s">
        <v>2137</v>
      </c>
      <c r="B1501" s="1">
        <v>45876</v>
      </c>
      <c r="C1501" t="s">
        <v>278</v>
      </c>
      <c r="E1501" t="s">
        <v>26</v>
      </c>
      <c r="F1501" t="s">
        <v>86</v>
      </c>
      <c r="G1501" t="s">
        <v>180</v>
      </c>
      <c r="H1501">
        <v>1</v>
      </c>
      <c r="I1501">
        <v>44866</v>
      </c>
      <c r="J1501">
        <v>0</v>
      </c>
      <c r="K1501">
        <v>0</v>
      </c>
      <c r="L1501">
        <v>44866</v>
      </c>
      <c r="M1501">
        <v>32785.32</v>
      </c>
      <c r="N1501">
        <v>12080.68</v>
      </c>
      <c r="O1501" t="s">
        <v>55</v>
      </c>
      <c r="P1501">
        <v>842.87</v>
      </c>
      <c r="Q1501" t="s">
        <v>73</v>
      </c>
      <c r="R1501" t="s">
        <v>31</v>
      </c>
      <c r="S1501">
        <v>5</v>
      </c>
      <c r="T1501">
        <v>1</v>
      </c>
      <c r="U1501" t="s">
        <v>32</v>
      </c>
      <c r="V1501" t="s">
        <v>50</v>
      </c>
      <c r="W1501">
        <v>5</v>
      </c>
    </row>
    <row r="1502" spans="1:23" x14ac:dyDescent="0.25">
      <c r="A1502" t="s">
        <v>2138</v>
      </c>
      <c r="B1502" s="1">
        <v>46009</v>
      </c>
      <c r="C1502" t="s">
        <v>201</v>
      </c>
      <c r="D1502" t="s">
        <v>67</v>
      </c>
      <c r="E1502" t="s">
        <v>46</v>
      </c>
      <c r="F1502" t="s">
        <v>53</v>
      </c>
      <c r="G1502" t="s">
        <v>82</v>
      </c>
      <c r="H1502">
        <v>3</v>
      </c>
      <c r="I1502">
        <v>20909</v>
      </c>
      <c r="J1502">
        <v>10</v>
      </c>
      <c r="K1502">
        <v>6272.7</v>
      </c>
      <c r="L1502">
        <v>56454.3</v>
      </c>
      <c r="M1502">
        <v>37398.870000000003</v>
      </c>
      <c r="N1502">
        <v>19055.43</v>
      </c>
      <c r="O1502" t="s">
        <v>60</v>
      </c>
      <c r="P1502">
        <v>2046.23</v>
      </c>
      <c r="Q1502" t="s">
        <v>73</v>
      </c>
      <c r="R1502" t="s">
        <v>31</v>
      </c>
      <c r="S1502">
        <v>5</v>
      </c>
      <c r="T1502">
        <v>6</v>
      </c>
      <c r="U1502" t="s">
        <v>56</v>
      </c>
      <c r="V1502" t="s">
        <v>33</v>
      </c>
      <c r="W1502">
        <v>5</v>
      </c>
    </row>
    <row r="1503" spans="1:23" x14ac:dyDescent="0.25">
      <c r="A1503" t="s">
        <v>2139</v>
      </c>
      <c r="B1503" s="1">
        <v>45713</v>
      </c>
      <c r="C1503" t="s">
        <v>1230</v>
      </c>
      <c r="D1503" t="s">
        <v>25</v>
      </c>
      <c r="E1503" t="s">
        <v>26</v>
      </c>
      <c r="F1503" t="s">
        <v>53</v>
      </c>
      <c r="G1503" t="s">
        <v>59</v>
      </c>
      <c r="H1503">
        <v>2</v>
      </c>
      <c r="I1503">
        <v>17513</v>
      </c>
      <c r="J1503">
        <v>10</v>
      </c>
      <c r="K1503">
        <v>3502.6</v>
      </c>
      <c r="L1503">
        <v>31523.4</v>
      </c>
      <c r="M1503">
        <v>24409.23</v>
      </c>
      <c r="N1503">
        <v>7114.17</v>
      </c>
      <c r="O1503" t="s">
        <v>91</v>
      </c>
      <c r="P1503">
        <v>947.01</v>
      </c>
      <c r="Q1503" t="s">
        <v>83</v>
      </c>
      <c r="R1503" t="s">
        <v>41</v>
      </c>
      <c r="S1503">
        <v>2</v>
      </c>
      <c r="T1503">
        <v>1</v>
      </c>
      <c r="U1503" t="s">
        <v>32</v>
      </c>
      <c r="V1503" t="s">
        <v>33</v>
      </c>
      <c r="W1503">
        <v>5</v>
      </c>
    </row>
    <row r="1504" spans="1:23" x14ac:dyDescent="0.25">
      <c r="A1504" t="s">
        <v>2140</v>
      </c>
      <c r="B1504" s="1">
        <v>45909</v>
      </c>
      <c r="C1504" t="s">
        <v>52</v>
      </c>
      <c r="D1504" t="s">
        <v>154</v>
      </c>
      <c r="E1504" t="s">
        <v>36</v>
      </c>
      <c r="F1504" t="s">
        <v>37</v>
      </c>
      <c r="G1504" t="s">
        <v>224</v>
      </c>
      <c r="H1504">
        <v>2</v>
      </c>
      <c r="I1504">
        <v>17083</v>
      </c>
      <c r="J1504">
        <v>10</v>
      </c>
      <c r="K1504">
        <v>3416.6</v>
      </c>
      <c r="L1504">
        <v>30749.4</v>
      </c>
      <c r="M1504">
        <v>20094.71</v>
      </c>
      <c r="N1504">
        <v>10654.69</v>
      </c>
      <c r="O1504" t="s">
        <v>60</v>
      </c>
      <c r="P1504">
        <v>1923.5</v>
      </c>
      <c r="Q1504" t="s">
        <v>40</v>
      </c>
      <c r="R1504" t="s">
        <v>41</v>
      </c>
      <c r="S1504">
        <v>2</v>
      </c>
      <c r="T1504">
        <v>1</v>
      </c>
      <c r="U1504" t="s">
        <v>32</v>
      </c>
      <c r="V1504" t="s">
        <v>42</v>
      </c>
    </row>
    <row r="1505" spans="1:23" x14ac:dyDescent="0.25">
      <c r="A1505" t="s">
        <v>2141</v>
      </c>
      <c r="B1505" s="1">
        <v>46022</v>
      </c>
      <c r="C1505" t="s">
        <v>714</v>
      </c>
      <c r="D1505" t="s">
        <v>124</v>
      </c>
      <c r="E1505" t="s">
        <v>46</v>
      </c>
      <c r="F1505" t="s">
        <v>47</v>
      </c>
      <c r="G1505" t="s">
        <v>138</v>
      </c>
      <c r="H1505">
        <v>1</v>
      </c>
      <c r="I1505">
        <v>50513</v>
      </c>
      <c r="J1505">
        <v>0</v>
      </c>
      <c r="K1505">
        <v>0</v>
      </c>
      <c r="L1505">
        <v>50513</v>
      </c>
      <c r="M1505">
        <v>35554.019999999997</v>
      </c>
      <c r="N1505">
        <v>14958.98</v>
      </c>
      <c r="O1505" t="s">
        <v>60</v>
      </c>
      <c r="P1505">
        <v>1082.56</v>
      </c>
      <c r="Q1505" t="s">
        <v>40</v>
      </c>
      <c r="R1505" t="s">
        <v>31</v>
      </c>
      <c r="S1505">
        <v>5</v>
      </c>
      <c r="T1505">
        <v>4</v>
      </c>
      <c r="U1505" t="s">
        <v>32</v>
      </c>
      <c r="V1505" t="s">
        <v>33</v>
      </c>
      <c r="W1505">
        <v>5</v>
      </c>
    </row>
    <row r="1506" spans="1:23" x14ac:dyDescent="0.25">
      <c r="A1506" t="s">
        <v>2142</v>
      </c>
      <c r="B1506" s="1">
        <v>45885</v>
      </c>
      <c r="C1506" t="s">
        <v>2143</v>
      </c>
      <c r="D1506" t="s">
        <v>97</v>
      </c>
      <c r="E1506" t="s">
        <v>26</v>
      </c>
      <c r="F1506" t="s">
        <v>86</v>
      </c>
      <c r="G1506" t="s">
        <v>180</v>
      </c>
      <c r="H1506">
        <v>1</v>
      </c>
      <c r="I1506">
        <v>46048</v>
      </c>
      <c r="J1506">
        <v>0</v>
      </c>
      <c r="K1506">
        <v>0</v>
      </c>
      <c r="L1506">
        <v>46048</v>
      </c>
      <c r="M1506">
        <v>28982.39</v>
      </c>
      <c r="N1506">
        <v>17065.61</v>
      </c>
      <c r="O1506" t="s">
        <v>91</v>
      </c>
      <c r="P1506">
        <v>608.65</v>
      </c>
      <c r="Q1506" t="s">
        <v>68</v>
      </c>
      <c r="R1506" t="s">
        <v>41</v>
      </c>
      <c r="S1506">
        <v>2</v>
      </c>
      <c r="T1506">
        <v>1</v>
      </c>
      <c r="U1506" t="s">
        <v>32</v>
      </c>
      <c r="V1506" t="s">
        <v>33</v>
      </c>
      <c r="W1506">
        <v>5</v>
      </c>
    </row>
    <row r="1507" spans="1:23" x14ac:dyDescent="0.25">
      <c r="A1507" t="s">
        <v>2144</v>
      </c>
      <c r="B1507" s="1">
        <v>45695</v>
      </c>
      <c r="C1507" t="s">
        <v>2145</v>
      </c>
      <c r="D1507" t="s">
        <v>124</v>
      </c>
      <c r="E1507" t="s">
        <v>26</v>
      </c>
      <c r="F1507" t="s">
        <v>86</v>
      </c>
      <c r="G1507" t="s">
        <v>127</v>
      </c>
      <c r="H1507">
        <v>1</v>
      </c>
      <c r="I1507">
        <v>39731</v>
      </c>
      <c r="J1507">
        <v>10</v>
      </c>
      <c r="K1507">
        <v>3973.1</v>
      </c>
      <c r="L1507">
        <v>35757.9</v>
      </c>
      <c r="M1507">
        <v>20656.71</v>
      </c>
      <c r="N1507">
        <v>15101.19</v>
      </c>
      <c r="O1507" t="s">
        <v>39</v>
      </c>
      <c r="P1507">
        <v>785.12</v>
      </c>
      <c r="Q1507" t="s">
        <v>83</v>
      </c>
      <c r="R1507" t="s">
        <v>41</v>
      </c>
      <c r="S1507">
        <v>2</v>
      </c>
      <c r="T1507">
        <v>3</v>
      </c>
      <c r="U1507" t="s">
        <v>32</v>
      </c>
      <c r="V1507" t="s">
        <v>50</v>
      </c>
      <c r="W1507">
        <v>5</v>
      </c>
    </row>
    <row r="1508" spans="1:23" x14ac:dyDescent="0.25">
      <c r="A1508" t="s">
        <v>2146</v>
      </c>
      <c r="B1508" s="1">
        <v>45699</v>
      </c>
      <c r="C1508" t="s">
        <v>434</v>
      </c>
      <c r="D1508" t="s">
        <v>63</v>
      </c>
      <c r="E1508" t="s">
        <v>46</v>
      </c>
      <c r="F1508" t="s">
        <v>37</v>
      </c>
      <c r="G1508" t="s">
        <v>100</v>
      </c>
      <c r="H1508">
        <v>2</v>
      </c>
      <c r="I1508">
        <v>25611</v>
      </c>
      <c r="J1508">
        <v>10</v>
      </c>
      <c r="K1508">
        <v>5122.2</v>
      </c>
      <c r="L1508">
        <v>46099.8</v>
      </c>
      <c r="M1508">
        <v>25614.080000000002</v>
      </c>
      <c r="N1508">
        <v>20485.72</v>
      </c>
      <c r="O1508" t="s">
        <v>91</v>
      </c>
      <c r="P1508">
        <v>2088.7399999999998</v>
      </c>
      <c r="Q1508" t="s">
        <v>83</v>
      </c>
      <c r="R1508" t="s">
        <v>31</v>
      </c>
      <c r="S1508">
        <v>5</v>
      </c>
      <c r="T1508">
        <v>6</v>
      </c>
      <c r="U1508" t="s">
        <v>56</v>
      </c>
      <c r="V1508" t="s">
        <v>33</v>
      </c>
      <c r="W1508">
        <v>3</v>
      </c>
    </row>
    <row r="1509" spans="1:23" x14ac:dyDescent="0.25">
      <c r="A1509" t="s">
        <v>2147</v>
      </c>
      <c r="B1509" s="1">
        <v>45822</v>
      </c>
      <c r="C1509" t="s">
        <v>2148</v>
      </c>
      <c r="D1509" t="s">
        <v>97</v>
      </c>
      <c r="E1509" t="s">
        <v>36</v>
      </c>
      <c r="F1509" t="s">
        <v>37</v>
      </c>
      <c r="G1509" t="s">
        <v>313</v>
      </c>
      <c r="H1509">
        <v>1</v>
      </c>
      <c r="I1509">
        <v>4541</v>
      </c>
      <c r="J1509">
        <v>5</v>
      </c>
      <c r="K1509">
        <v>227.05</v>
      </c>
      <c r="L1509">
        <v>4313.95</v>
      </c>
      <c r="M1509">
        <v>3035.8</v>
      </c>
      <c r="N1509">
        <v>1278.1500000000001</v>
      </c>
      <c r="O1509" t="s">
        <v>49</v>
      </c>
      <c r="P1509">
        <v>197.04</v>
      </c>
      <c r="Q1509" t="s">
        <v>73</v>
      </c>
      <c r="R1509" t="s">
        <v>41</v>
      </c>
      <c r="S1509">
        <v>2</v>
      </c>
      <c r="T1509">
        <v>2</v>
      </c>
      <c r="U1509" t="s">
        <v>32</v>
      </c>
      <c r="V1509" t="s">
        <v>42</v>
      </c>
    </row>
    <row r="1510" spans="1:23" x14ac:dyDescent="0.25">
      <c r="A1510" t="s">
        <v>2149</v>
      </c>
      <c r="B1510" s="1">
        <v>45969</v>
      </c>
      <c r="C1510" t="s">
        <v>126</v>
      </c>
      <c r="D1510" t="s">
        <v>71</v>
      </c>
      <c r="E1510" t="s">
        <v>46</v>
      </c>
      <c r="F1510" t="s">
        <v>37</v>
      </c>
      <c r="G1510" t="s">
        <v>224</v>
      </c>
      <c r="H1510">
        <v>1</v>
      </c>
      <c r="I1510">
        <v>4296</v>
      </c>
      <c r="J1510">
        <v>0</v>
      </c>
      <c r="K1510">
        <v>0</v>
      </c>
      <c r="L1510">
        <v>4296</v>
      </c>
      <c r="M1510">
        <v>3246.68</v>
      </c>
      <c r="N1510">
        <v>1049.32</v>
      </c>
      <c r="O1510" t="s">
        <v>39</v>
      </c>
      <c r="P1510">
        <v>513.66</v>
      </c>
      <c r="Q1510" t="s">
        <v>40</v>
      </c>
      <c r="R1510" t="s">
        <v>41</v>
      </c>
      <c r="S1510">
        <v>2</v>
      </c>
      <c r="T1510">
        <v>2</v>
      </c>
      <c r="U1510" t="s">
        <v>32</v>
      </c>
      <c r="V1510" t="s">
        <v>42</v>
      </c>
    </row>
    <row r="1511" spans="1:23" x14ac:dyDescent="0.25">
      <c r="A1511" t="s">
        <v>2150</v>
      </c>
      <c r="B1511" s="1">
        <v>45733</v>
      </c>
      <c r="C1511" t="s">
        <v>99</v>
      </c>
      <c r="D1511" t="s">
        <v>63</v>
      </c>
      <c r="E1511" t="s">
        <v>26</v>
      </c>
      <c r="F1511" t="s">
        <v>27</v>
      </c>
      <c r="G1511" t="s">
        <v>76</v>
      </c>
      <c r="H1511">
        <v>2</v>
      </c>
      <c r="I1511">
        <v>17709</v>
      </c>
      <c r="J1511">
        <v>20</v>
      </c>
      <c r="K1511">
        <v>7083.6</v>
      </c>
      <c r="L1511">
        <v>28334.400000000001</v>
      </c>
      <c r="M1511">
        <v>20090.27</v>
      </c>
      <c r="N1511">
        <v>8244.1299999999992</v>
      </c>
      <c r="O1511" t="s">
        <v>49</v>
      </c>
      <c r="P1511">
        <v>57.38</v>
      </c>
      <c r="Q1511" t="s">
        <v>83</v>
      </c>
      <c r="R1511" t="s">
        <v>41</v>
      </c>
      <c r="S1511">
        <v>2</v>
      </c>
      <c r="T1511">
        <v>3</v>
      </c>
      <c r="U1511" t="s">
        <v>32</v>
      </c>
      <c r="V1511" t="s">
        <v>42</v>
      </c>
    </row>
    <row r="1512" spans="1:23" x14ac:dyDescent="0.25">
      <c r="A1512" t="s">
        <v>2151</v>
      </c>
      <c r="B1512" s="1">
        <v>45691</v>
      </c>
      <c r="C1512" t="s">
        <v>2002</v>
      </c>
      <c r="D1512" t="s">
        <v>45</v>
      </c>
      <c r="E1512" t="s">
        <v>46</v>
      </c>
      <c r="F1512" t="s">
        <v>27</v>
      </c>
      <c r="G1512" t="s">
        <v>164</v>
      </c>
      <c r="H1512">
        <v>1</v>
      </c>
      <c r="I1512">
        <v>4362</v>
      </c>
      <c r="J1512">
        <v>25</v>
      </c>
      <c r="K1512">
        <v>1090.5</v>
      </c>
      <c r="L1512">
        <v>3271.5</v>
      </c>
      <c r="M1512">
        <v>2029.61</v>
      </c>
      <c r="N1512">
        <v>1241.8900000000001</v>
      </c>
      <c r="O1512" t="s">
        <v>55</v>
      </c>
      <c r="P1512">
        <v>1102.03</v>
      </c>
      <c r="Q1512" t="s">
        <v>73</v>
      </c>
      <c r="R1512" t="s">
        <v>41</v>
      </c>
      <c r="S1512">
        <v>2</v>
      </c>
      <c r="T1512">
        <v>0</v>
      </c>
      <c r="U1512" t="s">
        <v>32</v>
      </c>
      <c r="V1512" t="s">
        <v>50</v>
      </c>
      <c r="W1512">
        <v>3</v>
      </c>
    </row>
    <row r="1513" spans="1:23" x14ac:dyDescent="0.25">
      <c r="A1513" t="s">
        <v>2152</v>
      </c>
      <c r="B1513" s="1">
        <v>45722</v>
      </c>
      <c r="C1513" t="s">
        <v>209</v>
      </c>
      <c r="D1513" t="s">
        <v>90</v>
      </c>
      <c r="E1513" t="s">
        <v>46</v>
      </c>
      <c r="F1513" t="s">
        <v>27</v>
      </c>
      <c r="G1513" t="s">
        <v>113</v>
      </c>
      <c r="H1513">
        <v>1</v>
      </c>
      <c r="I1513">
        <v>25986</v>
      </c>
      <c r="J1513">
        <v>15</v>
      </c>
      <c r="K1513">
        <v>3897.9</v>
      </c>
      <c r="L1513">
        <v>22088.1</v>
      </c>
      <c r="M1513">
        <v>15079.03</v>
      </c>
      <c r="N1513">
        <v>7009.07</v>
      </c>
      <c r="O1513" t="s">
        <v>49</v>
      </c>
      <c r="P1513">
        <v>449.07</v>
      </c>
      <c r="Q1513" t="s">
        <v>68</v>
      </c>
      <c r="R1513" t="s">
        <v>41</v>
      </c>
      <c r="S1513">
        <v>2</v>
      </c>
      <c r="T1513">
        <v>1</v>
      </c>
      <c r="U1513" t="s">
        <v>32</v>
      </c>
      <c r="V1513" t="s">
        <v>33</v>
      </c>
      <c r="W1513">
        <v>5</v>
      </c>
    </row>
    <row r="1514" spans="1:23" x14ac:dyDescent="0.25">
      <c r="A1514" t="s">
        <v>2153</v>
      </c>
      <c r="B1514" s="1">
        <v>45798</v>
      </c>
      <c r="C1514" t="s">
        <v>2068</v>
      </c>
      <c r="D1514" t="s">
        <v>25</v>
      </c>
      <c r="E1514" t="s">
        <v>36</v>
      </c>
      <c r="F1514" t="s">
        <v>47</v>
      </c>
      <c r="G1514" t="s">
        <v>48</v>
      </c>
      <c r="H1514">
        <v>4</v>
      </c>
      <c r="I1514">
        <v>40890</v>
      </c>
      <c r="J1514">
        <v>10</v>
      </c>
      <c r="K1514">
        <v>16356</v>
      </c>
      <c r="L1514">
        <v>147204</v>
      </c>
      <c r="M1514">
        <v>111147.35</v>
      </c>
      <c r="N1514">
        <v>36056.65</v>
      </c>
      <c r="O1514" t="s">
        <v>29</v>
      </c>
      <c r="P1514">
        <v>1140.6099999999999</v>
      </c>
      <c r="Q1514" t="s">
        <v>40</v>
      </c>
      <c r="R1514" t="s">
        <v>41</v>
      </c>
      <c r="S1514">
        <v>2</v>
      </c>
      <c r="T1514">
        <v>1</v>
      </c>
      <c r="U1514" t="s">
        <v>32</v>
      </c>
      <c r="V1514" t="s">
        <v>33</v>
      </c>
      <c r="W1514">
        <v>5</v>
      </c>
    </row>
    <row r="1515" spans="1:23" x14ac:dyDescent="0.25">
      <c r="A1515" t="s">
        <v>2154</v>
      </c>
      <c r="B1515" s="1">
        <v>45977</v>
      </c>
      <c r="C1515" t="s">
        <v>245</v>
      </c>
      <c r="D1515" t="s">
        <v>63</v>
      </c>
      <c r="E1515" t="s">
        <v>46</v>
      </c>
      <c r="F1515" t="s">
        <v>47</v>
      </c>
      <c r="G1515" t="s">
        <v>105</v>
      </c>
      <c r="H1515">
        <v>2</v>
      </c>
      <c r="I1515">
        <v>18661</v>
      </c>
      <c r="J1515">
        <v>20</v>
      </c>
      <c r="K1515">
        <v>7464.4</v>
      </c>
      <c r="L1515">
        <v>29857.599999999999</v>
      </c>
      <c r="M1515">
        <v>23124.37</v>
      </c>
      <c r="N1515">
        <v>6733.23</v>
      </c>
      <c r="O1515" t="s">
        <v>55</v>
      </c>
      <c r="P1515">
        <v>2043.54</v>
      </c>
      <c r="Q1515" t="s">
        <v>83</v>
      </c>
      <c r="R1515" t="s">
        <v>31</v>
      </c>
      <c r="S1515">
        <v>5</v>
      </c>
      <c r="T1515">
        <v>2</v>
      </c>
      <c r="U1515" t="s">
        <v>32</v>
      </c>
      <c r="V1515" t="s">
        <v>42</v>
      </c>
    </row>
    <row r="1516" spans="1:23" x14ac:dyDescent="0.25">
      <c r="A1516" t="s">
        <v>2155</v>
      </c>
      <c r="B1516" s="1">
        <v>45982</v>
      </c>
      <c r="C1516" t="s">
        <v>1972</v>
      </c>
      <c r="D1516" t="s">
        <v>25</v>
      </c>
      <c r="E1516" t="s">
        <v>36</v>
      </c>
      <c r="F1516" t="s">
        <v>86</v>
      </c>
      <c r="G1516" t="s">
        <v>180</v>
      </c>
      <c r="H1516">
        <v>2</v>
      </c>
      <c r="I1516">
        <v>48431</v>
      </c>
      <c r="J1516">
        <v>15</v>
      </c>
      <c r="K1516">
        <v>14529.3</v>
      </c>
      <c r="L1516">
        <v>82332.7</v>
      </c>
      <c r="M1516">
        <v>61834.61</v>
      </c>
      <c r="N1516">
        <v>20498.09</v>
      </c>
      <c r="O1516" t="s">
        <v>55</v>
      </c>
      <c r="P1516">
        <v>2483.25</v>
      </c>
      <c r="Q1516" t="s">
        <v>83</v>
      </c>
      <c r="R1516" t="s">
        <v>41</v>
      </c>
      <c r="S1516">
        <v>2</v>
      </c>
      <c r="T1516">
        <v>1</v>
      </c>
      <c r="U1516" t="s">
        <v>32</v>
      </c>
      <c r="V1516" t="s">
        <v>33</v>
      </c>
      <c r="W1516">
        <v>5</v>
      </c>
    </row>
    <row r="1517" spans="1:23" x14ac:dyDescent="0.25">
      <c r="A1517" t="s">
        <v>2156</v>
      </c>
      <c r="B1517" s="1">
        <v>45957</v>
      </c>
      <c r="C1517" t="s">
        <v>112</v>
      </c>
      <c r="D1517" t="s">
        <v>63</v>
      </c>
      <c r="E1517" t="s">
        <v>46</v>
      </c>
      <c r="F1517" t="s">
        <v>27</v>
      </c>
      <c r="G1517" t="s">
        <v>76</v>
      </c>
      <c r="H1517">
        <v>2</v>
      </c>
      <c r="I1517">
        <v>9918</v>
      </c>
      <c r="J1517">
        <v>25</v>
      </c>
      <c r="K1517">
        <v>4959</v>
      </c>
      <c r="L1517">
        <v>14877</v>
      </c>
      <c r="M1517">
        <v>9591.42</v>
      </c>
      <c r="N1517">
        <v>5285.58</v>
      </c>
      <c r="O1517" t="s">
        <v>29</v>
      </c>
      <c r="P1517">
        <v>1970.5</v>
      </c>
      <c r="Q1517" t="s">
        <v>68</v>
      </c>
      <c r="R1517" t="s">
        <v>31</v>
      </c>
      <c r="S1517">
        <v>5</v>
      </c>
      <c r="T1517">
        <v>4</v>
      </c>
      <c r="U1517" t="s">
        <v>32</v>
      </c>
      <c r="V1517" t="s">
        <v>33</v>
      </c>
      <c r="W1517">
        <v>1</v>
      </c>
    </row>
    <row r="1518" spans="1:23" x14ac:dyDescent="0.25">
      <c r="A1518" t="s">
        <v>2157</v>
      </c>
      <c r="B1518" s="1">
        <v>45938</v>
      </c>
      <c r="C1518" t="s">
        <v>239</v>
      </c>
      <c r="D1518" t="s">
        <v>71</v>
      </c>
      <c r="E1518" t="s">
        <v>46</v>
      </c>
      <c r="F1518" t="s">
        <v>27</v>
      </c>
      <c r="G1518" t="s">
        <v>28</v>
      </c>
      <c r="H1518">
        <v>3</v>
      </c>
      <c r="I1518">
        <v>3550</v>
      </c>
      <c r="J1518">
        <v>25</v>
      </c>
      <c r="K1518">
        <v>2662.5</v>
      </c>
      <c r="L1518">
        <v>7987.5</v>
      </c>
      <c r="M1518">
        <v>6247.08</v>
      </c>
      <c r="N1518">
        <v>1740.42</v>
      </c>
      <c r="O1518" t="s">
        <v>29</v>
      </c>
      <c r="P1518">
        <v>1005.64</v>
      </c>
      <c r="Q1518" t="s">
        <v>30</v>
      </c>
      <c r="R1518" t="s">
        <v>41</v>
      </c>
      <c r="S1518">
        <v>2</v>
      </c>
      <c r="T1518">
        <v>5</v>
      </c>
      <c r="U1518" t="s">
        <v>56</v>
      </c>
      <c r="V1518" t="s">
        <v>33</v>
      </c>
      <c r="W1518">
        <v>4</v>
      </c>
    </row>
    <row r="1519" spans="1:23" x14ac:dyDescent="0.25">
      <c r="A1519" t="s">
        <v>2158</v>
      </c>
      <c r="B1519" s="1">
        <v>46022</v>
      </c>
      <c r="C1519" t="s">
        <v>927</v>
      </c>
      <c r="D1519" t="s">
        <v>71</v>
      </c>
      <c r="E1519" t="s">
        <v>46</v>
      </c>
      <c r="F1519" t="s">
        <v>27</v>
      </c>
      <c r="G1519" t="s">
        <v>164</v>
      </c>
      <c r="H1519">
        <v>1</v>
      </c>
      <c r="I1519">
        <v>11814</v>
      </c>
      <c r="J1519">
        <v>10</v>
      </c>
      <c r="K1519">
        <v>1181.4000000000001</v>
      </c>
      <c r="L1519">
        <v>10632.6</v>
      </c>
      <c r="M1519">
        <v>6454.49</v>
      </c>
      <c r="N1519">
        <v>4178.1099999999997</v>
      </c>
      <c r="O1519" t="s">
        <v>39</v>
      </c>
      <c r="P1519">
        <v>1369.94</v>
      </c>
      <c r="Q1519" t="s">
        <v>40</v>
      </c>
      <c r="R1519" t="s">
        <v>41</v>
      </c>
      <c r="S1519">
        <v>2</v>
      </c>
      <c r="T1519">
        <v>3</v>
      </c>
      <c r="U1519" t="s">
        <v>32</v>
      </c>
      <c r="V1519" t="s">
        <v>42</v>
      </c>
    </row>
    <row r="1520" spans="1:23" x14ac:dyDescent="0.25">
      <c r="A1520" t="s">
        <v>2159</v>
      </c>
      <c r="B1520" s="1">
        <v>45824</v>
      </c>
      <c r="C1520" t="s">
        <v>2160</v>
      </c>
      <c r="D1520" t="s">
        <v>79</v>
      </c>
      <c r="E1520" t="s">
        <v>46</v>
      </c>
      <c r="F1520" t="s">
        <v>27</v>
      </c>
      <c r="G1520" t="s">
        <v>76</v>
      </c>
      <c r="H1520">
        <v>3</v>
      </c>
      <c r="I1520">
        <v>17909</v>
      </c>
      <c r="J1520">
        <v>0</v>
      </c>
      <c r="K1520">
        <v>0</v>
      </c>
      <c r="L1520">
        <v>53727</v>
      </c>
      <c r="M1520">
        <v>36466.129999999997</v>
      </c>
      <c r="N1520">
        <v>17260.87</v>
      </c>
      <c r="O1520" t="s">
        <v>29</v>
      </c>
      <c r="P1520">
        <v>2127.86</v>
      </c>
      <c r="Q1520" t="s">
        <v>30</v>
      </c>
      <c r="R1520" t="s">
        <v>31</v>
      </c>
      <c r="S1520">
        <v>5</v>
      </c>
      <c r="T1520">
        <v>3</v>
      </c>
      <c r="U1520" t="s">
        <v>32</v>
      </c>
      <c r="V1520" t="s">
        <v>50</v>
      </c>
      <c r="W1520">
        <v>2</v>
      </c>
    </row>
    <row r="1521" spans="1:23" x14ac:dyDescent="0.25">
      <c r="A1521" t="s">
        <v>2161</v>
      </c>
      <c r="B1521" s="1">
        <v>45853</v>
      </c>
      <c r="C1521" t="s">
        <v>689</v>
      </c>
      <c r="D1521" t="s">
        <v>67</v>
      </c>
      <c r="E1521" t="s">
        <v>36</v>
      </c>
      <c r="F1521" t="s">
        <v>86</v>
      </c>
      <c r="G1521" t="s">
        <v>94</v>
      </c>
      <c r="H1521">
        <v>1</v>
      </c>
      <c r="I1521">
        <v>56872</v>
      </c>
      <c r="J1521">
        <v>20</v>
      </c>
      <c r="K1521">
        <v>11374.4</v>
      </c>
      <c r="L1521">
        <v>45497.599999999999</v>
      </c>
      <c r="M1521">
        <v>31634.91</v>
      </c>
      <c r="N1521">
        <v>13862.69</v>
      </c>
      <c r="O1521" t="s">
        <v>60</v>
      </c>
      <c r="P1521">
        <v>2273.98</v>
      </c>
      <c r="Q1521" t="s">
        <v>40</v>
      </c>
      <c r="R1521" t="s">
        <v>31</v>
      </c>
      <c r="S1521">
        <v>5</v>
      </c>
      <c r="T1521">
        <v>4</v>
      </c>
      <c r="U1521" t="s">
        <v>32</v>
      </c>
      <c r="V1521" t="s">
        <v>50</v>
      </c>
      <c r="W1521">
        <v>5</v>
      </c>
    </row>
    <row r="1522" spans="1:23" x14ac:dyDescent="0.25">
      <c r="A1522" t="s">
        <v>2162</v>
      </c>
      <c r="B1522" s="1">
        <v>45963</v>
      </c>
      <c r="C1522" t="s">
        <v>1438</v>
      </c>
      <c r="D1522" t="s">
        <v>63</v>
      </c>
      <c r="E1522" t="s">
        <v>36</v>
      </c>
      <c r="F1522" t="s">
        <v>37</v>
      </c>
      <c r="G1522" t="s">
        <v>100</v>
      </c>
      <c r="H1522">
        <v>3</v>
      </c>
      <c r="I1522">
        <v>19691</v>
      </c>
      <c r="J1522">
        <v>10</v>
      </c>
      <c r="K1522">
        <v>5907.3</v>
      </c>
      <c r="L1522">
        <v>53165.7</v>
      </c>
      <c r="M1522">
        <v>41289.22</v>
      </c>
      <c r="N1522">
        <v>11876.48</v>
      </c>
      <c r="O1522" t="s">
        <v>60</v>
      </c>
      <c r="P1522">
        <v>1014.53</v>
      </c>
      <c r="Q1522" t="s">
        <v>68</v>
      </c>
      <c r="R1522" t="s">
        <v>41</v>
      </c>
      <c r="S1522">
        <v>2</v>
      </c>
      <c r="T1522">
        <v>1</v>
      </c>
      <c r="U1522" t="s">
        <v>32</v>
      </c>
      <c r="V1522" t="s">
        <v>50</v>
      </c>
      <c r="W1522">
        <v>5</v>
      </c>
    </row>
    <row r="1523" spans="1:23" x14ac:dyDescent="0.25">
      <c r="A1523" t="s">
        <v>2163</v>
      </c>
      <c r="B1523" s="1">
        <v>45929</v>
      </c>
      <c r="C1523" t="s">
        <v>1476</v>
      </c>
      <c r="D1523" t="s">
        <v>90</v>
      </c>
      <c r="E1523" t="s">
        <v>26</v>
      </c>
      <c r="F1523" t="s">
        <v>27</v>
      </c>
      <c r="G1523" t="s">
        <v>113</v>
      </c>
      <c r="H1523">
        <v>1</v>
      </c>
      <c r="I1523">
        <v>4319</v>
      </c>
      <c r="J1523">
        <v>0</v>
      </c>
      <c r="K1523">
        <v>0</v>
      </c>
      <c r="L1523">
        <v>4319</v>
      </c>
      <c r="M1523">
        <v>2401.7199999999998</v>
      </c>
      <c r="N1523">
        <v>1917.28</v>
      </c>
      <c r="O1523" t="s">
        <v>91</v>
      </c>
      <c r="P1523">
        <v>1015.79</v>
      </c>
      <c r="Q1523" t="s">
        <v>73</v>
      </c>
      <c r="R1523" t="s">
        <v>41</v>
      </c>
      <c r="S1523">
        <v>2</v>
      </c>
      <c r="T1523">
        <v>3</v>
      </c>
      <c r="U1523" t="s">
        <v>56</v>
      </c>
      <c r="V1523" t="s">
        <v>33</v>
      </c>
      <c r="W1523">
        <v>4</v>
      </c>
    </row>
    <row r="1524" spans="1:23" x14ac:dyDescent="0.25">
      <c r="A1524" t="s">
        <v>2164</v>
      </c>
      <c r="B1524" s="1">
        <v>45808</v>
      </c>
      <c r="C1524" t="s">
        <v>235</v>
      </c>
      <c r="D1524" t="s">
        <v>124</v>
      </c>
      <c r="E1524" t="s">
        <v>46</v>
      </c>
      <c r="F1524" t="s">
        <v>37</v>
      </c>
      <c r="G1524" t="s">
        <v>100</v>
      </c>
      <c r="H1524">
        <v>1</v>
      </c>
      <c r="I1524">
        <v>7813</v>
      </c>
      <c r="J1524">
        <v>0</v>
      </c>
      <c r="K1524">
        <v>0</v>
      </c>
      <c r="L1524">
        <v>7813</v>
      </c>
      <c r="M1524">
        <v>5654.3</v>
      </c>
      <c r="N1524">
        <v>2158.6999999999998</v>
      </c>
      <c r="O1524" t="s">
        <v>39</v>
      </c>
      <c r="P1524">
        <v>277.04000000000002</v>
      </c>
      <c r="Q1524" t="s">
        <v>30</v>
      </c>
      <c r="R1524" t="s">
        <v>41</v>
      </c>
      <c r="S1524">
        <v>2</v>
      </c>
      <c r="T1524">
        <v>1</v>
      </c>
      <c r="U1524" t="s">
        <v>32</v>
      </c>
      <c r="V1524" t="s">
        <v>33</v>
      </c>
      <c r="W1524">
        <v>5</v>
      </c>
    </row>
    <row r="1525" spans="1:23" x14ac:dyDescent="0.25">
      <c r="A1525" t="s">
        <v>2165</v>
      </c>
      <c r="B1525" s="1">
        <v>45890</v>
      </c>
      <c r="C1525" t="s">
        <v>689</v>
      </c>
      <c r="D1525" t="s">
        <v>97</v>
      </c>
      <c r="E1525" t="s">
        <v>46</v>
      </c>
      <c r="F1525" t="s">
        <v>86</v>
      </c>
      <c r="G1525" t="s">
        <v>127</v>
      </c>
      <c r="H1525">
        <v>1</v>
      </c>
      <c r="I1525">
        <v>38003</v>
      </c>
      <c r="J1525">
        <v>15</v>
      </c>
      <c r="K1525">
        <v>5700.45</v>
      </c>
      <c r="L1525">
        <v>32302.55</v>
      </c>
      <c r="M1525">
        <v>20953.8</v>
      </c>
      <c r="N1525">
        <v>11348.75</v>
      </c>
      <c r="O1525" t="s">
        <v>91</v>
      </c>
      <c r="P1525">
        <v>2189.31</v>
      </c>
      <c r="Q1525" t="s">
        <v>68</v>
      </c>
      <c r="R1525" t="s">
        <v>31</v>
      </c>
      <c r="S1525">
        <v>5</v>
      </c>
      <c r="T1525">
        <v>3</v>
      </c>
      <c r="U1525" t="s">
        <v>32</v>
      </c>
      <c r="V1525" t="s">
        <v>33</v>
      </c>
      <c r="W1525">
        <v>2</v>
      </c>
    </row>
    <row r="1526" spans="1:23" x14ac:dyDescent="0.25">
      <c r="A1526" t="s">
        <v>2166</v>
      </c>
      <c r="B1526" s="1">
        <v>45916</v>
      </c>
      <c r="C1526" t="s">
        <v>1346</v>
      </c>
      <c r="D1526" t="s">
        <v>90</v>
      </c>
      <c r="E1526" t="s">
        <v>46</v>
      </c>
      <c r="F1526" t="s">
        <v>27</v>
      </c>
      <c r="G1526" t="s">
        <v>113</v>
      </c>
      <c r="H1526">
        <v>1</v>
      </c>
      <c r="I1526">
        <v>5463</v>
      </c>
      <c r="J1526">
        <v>10</v>
      </c>
      <c r="K1526">
        <v>546.29999999999995</v>
      </c>
      <c r="L1526">
        <v>4916.7</v>
      </c>
      <c r="M1526">
        <v>3480.66</v>
      </c>
      <c r="N1526">
        <v>1436.04</v>
      </c>
      <c r="O1526" t="s">
        <v>55</v>
      </c>
      <c r="P1526">
        <v>378.93</v>
      </c>
      <c r="Q1526" t="s">
        <v>40</v>
      </c>
      <c r="R1526" t="s">
        <v>41</v>
      </c>
      <c r="S1526">
        <v>2</v>
      </c>
      <c r="T1526">
        <v>6</v>
      </c>
      <c r="U1526" t="s">
        <v>32</v>
      </c>
      <c r="V1526" t="s">
        <v>50</v>
      </c>
    </row>
    <row r="1527" spans="1:23" x14ac:dyDescent="0.25">
      <c r="A1527" t="s">
        <v>2167</v>
      </c>
      <c r="B1527" s="1">
        <v>45967</v>
      </c>
      <c r="C1527" t="s">
        <v>1003</v>
      </c>
      <c r="D1527" t="s">
        <v>45</v>
      </c>
      <c r="E1527" t="s">
        <v>46</v>
      </c>
      <c r="F1527" t="s">
        <v>37</v>
      </c>
      <c r="G1527" t="s">
        <v>38</v>
      </c>
      <c r="H1527">
        <v>1</v>
      </c>
      <c r="I1527">
        <v>24858</v>
      </c>
      <c r="J1527">
        <v>25</v>
      </c>
      <c r="K1527">
        <v>6214.5</v>
      </c>
      <c r="L1527">
        <v>18643.5</v>
      </c>
      <c r="M1527">
        <v>11336.36</v>
      </c>
      <c r="N1527">
        <v>7307.14</v>
      </c>
      <c r="O1527" t="s">
        <v>49</v>
      </c>
      <c r="P1527">
        <v>241.87</v>
      </c>
      <c r="Q1527" t="s">
        <v>73</v>
      </c>
      <c r="R1527" t="s">
        <v>41</v>
      </c>
      <c r="S1527">
        <v>2</v>
      </c>
      <c r="T1527">
        <v>4</v>
      </c>
      <c r="U1527" t="s">
        <v>56</v>
      </c>
      <c r="V1527" t="s">
        <v>33</v>
      </c>
      <c r="W1527">
        <v>4</v>
      </c>
    </row>
    <row r="1528" spans="1:23" x14ac:dyDescent="0.25">
      <c r="A1528" t="s">
        <v>2168</v>
      </c>
      <c r="B1528" s="1">
        <v>45878</v>
      </c>
      <c r="C1528" t="s">
        <v>168</v>
      </c>
      <c r="D1528" t="s">
        <v>71</v>
      </c>
      <c r="E1528" t="s">
        <v>26</v>
      </c>
      <c r="F1528" t="s">
        <v>86</v>
      </c>
      <c r="G1528" t="s">
        <v>127</v>
      </c>
      <c r="H1528">
        <v>2</v>
      </c>
      <c r="I1528">
        <v>69813</v>
      </c>
      <c r="J1528">
        <v>10</v>
      </c>
      <c r="K1528">
        <v>13962.6</v>
      </c>
      <c r="L1528">
        <v>125663.4</v>
      </c>
      <c r="M1528">
        <v>93562.4</v>
      </c>
      <c r="N1528">
        <v>32101</v>
      </c>
      <c r="O1528" t="s">
        <v>55</v>
      </c>
      <c r="P1528">
        <v>1697.07</v>
      </c>
      <c r="Q1528" t="s">
        <v>30</v>
      </c>
      <c r="R1528" t="s">
        <v>41</v>
      </c>
      <c r="S1528">
        <v>2</v>
      </c>
      <c r="T1528">
        <v>3</v>
      </c>
      <c r="U1528" t="s">
        <v>32</v>
      </c>
      <c r="V1528" t="s">
        <v>50</v>
      </c>
      <c r="W1528">
        <v>5</v>
      </c>
    </row>
    <row r="1529" spans="1:23" x14ac:dyDescent="0.25">
      <c r="A1529" t="s">
        <v>2169</v>
      </c>
      <c r="B1529" s="1">
        <v>45708</v>
      </c>
      <c r="C1529" t="s">
        <v>195</v>
      </c>
      <c r="D1529" t="s">
        <v>25</v>
      </c>
      <c r="E1529" t="s">
        <v>46</v>
      </c>
      <c r="F1529" t="s">
        <v>37</v>
      </c>
      <c r="G1529" t="s">
        <v>161</v>
      </c>
      <c r="H1529">
        <v>1</v>
      </c>
      <c r="I1529">
        <v>38521</v>
      </c>
      <c r="J1529">
        <v>0</v>
      </c>
      <c r="K1529">
        <v>0</v>
      </c>
      <c r="L1529">
        <v>38521</v>
      </c>
      <c r="M1529">
        <v>24059.49</v>
      </c>
      <c r="N1529">
        <v>14461.51</v>
      </c>
      <c r="O1529" t="s">
        <v>49</v>
      </c>
      <c r="P1529">
        <v>154.19999999999999</v>
      </c>
      <c r="Q1529" t="s">
        <v>68</v>
      </c>
      <c r="R1529" t="s">
        <v>31</v>
      </c>
      <c r="S1529">
        <v>5</v>
      </c>
      <c r="T1529">
        <v>8</v>
      </c>
      <c r="U1529" t="s">
        <v>56</v>
      </c>
      <c r="V1529" t="s">
        <v>33</v>
      </c>
      <c r="W1529">
        <v>5</v>
      </c>
    </row>
    <row r="1530" spans="1:23" x14ac:dyDescent="0.25">
      <c r="A1530" t="s">
        <v>2170</v>
      </c>
      <c r="B1530" s="1">
        <v>46017</v>
      </c>
      <c r="C1530" t="s">
        <v>1634</v>
      </c>
      <c r="D1530" t="s">
        <v>71</v>
      </c>
      <c r="E1530" t="s">
        <v>36</v>
      </c>
      <c r="F1530" t="s">
        <v>37</v>
      </c>
      <c r="G1530" t="s">
        <v>161</v>
      </c>
      <c r="H1530">
        <v>1</v>
      </c>
      <c r="I1530">
        <v>39063</v>
      </c>
      <c r="J1530">
        <v>15</v>
      </c>
      <c r="K1530">
        <v>5859.45</v>
      </c>
      <c r="L1530">
        <v>33203.550000000003</v>
      </c>
      <c r="M1530">
        <v>19828.45</v>
      </c>
      <c r="N1530">
        <v>13375.1</v>
      </c>
      <c r="O1530" t="s">
        <v>39</v>
      </c>
      <c r="P1530">
        <v>326.02999999999997</v>
      </c>
      <c r="Q1530" t="s">
        <v>83</v>
      </c>
      <c r="R1530" t="s">
        <v>31</v>
      </c>
      <c r="S1530">
        <v>5</v>
      </c>
      <c r="T1530">
        <v>4</v>
      </c>
      <c r="U1530" t="s">
        <v>32</v>
      </c>
      <c r="V1530" t="s">
        <v>33</v>
      </c>
      <c r="W1530">
        <v>3</v>
      </c>
    </row>
    <row r="1531" spans="1:23" x14ac:dyDescent="0.25">
      <c r="A1531" t="s">
        <v>2171</v>
      </c>
      <c r="B1531" s="1">
        <v>45716</v>
      </c>
      <c r="C1531" t="s">
        <v>494</v>
      </c>
      <c r="D1531" t="s">
        <v>71</v>
      </c>
      <c r="E1531" t="s">
        <v>46</v>
      </c>
      <c r="F1531" t="s">
        <v>47</v>
      </c>
      <c r="G1531" t="s">
        <v>138</v>
      </c>
      <c r="H1531">
        <v>1</v>
      </c>
      <c r="I1531">
        <v>22966</v>
      </c>
      <c r="J1531">
        <v>10</v>
      </c>
      <c r="K1531">
        <v>2296.6</v>
      </c>
      <c r="L1531">
        <v>20669.400000000001</v>
      </c>
      <c r="M1531">
        <v>13900.61</v>
      </c>
      <c r="N1531">
        <v>6768.79</v>
      </c>
      <c r="O1531" t="s">
        <v>60</v>
      </c>
      <c r="P1531">
        <v>1246.98</v>
      </c>
      <c r="Q1531" t="s">
        <v>73</v>
      </c>
      <c r="R1531" t="s">
        <v>41</v>
      </c>
      <c r="S1531">
        <v>2</v>
      </c>
      <c r="T1531">
        <v>1</v>
      </c>
      <c r="U1531" t="s">
        <v>32</v>
      </c>
      <c r="V1531" t="s">
        <v>50</v>
      </c>
      <c r="W1531">
        <v>3</v>
      </c>
    </row>
    <row r="1532" spans="1:23" x14ac:dyDescent="0.25">
      <c r="A1532" t="s">
        <v>2172</v>
      </c>
      <c r="B1532" s="1">
        <v>45993</v>
      </c>
      <c r="C1532" t="s">
        <v>24</v>
      </c>
      <c r="D1532" t="s">
        <v>25</v>
      </c>
      <c r="E1532" t="s">
        <v>46</v>
      </c>
      <c r="F1532" t="s">
        <v>47</v>
      </c>
      <c r="G1532" t="s">
        <v>138</v>
      </c>
      <c r="H1532">
        <v>1</v>
      </c>
      <c r="I1532">
        <v>51053</v>
      </c>
      <c r="J1532">
        <v>25</v>
      </c>
      <c r="K1532">
        <v>12763.25</v>
      </c>
      <c r="L1532">
        <v>38289.75</v>
      </c>
      <c r="M1532">
        <v>26030.51</v>
      </c>
      <c r="N1532">
        <v>12259.24</v>
      </c>
      <c r="O1532" t="s">
        <v>29</v>
      </c>
      <c r="P1532">
        <v>1435.72</v>
      </c>
      <c r="Q1532" t="s">
        <v>30</v>
      </c>
      <c r="R1532" t="s">
        <v>41</v>
      </c>
      <c r="S1532">
        <v>2</v>
      </c>
      <c r="T1532">
        <v>2</v>
      </c>
      <c r="U1532" t="s">
        <v>32</v>
      </c>
      <c r="V1532" t="s">
        <v>33</v>
      </c>
      <c r="W1532">
        <v>1</v>
      </c>
    </row>
    <row r="1533" spans="1:23" x14ac:dyDescent="0.25">
      <c r="A1533" t="s">
        <v>2173</v>
      </c>
      <c r="B1533" s="1">
        <v>45991</v>
      </c>
      <c r="C1533" t="s">
        <v>1634</v>
      </c>
      <c r="D1533" t="s">
        <v>67</v>
      </c>
      <c r="E1533" t="s">
        <v>46</v>
      </c>
      <c r="F1533" t="s">
        <v>27</v>
      </c>
      <c r="G1533" t="s">
        <v>72</v>
      </c>
      <c r="H1533">
        <v>1</v>
      </c>
      <c r="I1533">
        <v>20063</v>
      </c>
      <c r="J1533">
        <v>0</v>
      </c>
      <c r="K1533">
        <v>0</v>
      </c>
      <c r="L1533">
        <v>20063</v>
      </c>
      <c r="M1533">
        <v>11800.37</v>
      </c>
      <c r="N1533">
        <v>8262.6299999999992</v>
      </c>
      <c r="O1533" t="s">
        <v>39</v>
      </c>
      <c r="P1533">
        <v>815.33</v>
      </c>
      <c r="Q1533" t="s">
        <v>30</v>
      </c>
      <c r="R1533" t="s">
        <v>41</v>
      </c>
      <c r="S1533">
        <v>2</v>
      </c>
      <c r="T1533">
        <v>1</v>
      </c>
      <c r="U1533" t="s">
        <v>32</v>
      </c>
      <c r="V1533" t="s">
        <v>42</v>
      </c>
    </row>
    <row r="1534" spans="1:23" x14ac:dyDescent="0.25">
      <c r="A1534" t="s">
        <v>2174</v>
      </c>
      <c r="B1534" s="1">
        <v>45940</v>
      </c>
      <c r="C1534" t="s">
        <v>144</v>
      </c>
      <c r="D1534" t="s">
        <v>25</v>
      </c>
      <c r="E1534" t="s">
        <v>36</v>
      </c>
      <c r="F1534" t="s">
        <v>86</v>
      </c>
      <c r="G1534" t="s">
        <v>110</v>
      </c>
      <c r="H1534">
        <v>3</v>
      </c>
      <c r="I1534">
        <v>53799</v>
      </c>
      <c r="J1534">
        <v>0</v>
      </c>
      <c r="K1534">
        <v>0</v>
      </c>
      <c r="L1534">
        <v>161397</v>
      </c>
      <c r="M1534">
        <v>110075.82</v>
      </c>
      <c r="N1534">
        <v>51321.18</v>
      </c>
      <c r="O1534" t="s">
        <v>91</v>
      </c>
      <c r="P1534">
        <v>2216.6999999999998</v>
      </c>
      <c r="Q1534" t="s">
        <v>40</v>
      </c>
      <c r="R1534" t="s">
        <v>41</v>
      </c>
      <c r="S1534">
        <v>2</v>
      </c>
      <c r="T1534">
        <v>2</v>
      </c>
      <c r="U1534" t="s">
        <v>32</v>
      </c>
      <c r="V1534" t="s">
        <v>42</v>
      </c>
    </row>
    <row r="1535" spans="1:23" x14ac:dyDescent="0.25">
      <c r="A1535" t="s">
        <v>2175</v>
      </c>
      <c r="B1535" s="1">
        <v>45768</v>
      </c>
      <c r="C1535" t="s">
        <v>1277</v>
      </c>
      <c r="D1535" t="s">
        <v>63</v>
      </c>
      <c r="E1535" t="s">
        <v>36</v>
      </c>
      <c r="F1535" t="s">
        <v>53</v>
      </c>
      <c r="G1535" t="s">
        <v>82</v>
      </c>
      <c r="H1535">
        <v>2</v>
      </c>
      <c r="I1535">
        <v>18958</v>
      </c>
      <c r="J1535">
        <v>10</v>
      </c>
      <c r="K1535">
        <v>3791.6</v>
      </c>
      <c r="L1535">
        <v>34124.400000000001</v>
      </c>
      <c r="M1535">
        <v>26209.78</v>
      </c>
      <c r="N1535">
        <v>7914.62</v>
      </c>
      <c r="O1535" t="s">
        <v>49</v>
      </c>
      <c r="P1535">
        <v>205.32</v>
      </c>
      <c r="Q1535" t="s">
        <v>40</v>
      </c>
      <c r="R1535" t="s">
        <v>41</v>
      </c>
      <c r="S1535">
        <v>2</v>
      </c>
      <c r="T1535">
        <v>1</v>
      </c>
      <c r="U1535" t="s">
        <v>32</v>
      </c>
      <c r="V1535" t="s">
        <v>33</v>
      </c>
      <c r="W1535">
        <v>4</v>
      </c>
    </row>
    <row r="1536" spans="1:23" x14ac:dyDescent="0.25">
      <c r="A1536" t="s">
        <v>2176</v>
      </c>
      <c r="B1536" s="1">
        <v>45878</v>
      </c>
      <c r="C1536" t="s">
        <v>2177</v>
      </c>
      <c r="D1536" t="s">
        <v>124</v>
      </c>
      <c r="E1536" t="s">
        <v>26</v>
      </c>
      <c r="F1536" t="s">
        <v>47</v>
      </c>
      <c r="G1536" t="s">
        <v>146</v>
      </c>
      <c r="H1536">
        <v>1</v>
      </c>
      <c r="I1536">
        <v>44482</v>
      </c>
      <c r="J1536">
        <v>0</v>
      </c>
      <c r="K1536">
        <v>0</v>
      </c>
      <c r="L1536">
        <v>44482</v>
      </c>
      <c r="M1536">
        <v>36388.199999999997</v>
      </c>
      <c r="N1536">
        <v>8093.8</v>
      </c>
      <c r="O1536" t="s">
        <v>55</v>
      </c>
      <c r="P1536">
        <v>793.86</v>
      </c>
      <c r="Q1536" t="s">
        <v>30</v>
      </c>
      <c r="R1536" t="s">
        <v>31</v>
      </c>
      <c r="S1536">
        <v>5</v>
      </c>
      <c r="T1536">
        <v>6</v>
      </c>
      <c r="U1536" t="s">
        <v>32</v>
      </c>
      <c r="V1536" t="s">
        <v>42</v>
      </c>
    </row>
    <row r="1537" spans="1:23" x14ac:dyDescent="0.25">
      <c r="A1537" t="s">
        <v>2178</v>
      </c>
      <c r="B1537" s="1">
        <v>45889</v>
      </c>
      <c r="C1537" t="s">
        <v>1623</v>
      </c>
      <c r="D1537" t="s">
        <v>45</v>
      </c>
      <c r="E1537" t="s">
        <v>46</v>
      </c>
      <c r="F1537" t="s">
        <v>47</v>
      </c>
      <c r="G1537" t="s">
        <v>48</v>
      </c>
      <c r="H1537">
        <v>1</v>
      </c>
      <c r="I1537">
        <v>46863</v>
      </c>
      <c r="J1537">
        <v>5</v>
      </c>
      <c r="K1537">
        <v>2343.15</v>
      </c>
      <c r="L1537">
        <v>44519.85</v>
      </c>
      <c r="M1537">
        <v>36242.730000000003</v>
      </c>
      <c r="N1537">
        <v>8277.1200000000008</v>
      </c>
      <c r="O1537" t="s">
        <v>91</v>
      </c>
      <c r="P1537">
        <v>345.62</v>
      </c>
      <c r="Q1537" t="s">
        <v>73</v>
      </c>
      <c r="R1537" t="s">
        <v>31</v>
      </c>
      <c r="S1537">
        <v>5</v>
      </c>
      <c r="T1537">
        <v>1</v>
      </c>
      <c r="U1537" t="s">
        <v>32</v>
      </c>
      <c r="V1537" t="s">
        <v>33</v>
      </c>
      <c r="W1537">
        <v>2</v>
      </c>
    </row>
    <row r="1538" spans="1:23" x14ac:dyDescent="0.25">
      <c r="A1538" t="s">
        <v>2179</v>
      </c>
      <c r="B1538" s="1">
        <v>45774</v>
      </c>
      <c r="C1538" t="s">
        <v>533</v>
      </c>
      <c r="D1538" t="s">
        <v>63</v>
      </c>
      <c r="E1538" t="s">
        <v>36</v>
      </c>
      <c r="F1538" t="s">
        <v>47</v>
      </c>
      <c r="G1538" t="s">
        <v>105</v>
      </c>
      <c r="H1538">
        <v>1</v>
      </c>
      <c r="I1538">
        <v>12775</v>
      </c>
      <c r="J1538">
        <v>10</v>
      </c>
      <c r="K1538">
        <v>1277.5</v>
      </c>
      <c r="L1538">
        <v>11497.5</v>
      </c>
      <c r="M1538">
        <v>9063.67</v>
      </c>
      <c r="N1538">
        <v>2433.83</v>
      </c>
      <c r="O1538" t="s">
        <v>55</v>
      </c>
      <c r="P1538">
        <v>2152.64</v>
      </c>
      <c r="Q1538" t="s">
        <v>83</v>
      </c>
      <c r="R1538" t="s">
        <v>41</v>
      </c>
      <c r="S1538">
        <v>2</v>
      </c>
      <c r="T1538">
        <v>3</v>
      </c>
      <c r="U1538" t="s">
        <v>56</v>
      </c>
      <c r="V1538" t="s">
        <v>33</v>
      </c>
      <c r="W1538">
        <v>2</v>
      </c>
    </row>
    <row r="1539" spans="1:23" x14ac:dyDescent="0.25">
      <c r="A1539" t="s">
        <v>2180</v>
      </c>
      <c r="B1539" s="1">
        <v>45869</v>
      </c>
      <c r="C1539" t="s">
        <v>1860</v>
      </c>
      <c r="D1539" t="s">
        <v>124</v>
      </c>
      <c r="E1539" t="s">
        <v>36</v>
      </c>
      <c r="F1539" t="s">
        <v>86</v>
      </c>
      <c r="G1539" t="s">
        <v>87</v>
      </c>
      <c r="H1539">
        <v>1</v>
      </c>
      <c r="I1539">
        <v>75838</v>
      </c>
      <c r="J1539">
        <v>0</v>
      </c>
      <c r="K1539">
        <v>0</v>
      </c>
      <c r="L1539">
        <v>75838</v>
      </c>
      <c r="M1539">
        <v>54337.36</v>
      </c>
      <c r="N1539">
        <v>21500.639999999999</v>
      </c>
      <c r="O1539" t="s">
        <v>55</v>
      </c>
      <c r="P1539">
        <v>1462.77</v>
      </c>
      <c r="Q1539" t="s">
        <v>73</v>
      </c>
      <c r="R1539" t="s">
        <v>41</v>
      </c>
      <c r="S1539">
        <v>2</v>
      </c>
      <c r="T1539">
        <v>2</v>
      </c>
      <c r="U1539" t="s">
        <v>32</v>
      </c>
      <c r="V1539" t="s">
        <v>50</v>
      </c>
      <c r="W1539">
        <v>5</v>
      </c>
    </row>
    <row r="1540" spans="1:23" x14ac:dyDescent="0.25">
      <c r="A1540" t="s">
        <v>2181</v>
      </c>
      <c r="B1540" s="1">
        <v>45831</v>
      </c>
      <c r="C1540" t="s">
        <v>753</v>
      </c>
      <c r="D1540" t="s">
        <v>71</v>
      </c>
      <c r="E1540" t="s">
        <v>26</v>
      </c>
      <c r="F1540" t="s">
        <v>86</v>
      </c>
      <c r="G1540" t="s">
        <v>127</v>
      </c>
      <c r="H1540">
        <v>1</v>
      </c>
      <c r="I1540">
        <v>79185</v>
      </c>
      <c r="J1540">
        <v>0</v>
      </c>
      <c r="K1540">
        <v>0</v>
      </c>
      <c r="L1540">
        <v>79185</v>
      </c>
      <c r="M1540">
        <v>46574</v>
      </c>
      <c r="N1540">
        <v>32611</v>
      </c>
      <c r="O1540" t="s">
        <v>91</v>
      </c>
      <c r="P1540">
        <v>551.21</v>
      </c>
      <c r="Q1540" t="s">
        <v>30</v>
      </c>
      <c r="R1540" t="s">
        <v>41</v>
      </c>
      <c r="S1540">
        <v>2</v>
      </c>
      <c r="T1540">
        <v>2</v>
      </c>
      <c r="U1540" t="s">
        <v>32</v>
      </c>
      <c r="V1540" t="s">
        <v>42</v>
      </c>
    </row>
    <row r="1541" spans="1:23" x14ac:dyDescent="0.25">
      <c r="A1541" t="s">
        <v>2182</v>
      </c>
      <c r="B1541" s="1">
        <v>45890</v>
      </c>
      <c r="C1541" t="s">
        <v>2183</v>
      </c>
      <c r="D1541" t="s">
        <v>90</v>
      </c>
      <c r="E1541" t="s">
        <v>36</v>
      </c>
      <c r="F1541" t="s">
        <v>86</v>
      </c>
      <c r="G1541" t="s">
        <v>180</v>
      </c>
      <c r="H1541">
        <v>3</v>
      </c>
      <c r="I1541">
        <v>55877</v>
      </c>
      <c r="J1541">
        <v>0</v>
      </c>
      <c r="K1541">
        <v>0</v>
      </c>
      <c r="L1541">
        <v>167631</v>
      </c>
      <c r="M1541">
        <v>94861.68</v>
      </c>
      <c r="N1541">
        <v>72769.320000000007</v>
      </c>
      <c r="O1541" t="s">
        <v>60</v>
      </c>
      <c r="P1541">
        <v>775.14</v>
      </c>
      <c r="Q1541" t="s">
        <v>83</v>
      </c>
      <c r="R1541" t="s">
        <v>31</v>
      </c>
      <c r="S1541">
        <v>5</v>
      </c>
      <c r="T1541">
        <v>1</v>
      </c>
      <c r="U1541" t="s">
        <v>32</v>
      </c>
      <c r="V1541" t="s">
        <v>50</v>
      </c>
      <c r="W1541">
        <v>5</v>
      </c>
    </row>
    <row r="1542" spans="1:23" x14ac:dyDescent="0.25">
      <c r="A1542" t="s">
        <v>2184</v>
      </c>
      <c r="B1542" s="1">
        <v>45862</v>
      </c>
      <c r="C1542" t="s">
        <v>535</v>
      </c>
      <c r="D1542" t="s">
        <v>71</v>
      </c>
      <c r="E1542" t="s">
        <v>36</v>
      </c>
      <c r="F1542" t="s">
        <v>27</v>
      </c>
      <c r="G1542" t="s">
        <v>28</v>
      </c>
      <c r="H1542">
        <v>1</v>
      </c>
      <c r="I1542">
        <v>15160</v>
      </c>
      <c r="J1542">
        <v>0</v>
      </c>
      <c r="K1542">
        <v>0</v>
      </c>
      <c r="L1542">
        <v>15160</v>
      </c>
      <c r="M1542">
        <v>11000.15</v>
      </c>
      <c r="N1542">
        <v>4159.8500000000004</v>
      </c>
      <c r="O1542" t="s">
        <v>29</v>
      </c>
      <c r="P1542">
        <v>270.10000000000002</v>
      </c>
      <c r="Q1542" t="s">
        <v>68</v>
      </c>
      <c r="R1542" t="s">
        <v>41</v>
      </c>
      <c r="S1542">
        <v>2</v>
      </c>
      <c r="T1542">
        <v>1</v>
      </c>
      <c r="U1542" t="s">
        <v>32</v>
      </c>
      <c r="V1542" t="s">
        <v>33</v>
      </c>
      <c r="W1542">
        <v>2</v>
      </c>
    </row>
    <row r="1543" spans="1:23" x14ac:dyDescent="0.25">
      <c r="A1543" t="s">
        <v>2185</v>
      </c>
      <c r="B1543" s="1">
        <v>45870</v>
      </c>
      <c r="C1543" t="s">
        <v>109</v>
      </c>
      <c r="D1543" t="s">
        <v>79</v>
      </c>
      <c r="E1543" t="s">
        <v>46</v>
      </c>
      <c r="F1543" t="s">
        <v>86</v>
      </c>
      <c r="G1543" t="s">
        <v>127</v>
      </c>
      <c r="H1543">
        <v>1</v>
      </c>
      <c r="I1543">
        <v>52097</v>
      </c>
      <c r="J1543">
        <v>0</v>
      </c>
      <c r="K1543">
        <v>0</v>
      </c>
      <c r="L1543">
        <v>52097</v>
      </c>
      <c r="M1543">
        <v>36407.589999999997</v>
      </c>
      <c r="N1543">
        <v>15689.41</v>
      </c>
      <c r="O1543" t="s">
        <v>49</v>
      </c>
      <c r="P1543">
        <v>140.56</v>
      </c>
      <c r="Q1543" t="s">
        <v>68</v>
      </c>
      <c r="R1543" t="s">
        <v>31</v>
      </c>
      <c r="S1543">
        <v>5</v>
      </c>
      <c r="T1543">
        <v>8</v>
      </c>
      <c r="U1543" t="s">
        <v>56</v>
      </c>
      <c r="V1543" t="s">
        <v>33</v>
      </c>
    </row>
    <row r="1544" spans="1:23" x14ac:dyDescent="0.25">
      <c r="A1544" t="s">
        <v>2186</v>
      </c>
      <c r="B1544" s="1">
        <v>45706</v>
      </c>
      <c r="C1544" t="s">
        <v>543</v>
      </c>
      <c r="D1544" t="s">
        <v>63</v>
      </c>
      <c r="E1544" t="s">
        <v>46</v>
      </c>
      <c r="F1544" t="s">
        <v>53</v>
      </c>
      <c r="G1544" t="s">
        <v>151</v>
      </c>
      <c r="H1544">
        <v>1</v>
      </c>
      <c r="I1544">
        <v>25884</v>
      </c>
      <c r="J1544">
        <v>0</v>
      </c>
      <c r="K1544">
        <v>0</v>
      </c>
      <c r="L1544">
        <v>25884</v>
      </c>
      <c r="M1544">
        <v>15247.8</v>
      </c>
      <c r="N1544">
        <v>10636.2</v>
      </c>
      <c r="O1544" t="s">
        <v>29</v>
      </c>
      <c r="P1544">
        <v>969.76</v>
      </c>
      <c r="Q1544" t="s">
        <v>83</v>
      </c>
      <c r="R1544" t="s">
        <v>31</v>
      </c>
      <c r="S1544">
        <v>5</v>
      </c>
      <c r="T1544">
        <v>8</v>
      </c>
      <c r="U1544" t="s">
        <v>56</v>
      </c>
      <c r="V1544" t="s">
        <v>33</v>
      </c>
      <c r="W1544">
        <v>3</v>
      </c>
    </row>
    <row r="1545" spans="1:23" x14ac:dyDescent="0.25">
      <c r="A1545" t="s">
        <v>2187</v>
      </c>
      <c r="B1545" s="1">
        <v>45818</v>
      </c>
      <c r="C1545" t="s">
        <v>679</v>
      </c>
      <c r="D1545" t="s">
        <v>154</v>
      </c>
      <c r="E1545" t="s">
        <v>36</v>
      </c>
      <c r="F1545" t="s">
        <v>86</v>
      </c>
      <c r="G1545" t="s">
        <v>110</v>
      </c>
      <c r="H1545">
        <v>1</v>
      </c>
      <c r="I1545">
        <v>11756</v>
      </c>
      <c r="J1545">
        <v>0</v>
      </c>
      <c r="K1545">
        <v>0</v>
      </c>
      <c r="L1545">
        <v>11756</v>
      </c>
      <c r="M1545">
        <v>8977.4699999999993</v>
      </c>
      <c r="N1545">
        <v>2778.53</v>
      </c>
      <c r="O1545" t="s">
        <v>49</v>
      </c>
      <c r="P1545">
        <v>238.33</v>
      </c>
      <c r="Q1545" t="s">
        <v>73</v>
      </c>
      <c r="R1545" t="s">
        <v>41</v>
      </c>
      <c r="S1545">
        <v>2</v>
      </c>
      <c r="T1545">
        <v>1</v>
      </c>
      <c r="U1545" t="s">
        <v>32</v>
      </c>
      <c r="V1545" t="s">
        <v>33</v>
      </c>
      <c r="W1545">
        <v>1</v>
      </c>
    </row>
    <row r="1546" spans="1:23" x14ac:dyDescent="0.25">
      <c r="A1546" t="s">
        <v>2188</v>
      </c>
      <c r="B1546" s="1">
        <v>45876</v>
      </c>
      <c r="C1546" t="s">
        <v>1188</v>
      </c>
      <c r="D1546" t="s">
        <v>67</v>
      </c>
      <c r="E1546" t="s">
        <v>26</v>
      </c>
      <c r="F1546" t="s">
        <v>86</v>
      </c>
      <c r="G1546" t="s">
        <v>127</v>
      </c>
      <c r="H1546">
        <v>2</v>
      </c>
      <c r="I1546">
        <v>81965</v>
      </c>
      <c r="J1546">
        <v>0</v>
      </c>
      <c r="K1546">
        <v>0</v>
      </c>
      <c r="L1546">
        <v>163930</v>
      </c>
      <c r="M1546">
        <v>118248.01</v>
      </c>
      <c r="N1546">
        <v>45681.99</v>
      </c>
      <c r="O1546" t="s">
        <v>60</v>
      </c>
      <c r="P1546">
        <v>2414.75</v>
      </c>
      <c r="Q1546" t="s">
        <v>73</v>
      </c>
      <c r="R1546" t="s">
        <v>41</v>
      </c>
      <c r="S1546">
        <v>2</v>
      </c>
      <c r="T1546">
        <v>3</v>
      </c>
      <c r="U1546" t="s">
        <v>32</v>
      </c>
      <c r="V1546" t="s">
        <v>50</v>
      </c>
      <c r="W1546">
        <v>4</v>
      </c>
    </row>
    <row r="1547" spans="1:23" x14ac:dyDescent="0.25">
      <c r="A1547" t="s">
        <v>2189</v>
      </c>
      <c r="B1547" s="1">
        <v>45818</v>
      </c>
      <c r="C1547" t="s">
        <v>278</v>
      </c>
      <c r="D1547" t="s">
        <v>71</v>
      </c>
      <c r="E1547" t="s">
        <v>26</v>
      </c>
      <c r="F1547" t="s">
        <v>47</v>
      </c>
      <c r="G1547" t="s">
        <v>138</v>
      </c>
      <c r="H1547">
        <v>1</v>
      </c>
      <c r="I1547">
        <v>15817</v>
      </c>
      <c r="J1547">
        <v>25</v>
      </c>
      <c r="K1547">
        <v>3954.25</v>
      </c>
      <c r="L1547">
        <v>11862.75</v>
      </c>
      <c r="M1547">
        <v>8153.72</v>
      </c>
      <c r="N1547">
        <v>3709.03</v>
      </c>
      <c r="O1547" t="s">
        <v>39</v>
      </c>
      <c r="P1547">
        <v>2224.17</v>
      </c>
      <c r="Q1547" t="s">
        <v>73</v>
      </c>
      <c r="R1547" t="s">
        <v>41</v>
      </c>
      <c r="S1547">
        <v>2</v>
      </c>
      <c r="T1547">
        <v>5</v>
      </c>
      <c r="U1547" t="s">
        <v>32</v>
      </c>
      <c r="V1547" t="s">
        <v>42</v>
      </c>
    </row>
    <row r="1548" spans="1:23" x14ac:dyDescent="0.25">
      <c r="A1548" t="s">
        <v>2190</v>
      </c>
      <c r="B1548" s="1">
        <v>45998</v>
      </c>
      <c r="C1548" t="s">
        <v>528</v>
      </c>
      <c r="D1548" t="s">
        <v>79</v>
      </c>
      <c r="E1548" t="s">
        <v>46</v>
      </c>
      <c r="F1548" t="s">
        <v>27</v>
      </c>
      <c r="G1548" t="s">
        <v>28</v>
      </c>
      <c r="H1548">
        <v>3</v>
      </c>
      <c r="I1548">
        <v>8023</v>
      </c>
      <c r="J1548">
        <v>0</v>
      </c>
      <c r="K1548">
        <v>0</v>
      </c>
      <c r="L1548">
        <v>24069</v>
      </c>
      <c r="M1548">
        <v>19686.48</v>
      </c>
      <c r="N1548">
        <v>4382.5200000000004</v>
      </c>
      <c r="O1548" t="s">
        <v>91</v>
      </c>
      <c r="P1548">
        <v>220.98</v>
      </c>
      <c r="Q1548" t="s">
        <v>73</v>
      </c>
      <c r="R1548" t="s">
        <v>31</v>
      </c>
      <c r="S1548">
        <v>5</v>
      </c>
      <c r="T1548">
        <v>4</v>
      </c>
      <c r="U1548" t="s">
        <v>32</v>
      </c>
      <c r="V1548" t="s">
        <v>50</v>
      </c>
      <c r="W1548">
        <v>4</v>
      </c>
    </row>
    <row r="1549" spans="1:23" x14ac:dyDescent="0.25">
      <c r="A1549" t="s">
        <v>2191</v>
      </c>
      <c r="B1549" s="1">
        <v>45788</v>
      </c>
      <c r="C1549" t="s">
        <v>1485</v>
      </c>
      <c r="D1549" t="s">
        <v>67</v>
      </c>
      <c r="E1549" t="s">
        <v>26</v>
      </c>
      <c r="F1549" t="s">
        <v>27</v>
      </c>
      <c r="G1549" t="s">
        <v>28</v>
      </c>
      <c r="H1549">
        <v>2</v>
      </c>
      <c r="I1549">
        <v>10293</v>
      </c>
      <c r="J1549">
        <v>0</v>
      </c>
      <c r="K1549">
        <v>0</v>
      </c>
      <c r="L1549">
        <v>20586</v>
      </c>
      <c r="M1549">
        <v>15546.15</v>
      </c>
      <c r="N1549">
        <v>5039.8500000000004</v>
      </c>
      <c r="O1549" t="s">
        <v>55</v>
      </c>
      <c r="P1549">
        <v>1549.79</v>
      </c>
      <c r="Q1549" t="s">
        <v>73</v>
      </c>
      <c r="R1549" t="s">
        <v>41</v>
      </c>
      <c r="S1549">
        <v>2</v>
      </c>
      <c r="T1549">
        <v>6</v>
      </c>
      <c r="U1549" t="s">
        <v>32</v>
      </c>
      <c r="V1549" t="s">
        <v>50</v>
      </c>
      <c r="W1549">
        <v>5</v>
      </c>
    </row>
    <row r="1550" spans="1:23" x14ac:dyDescent="0.25">
      <c r="A1550" t="s">
        <v>2192</v>
      </c>
      <c r="B1550" s="1">
        <v>45849</v>
      </c>
      <c r="C1550" t="s">
        <v>335</v>
      </c>
      <c r="D1550" t="s">
        <v>45</v>
      </c>
      <c r="E1550" t="s">
        <v>46</v>
      </c>
      <c r="F1550" t="s">
        <v>47</v>
      </c>
      <c r="G1550" t="s">
        <v>64</v>
      </c>
      <c r="H1550">
        <v>2</v>
      </c>
      <c r="I1550">
        <v>14997</v>
      </c>
      <c r="J1550">
        <v>10</v>
      </c>
      <c r="K1550">
        <v>2999.4</v>
      </c>
      <c r="L1550">
        <v>26994.6</v>
      </c>
      <c r="M1550">
        <v>16547.87</v>
      </c>
      <c r="N1550">
        <v>10446.73</v>
      </c>
      <c r="O1550" t="s">
        <v>39</v>
      </c>
      <c r="P1550">
        <v>750.55</v>
      </c>
      <c r="Q1550" t="s">
        <v>73</v>
      </c>
      <c r="R1550" t="s">
        <v>31</v>
      </c>
      <c r="S1550">
        <v>5</v>
      </c>
      <c r="T1550">
        <v>6</v>
      </c>
      <c r="U1550" t="s">
        <v>56</v>
      </c>
      <c r="V1550" t="s">
        <v>33</v>
      </c>
      <c r="W1550">
        <v>5</v>
      </c>
    </row>
    <row r="1551" spans="1:23" x14ac:dyDescent="0.25">
      <c r="A1551" t="s">
        <v>2193</v>
      </c>
      <c r="B1551" s="1">
        <v>45736</v>
      </c>
      <c r="C1551" t="s">
        <v>1138</v>
      </c>
      <c r="D1551" t="s">
        <v>124</v>
      </c>
      <c r="E1551" t="s">
        <v>46</v>
      </c>
      <c r="F1551" t="s">
        <v>53</v>
      </c>
      <c r="G1551" t="s">
        <v>54</v>
      </c>
      <c r="H1551">
        <v>2</v>
      </c>
      <c r="I1551">
        <v>104513</v>
      </c>
      <c r="J1551">
        <v>20</v>
      </c>
      <c r="K1551">
        <v>41805.199999999997</v>
      </c>
      <c r="L1551">
        <v>167220.79999999999</v>
      </c>
      <c r="M1551">
        <v>92324.81</v>
      </c>
      <c r="N1551">
        <v>74895.990000000005</v>
      </c>
      <c r="O1551" t="s">
        <v>49</v>
      </c>
      <c r="P1551">
        <v>279.74</v>
      </c>
      <c r="Q1551" t="s">
        <v>40</v>
      </c>
      <c r="R1551" t="s">
        <v>41</v>
      </c>
      <c r="S1551">
        <v>2</v>
      </c>
      <c r="T1551">
        <v>6</v>
      </c>
      <c r="U1551" t="s">
        <v>32</v>
      </c>
      <c r="V1551" t="s">
        <v>42</v>
      </c>
    </row>
    <row r="1552" spans="1:23" x14ac:dyDescent="0.25">
      <c r="A1552" t="s">
        <v>2194</v>
      </c>
      <c r="B1552" s="1">
        <v>46009</v>
      </c>
      <c r="C1552" t="s">
        <v>487</v>
      </c>
      <c r="D1552" t="s">
        <v>25</v>
      </c>
      <c r="E1552" t="s">
        <v>26</v>
      </c>
      <c r="F1552" t="s">
        <v>27</v>
      </c>
      <c r="G1552" t="s">
        <v>28</v>
      </c>
      <c r="H1552">
        <v>1</v>
      </c>
      <c r="I1552">
        <v>25243</v>
      </c>
      <c r="J1552">
        <v>0</v>
      </c>
      <c r="K1552">
        <v>0</v>
      </c>
      <c r="L1552">
        <v>25243</v>
      </c>
      <c r="M1552">
        <v>17465.509999999998</v>
      </c>
      <c r="N1552">
        <v>7777.49</v>
      </c>
      <c r="O1552" t="s">
        <v>60</v>
      </c>
      <c r="P1552">
        <v>1957.07</v>
      </c>
      <c r="Q1552" t="s">
        <v>40</v>
      </c>
      <c r="R1552" t="s">
        <v>31</v>
      </c>
      <c r="S1552">
        <v>5</v>
      </c>
      <c r="T1552">
        <v>4</v>
      </c>
      <c r="U1552" t="s">
        <v>32</v>
      </c>
      <c r="V1552" t="s">
        <v>33</v>
      </c>
      <c r="W1552">
        <v>5</v>
      </c>
    </row>
    <row r="1553" spans="1:23" x14ac:dyDescent="0.25">
      <c r="A1553" t="s">
        <v>2195</v>
      </c>
      <c r="B1553" s="1">
        <v>45900</v>
      </c>
      <c r="C1553" t="s">
        <v>948</v>
      </c>
      <c r="D1553" t="s">
        <v>25</v>
      </c>
      <c r="E1553" t="s">
        <v>46</v>
      </c>
      <c r="F1553" t="s">
        <v>47</v>
      </c>
      <c r="G1553" t="s">
        <v>146</v>
      </c>
      <c r="H1553">
        <v>3</v>
      </c>
      <c r="I1553">
        <v>29468</v>
      </c>
      <c r="J1553">
        <v>15</v>
      </c>
      <c r="K1553">
        <v>13260.6</v>
      </c>
      <c r="L1553">
        <v>75143.399999999994</v>
      </c>
      <c r="M1553">
        <v>51168.06</v>
      </c>
      <c r="N1553">
        <v>23975.34</v>
      </c>
      <c r="O1553" t="s">
        <v>91</v>
      </c>
      <c r="P1553">
        <v>242.49</v>
      </c>
      <c r="Q1553" t="s">
        <v>30</v>
      </c>
      <c r="R1553" t="s">
        <v>41</v>
      </c>
      <c r="S1553">
        <v>2</v>
      </c>
      <c r="T1553">
        <v>1</v>
      </c>
      <c r="U1553" t="s">
        <v>32</v>
      </c>
      <c r="V1553" t="s">
        <v>33</v>
      </c>
      <c r="W1553">
        <v>5</v>
      </c>
    </row>
    <row r="1554" spans="1:23" x14ac:dyDescent="0.25">
      <c r="A1554" t="s">
        <v>2196</v>
      </c>
      <c r="B1554" s="1">
        <v>45692</v>
      </c>
      <c r="C1554" t="s">
        <v>620</v>
      </c>
      <c r="D1554" t="s">
        <v>124</v>
      </c>
      <c r="E1554" t="s">
        <v>36</v>
      </c>
      <c r="F1554" t="s">
        <v>86</v>
      </c>
      <c r="G1554" t="s">
        <v>94</v>
      </c>
      <c r="H1554">
        <v>2</v>
      </c>
      <c r="I1554">
        <v>81345</v>
      </c>
      <c r="J1554">
        <v>0</v>
      </c>
      <c r="K1554">
        <v>0</v>
      </c>
      <c r="L1554">
        <v>162690</v>
      </c>
      <c r="M1554">
        <v>92965.03</v>
      </c>
      <c r="N1554">
        <v>69724.97</v>
      </c>
      <c r="O1554" t="s">
        <v>60</v>
      </c>
      <c r="P1554">
        <v>2356.5500000000002</v>
      </c>
      <c r="Q1554" t="s">
        <v>73</v>
      </c>
      <c r="R1554" t="s">
        <v>31</v>
      </c>
      <c r="S1554">
        <v>5</v>
      </c>
      <c r="T1554">
        <v>3</v>
      </c>
      <c r="U1554" t="s">
        <v>32</v>
      </c>
      <c r="V1554" t="s">
        <v>33</v>
      </c>
      <c r="W1554">
        <v>1</v>
      </c>
    </row>
    <row r="1555" spans="1:23" x14ac:dyDescent="0.25">
      <c r="A1555" t="s">
        <v>2197</v>
      </c>
      <c r="B1555" s="1">
        <v>45704</v>
      </c>
      <c r="C1555" t="s">
        <v>35</v>
      </c>
      <c r="D1555" t="s">
        <v>97</v>
      </c>
      <c r="E1555" t="s">
        <v>26</v>
      </c>
      <c r="F1555" t="s">
        <v>86</v>
      </c>
      <c r="G1555" t="s">
        <v>94</v>
      </c>
      <c r="H1555">
        <v>1</v>
      </c>
      <c r="I1555">
        <v>42232</v>
      </c>
      <c r="J1555">
        <v>10</v>
      </c>
      <c r="K1555">
        <v>4223.2</v>
      </c>
      <c r="L1555">
        <v>38008.800000000003</v>
      </c>
      <c r="M1555">
        <v>30866.86</v>
      </c>
      <c r="N1555">
        <v>7141.94</v>
      </c>
      <c r="O1555" t="s">
        <v>49</v>
      </c>
      <c r="P1555">
        <v>249.69</v>
      </c>
      <c r="Q1555" t="s">
        <v>83</v>
      </c>
      <c r="R1555" t="s">
        <v>31</v>
      </c>
      <c r="S1555">
        <v>5</v>
      </c>
      <c r="T1555">
        <v>3</v>
      </c>
      <c r="U1555" t="s">
        <v>32</v>
      </c>
      <c r="V1555" t="s">
        <v>33</v>
      </c>
      <c r="W1555">
        <v>4</v>
      </c>
    </row>
    <row r="1556" spans="1:23" x14ac:dyDescent="0.25">
      <c r="A1556" t="s">
        <v>2198</v>
      </c>
      <c r="B1556" s="1">
        <v>45701</v>
      </c>
      <c r="C1556" t="s">
        <v>1133</v>
      </c>
      <c r="D1556" t="s">
        <v>71</v>
      </c>
      <c r="E1556" t="s">
        <v>46</v>
      </c>
      <c r="F1556" t="s">
        <v>53</v>
      </c>
      <c r="G1556" t="s">
        <v>82</v>
      </c>
      <c r="H1556">
        <v>1</v>
      </c>
      <c r="I1556">
        <v>62249</v>
      </c>
      <c r="J1556">
        <v>15</v>
      </c>
      <c r="K1556">
        <v>9337.35</v>
      </c>
      <c r="L1556">
        <v>52911.65</v>
      </c>
      <c r="M1556">
        <v>33539.83</v>
      </c>
      <c r="N1556">
        <v>19371.82</v>
      </c>
      <c r="O1556" t="s">
        <v>39</v>
      </c>
      <c r="P1556">
        <v>1417.59</v>
      </c>
      <c r="Q1556" t="s">
        <v>30</v>
      </c>
      <c r="R1556" t="s">
        <v>41</v>
      </c>
      <c r="S1556">
        <v>2</v>
      </c>
      <c r="T1556">
        <v>1</v>
      </c>
      <c r="U1556" t="s">
        <v>32</v>
      </c>
      <c r="V1556" t="s">
        <v>33</v>
      </c>
      <c r="W1556">
        <v>4</v>
      </c>
    </row>
    <row r="1557" spans="1:23" x14ac:dyDescent="0.25">
      <c r="A1557" t="s">
        <v>2199</v>
      </c>
      <c r="B1557" s="1">
        <v>45705</v>
      </c>
      <c r="C1557" t="s">
        <v>349</v>
      </c>
      <c r="D1557" t="s">
        <v>45</v>
      </c>
      <c r="E1557" t="s">
        <v>46</v>
      </c>
      <c r="F1557" t="s">
        <v>47</v>
      </c>
      <c r="G1557" t="s">
        <v>138</v>
      </c>
      <c r="H1557">
        <v>1</v>
      </c>
      <c r="I1557">
        <v>10999</v>
      </c>
      <c r="J1557">
        <v>0</v>
      </c>
      <c r="K1557">
        <v>0</v>
      </c>
      <c r="L1557">
        <v>10999</v>
      </c>
      <c r="M1557">
        <v>6304.44</v>
      </c>
      <c r="N1557">
        <v>4694.5600000000004</v>
      </c>
      <c r="O1557" t="s">
        <v>91</v>
      </c>
      <c r="P1557">
        <v>1700.08</v>
      </c>
      <c r="Q1557" t="s">
        <v>68</v>
      </c>
      <c r="R1557" t="s">
        <v>41</v>
      </c>
      <c r="S1557">
        <v>2</v>
      </c>
      <c r="T1557">
        <v>4</v>
      </c>
      <c r="U1557" t="s">
        <v>32</v>
      </c>
      <c r="V1557" t="s">
        <v>50</v>
      </c>
      <c r="W1557">
        <v>4</v>
      </c>
    </row>
    <row r="1558" spans="1:23" x14ac:dyDescent="0.25">
      <c r="A1558" t="s">
        <v>2200</v>
      </c>
      <c r="B1558" s="1">
        <v>45879</v>
      </c>
      <c r="C1558" t="s">
        <v>500</v>
      </c>
      <c r="D1558" t="s">
        <v>154</v>
      </c>
      <c r="E1558" t="s">
        <v>46</v>
      </c>
      <c r="F1558" t="s">
        <v>47</v>
      </c>
      <c r="G1558" t="s">
        <v>48</v>
      </c>
      <c r="H1558">
        <v>1</v>
      </c>
      <c r="I1558">
        <v>21088</v>
      </c>
      <c r="J1558">
        <v>20</v>
      </c>
      <c r="K1558">
        <v>4217.6000000000004</v>
      </c>
      <c r="L1558">
        <v>16870.400000000001</v>
      </c>
      <c r="M1558">
        <v>11016.78</v>
      </c>
      <c r="N1558">
        <v>5853.62</v>
      </c>
      <c r="O1558" t="s">
        <v>29</v>
      </c>
      <c r="P1558">
        <v>1645.39</v>
      </c>
      <c r="Q1558" t="s">
        <v>73</v>
      </c>
      <c r="R1558" t="s">
        <v>31</v>
      </c>
      <c r="S1558">
        <v>5</v>
      </c>
      <c r="T1558">
        <v>4</v>
      </c>
      <c r="U1558" t="s">
        <v>32</v>
      </c>
      <c r="V1558" t="s">
        <v>42</v>
      </c>
    </row>
    <row r="1559" spans="1:23" x14ac:dyDescent="0.25">
      <c r="A1559" t="s">
        <v>2201</v>
      </c>
      <c r="B1559" s="1">
        <v>45707</v>
      </c>
      <c r="C1559" t="s">
        <v>1076</v>
      </c>
      <c r="D1559" t="s">
        <v>97</v>
      </c>
      <c r="E1559" t="s">
        <v>46</v>
      </c>
      <c r="F1559" t="s">
        <v>27</v>
      </c>
      <c r="G1559" t="s">
        <v>164</v>
      </c>
      <c r="H1559">
        <v>2</v>
      </c>
      <c r="I1559">
        <v>3664</v>
      </c>
      <c r="J1559">
        <v>10</v>
      </c>
      <c r="K1559">
        <v>732.8</v>
      </c>
      <c r="L1559">
        <v>6595.2</v>
      </c>
      <c r="M1559">
        <v>5177.3999999999996</v>
      </c>
      <c r="N1559">
        <v>1417.8</v>
      </c>
      <c r="O1559" t="s">
        <v>55</v>
      </c>
      <c r="P1559">
        <v>2027.49</v>
      </c>
      <c r="Q1559" t="s">
        <v>40</v>
      </c>
      <c r="R1559" t="s">
        <v>31</v>
      </c>
      <c r="S1559">
        <v>5</v>
      </c>
      <c r="T1559">
        <v>3</v>
      </c>
      <c r="U1559" t="s">
        <v>32</v>
      </c>
      <c r="V1559" t="s">
        <v>33</v>
      </c>
      <c r="W1559">
        <v>3</v>
      </c>
    </row>
    <row r="1560" spans="1:23" x14ac:dyDescent="0.25">
      <c r="A1560" t="s">
        <v>2202</v>
      </c>
      <c r="B1560" s="1">
        <v>45848</v>
      </c>
      <c r="C1560" t="s">
        <v>2031</v>
      </c>
      <c r="D1560" t="s">
        <v>79</v>
      </c>
      <c r="E1560" t="s">
        <v>46</v>
      </c>
      <c r="F1560" t="s">
        <v>27</v>
      </c>
      <c r="G1560" t="s">
        <v>113</v>
      </c>
      <c r="H1560">
        <v>1</v>
      </c>
      <c r="I1560">
        <v>22694</v>
      </c>
      <c r="J1560">
        <v>15</v>
      </c>
      <c r="K1560">
        <v>3404.1</v>
      </c>
      <c r="L1560">
        <v>19289.900000000001</v>
      </c>
      <c r="M1560">
        <v>10822.48</v>
      </c>
      <c r="N1560">
        <v>8467.42</v>
      </c>
      <c r="O1560" t="s">
        <v>39</v>
      </c>
      <c r="P1560">
        <v>814.84</v>
      </c>
      <c r="Q1560" t="s">
        <v>30</v>
      </c>
      <c r="R1560" t="s">
        <v>41</v>
      </c>
      <c r="S1560">
        <v>2</v>
      </c>
      <c r="T1560">
        <v>4</v>
      </c>
      <c r="U1560" t="s">
        <v>56</v>
      </c>
      <c r="V1560" t="s">
        <v>33</v>
      </c>
      <c r="W1560">
        <v>5</v>
      </c>
    </row>
    <row r="1561" spans="1:23" x14ac:dyDescent="0.25">
      <c r="A1561" t="s">
        <v>2203</v>
      </c>
      <c r="B1561" s="1">
        <v>45724</v>
      </c>
      <c r="C1561" t="s">
        <v>524</v>
      </c>
      <c r="D1561" t="s">
        <v>90</v>
      </c>
      <c r="E1561" t="s">
        <v>46</v>
      </c>
      <c r="F1561" t="s">
        <v>47</v>
      </c>
      <c r="G1561" t="s">
        <v>105</v>
      </c>
      <c r="H1561">
        <v>1</v>
      </c>
      <c r="I1561">
        <v>26589</v>
      </c>
      <c r="J1561">
        <v>0</v>
      </c>
      <c r="K1561">
        <v>0</v>
      </c>
      <c r="L1561">
        <v>26589</v>
      </c>
      <c r="M1561">
        <v>19725.349999999999</v>
      </c>
      <c r="N1561">
        <v>6863.65</v>
      </c>
      <c r="O1561" t="s">
        <v>49</v>
      </c>
      <c r="P1561">
        <v>382.5</v>
      </c>
      <c r="Q1561" t="s">
        <v>68</v>
      </c>
      <c r="R1561" t="s">
        <v>41</v>
      </c>
      <c r="S1561">
        <v>2</v>
      </c>
      <c r="T1561">
        <v>1</v>
      </c>
      <c r="U1561" t="s">
        <v>32</v>
      </c>
      <c r="V1561" t="s">
        <v>33</v>
      </c>
      <c r="W1561">
        <v>4</v>
      </c>
    </row>
    <row r="1562" spans="1:23" x14ac:dyDescent="0.25">
      <c r="A1562" t="s">
        <v>2204</v>
      </c>
      <c r="B1562" s="1">
        <v>45942</v>
      </c>
      <c r="C1562" t="s">
        <v>860</v>
      </c>
      <c r="D1562" t="s">
        <v>154</v>
      </c>
      <c r="E1562" t="s">
        <v>36</v>
      </c>
      <c r="F1562" t="s">
        <v>37</v>
      </c>
      <c r="G1562" t="s">
        <v>313</v>
      </c>
      <c r="H1562">
        <v>3</v>
      </c>
      <c r="I1562">
        <v>20115</v>
      </c>
      <c r="J1562">
        <v>0</v>
      </c>
      <c r="K1562">
        <v>0</v>
      </c>
      <c r="L1562">
        <v>60345</v>
      </c>
      <c r="M1562">
        <v>44164.45</v>
      </c>
      <c r="N1562">
        <v>16180.55</v>
      </c>
      <c r="O1562" t="s">
        <v>55</v>
      </c>
      <c r="P1562">
        <v>936.06</v>
      </c>
      <c r="Q1562" t="s">
        <v>68</v>
      </c>
      <c r="R1562" t="s">
        <v>41</v>
      </c>
      <c r="S1562">
        <v>2</v>
      </c>
      <c r="T1562">
        <v>1</v>
      </c>
      <c r="U1562" t="s">
        <v>32</v>
      </c>
      <c r="V1562" t="s">
        <v>33</v>
      </c>
      <c r="W1562">
        <v>5</v>
      </c>
    </row>
    <row r="1563" spans="1:23" x14ac:dyDescent="0.25">
      <c r="A1563" t="s">
        <v>2205</v>
      </c>
      <c r="B1563" s="1">
        <v>45688</v>
      </c>
      <c r="C1563" t="s">
        <v>1518</v>
      </c>
      <c r="D1563" t="s">
        <v>154</v>
      </c>
      <c r="E1563" t="s">
        <v>46</v>
      </c>
      <c r="F1563" t="s">
        <v>53</v>
      </c>
      <c r="G1563" t="s">
        <v>268</v>
      </c>
      <c r="H1563">
        <v>3</v>
      </c>
      <c r="I1563">
        <v>57598</v>
      </c>
      <c r="J1563">
        <v>10</v>
      </c>
      <c r="K1563">
        <v>17279.400000000001</v>
      </c>
      <c r="L1563">
        <v>155514.6</v>
      </c>
      <c r="M1563">
        <v>97649.84</v>
      </c>
      <c r="N1563">
        <v>57864.76</v>
      </c>
      <c r="O1563" t="s">
        <v>60</v>
      </c>
      <c r="P1563">
        <v>1490.71</v>
      </c>
      <c r="Q1563" t="s">
        <v>83</v>
      </c>
      <c r="R1563" t="s">
        <v>31</v>
      </c>
      <c r="S1563">
        <v>5</v>
      </c>
      <c r="T1563">
        <v>3</v>
      </c>
      <c r="U1563" t="s">
        <v>32</v>
      </c>
      <c r="V1563" t="s">
        <v>33</v>
      </c>
      <c r="W1563">
        <v>4</v>
      </c>
    </row>
    <row r="1564" spans="1:23" x14ac:dyDescent="0.25">
      <c r="A1564" t="s">
        <v>2206</v>
      </c>
      <c r="B1564" s="1">
        <v>45958</v>
      </c>
      <c r="C1564" t="s">
        <v>1076</v>
      </c>
      <c r="D1564" t="s">
        <v>45</v>
      </c>
      <c r="E1564" t="s">
        <v>26</v>
      </c>
      <c r="F1564" t="s">
        <v>27</v>
      </c>
      <c r="G1564" t="s">
        <v>72</v>
      </c>
      <c r="H1564">
        <v>1</v>
      </c>
      <c r="I1564">
        <v>19335</v>
      </c>
      <c r="J1564">
        <v>10</v>
      </c>
      <c r="K1564">
        <v>1933.5</v>
      </c>
      <c r="L1564">
        <v>17401.5</v>
      </c>
      <c r="M1564">
        <v>9892.77</v>
      </c>
      <c r="N1564">
        <v>7508.73</v>
      </c>
      <c r="O1564" t="s">
        <v>49</v>
      </c>
      <c r="P1564">
        <v>93.19</v>
      </c>
      <c r="Q1564" t="s">
        <v>73</v>
      </c>
      <c r="R1564" t="s">
        <v>41</v>
      </c>
      <c r="S1564">
        <v>2</v>
      </c>
      <c r="T1564">
        <v>2</v>
      </c>
      <c r="U1564" t="s">
        <v>32</v>
      </c>
      <c r="V1564" t="s">
        <v>42</v>
      </c>
    </row>
    <row r="1565" spans="1:23" x14ac:dyDescent="0.25">
      <c r="A1565" t="s">
        <v>2207</v>
      </c>
      <c r="B1565" s="1">
        <v>45945</v>
      </c>
      <c r="C1565" t="s">
        <v>580</v>
      </c>
      <c r="D1565" t="s">
        <v>124</v>
      </c>
      <c r="E1565" t="s">
        <v>46</v>
      </c>
      <c r="F1565" t="s">
        <v>37</v>
      </c>
      <c r="G1565" t="s">
        <v>161</v>
      </c>
      <c r="H1565">
        <v>3</v>
      </c>
      <c r="I1565">
        <v>20025</v>
      </c>
      <c r="J1565">
        <v>25</v>
      </c>
      <c r="K1565">
        <v>15018.75</v>
      </c>
      <c r="L1565">
        <v>45056.25</v>
      </c>
      <c r="M1565">
        <v>34277.370000000003</v>
      </c>
      <c r="N1565">
        <v>10778.88</v>
      </c>
      <c r="O1565" t="s">
        <v>49</v>
      </c>
      <c r="P1565">
        <v>247.99</v>
      </c>
      <c r="Q1565" t="s">
        <v>30</v>
      </c>
      <c r="R1565" t="s">
        <v>41</v>
      </c>
      <c r="S1565">
        <v>2</v>
      </c>
      <c r="T1565">
        <v>3</v>
      </c>
      <c r="U1565" t="s">
        <v>56</v>
      </c>
      <c r="V1565" t="s">
        <v>33</v>
      </c>
      <c r="W1565">
        <v>3</v>
      </c>
    </row>
    <row r="1566" spans="1:23" x14ac:dyDescent="0.25">
      <c r="A1566" t="s">
        <v>2208</v>
      </c>
      <c r="B1566" s="1">
        <v>45945</v>
      </c>
      <c r="C1566" t="s">
        <v>1007</v>
      </c>
      <c r="D1566" t="s">
        <v>45</v>
      </c>
      <c r="E1566" t="s">
        <v>26</v>
      </c>
      <c r="F1566" t="s">
        <v>86</v>
      </c>
      <c r="G1566" t="s">
        <v>127</v>
      </c>
      <c r="H1566">
        <v>1</v>
      </c>
      <c r="I1566">
        <v>40514</v>
      </c>
      <c r="J1566">
        <v>10</v>
      </c>
      <c r="K1566">
        <v>4051.4</v>
      </c>
      <c r="L1566">
        <v>36462.6</v>
      </c>
      <c r="M1566">
        <v>22246.45</v>
      </c>
      <c r="N1566">
        <v>14216.15</v>
      </c>
      <c r="O1566" t="s">
        <v>55</v>
      </c>
      <c r="P1566">
        <v>1333.05</v>
      </c>
      <c r="Q1566" t="s">
        <v>73</v>
      </c>
      <c r="R1566" t="s">
        <v>41</v>
      </c>
      <c r="S1566">
        <v>2</v>
      </c>
      <c r="T1566">
        <v>3</v>
      </c>
      <c r="U1566" t="s">
        <v>56</v>
      </c>
      <c r="V1566" t="s">
        <v>33</v>
      </c>
      <c r="W1566">
        <v>5</v>
      </c>
    </row>
    <row r="1567" spans="1:23" x14ac:dyDescent="0.25">
      <c r="A1567" t="s">
        <v>2209</v>
      </c>
      <c r="B1567" s="1">
        <v>45826</v>
      </c>
      <c r="C1567" t="s">
        <v>714</v>
      </c>
      <c r="D1567" t="s">
        <v>154</v>
      </c>
      <c r="E1567" t="s">
        <v>46</v>
      </c>
      <c r="F1567" t="s">
        <v>27</v>
      </c>
      <c r="G1567" t="s">
        <v>28</v>
      </c>
      <c r="H1567">
        <v>2</v>
      </c>
      <c r="I1567">
        <v>19453</v>
      </c>
      <c r="J1567">
        <v>5</v>
      </c>
      <c r="K1567">
        <v>1945.3</v>
      </c>
      <c r="L1567">
        <v>36960.699999999997</v>
      </c>
      <c r="M1567">
        <v>23306.82</v>
      </c>
      <c r="N1567">
        <v>13653.88</v>
      </c>
      <c r="O1567" t="s">
        <v>49</v>
      </c>
      <c r="P1567">
        <v>211.97</v>
      </c>
      <c r="Q1567" t="s">
        <v>30</v>
      </c>
      <c r="R1567" t="s">
        <v>41</v>
      </c>
      <c r="S1567">
        <v>2</v>
      </c>
      <c r="T1567">
        <v>1</v>
      </c>
      <c r="U1567" t="s">
        <v>32</v>
      </c>
      <c r="V1567" t="s">
        <v>33</v>
      </c>
      <c r="W1567">
        <v>2</v>
      </c>
    </row>
    <row r="1568" spans="1:23" x14ac:dyDescent="0.25">
      <c r="A1568" t="s">
        <v>2210</v>
      </c>
      <c r="B1568" s="1">
        <v>46001</v>
      </c>
      <c r="C1568" t="s">
        <v>882</v>
      </c>
      <c r="D1568" t="s">
        <v>90</v>
      </c>
      <c r="E1568" t="s">
        <v>46</v>
      </c>
      <c r="F1568" t="s">
        <v>27</v>
      </c>
      <c r="G1568" t="s">
        <v>164</v>
      </c>
      <c r="H1568">
        <v>1</v>
      </c>
      <c r="I1568">
        <v>10994</v>
      </c>
      <c r="J1568">
        <v>10</v>
      </c>
      <c r="K1568">
        <v>1099.4000000000001</v>
      </c>
      <c r="L1568">
        <v>9894.6</v>
      </c>
      <c r="M1568">
        <v>6084.25</v>
      </c>
      <c r="N1568">
        <v>3810.35</v>
      </c>
      <c r="O1568" t="s">
        <v>55</v>
      </c>
      <c r="P1568">
        <v>1434.09</v>
      </c>
      <c r="Q1568" t="s">
        <v>68</v>
      </c>
      <c r="R1568" t="s">
        <v>41</v>
      </c>
      <c r="S1568">
        <v>2</v>
      </c>
      <c r="T1568">
        <v>2</v>
      </c>
      <c r="U1568" t="s">
        <v>32</v>
      </c>
      <c r="V1568" t="s">
        <v>33</v>
      </c>
      <c r="W1568">
        <v>5</v>
      </c>
    </row>
    <row r="1569" spans="1:23" x14ac:dyDescent="0.25">
      <c r="A1569" t="s">
        <v>2211</v>
      </c>
      <c r="B1569" s="1">
        <v>45720</v>
      </c>
      <c r="C1569" t="s">
        <v>447</v>
      </c>
      <c r="D1569" t="s">
        <v>67</v>
      </c>
      <c r="E1569" t="s">
        <v>46</v>
      </c>
      <c r="F1569" t="s">
        <v>47</v>
      </c>
      <c r="G1569" t="s">
        <v>48</v>
      </c>
      <c r="H1569">
        <v>1</v>
      </c>
      <c r="I1569">
        <v>29453</v>
      </c>
      <c r="J1569">
        <v>10</v>
      </c>
      <c r="K1569">
        <v>2945.3</v>
      </c>
      <c r="L1569">
        <v>26507.7</v>
      </c>
      <c r="M1569">
        <v>15260.81</v>
      </c>
      <c r="N1569">
        <v>11246.89</v>
      </c>
      <c r="O1569" t="s">
        <v>29</v>
      </c>
      <c r="P1569">
        <v>1060.4100000000001</v>
      </c>
      <c r="Q1569" t="s">
        <v>68</v>
      </c>
      <c r="R1569" t="s">
        <v>41</v>
      </c>
      <c r="S1569">
        <v>2</v>
      </c>
      <c r="T1569">
        <v>5</v>
      </c>
      <c r="U1569" t="s">
        <v>32</v>
      </c>
      <c r="V1569" t="s">
        <v>42</v>
      </c>
    </row>
    <row r="1570" spans="1:23" x14ac:dyDescent="0.25">
      <c r="A1570" t="s">
        <v>2212</v>
      </c>
      <c r="B1570" s="1">
        <v>45868</v>
      </c>
      <c r="C1570" t="s">
        <v>1033</v>
      </c>
      <c r="D1570" t="s">
        <v>124</v>
      </c>
      <c r="E1570" t="s">
        <v>26</v>
      </c>
      <c r="F1570" t="s">
        <v>37</v>
      </c>
      <c r="G1570" t="s">
        <v>313</v>
      </c>
      <c r="H1570">
        <v>3</v>
      </c>
      <c r="I1570">
        <v>26545</v>
      </c>
      <c r="J1570">
        <v>20</v>
      </c>
      <c r="K1570">
        <v>15927</v>
      </c>
      <c r="L1570">
        <v>63708</v>
      </c>
      <c r="M1570">
        <v>47885.87</v>
      </c>
      <c r="N1570">
        <v>15822.13</v>
      </c>
      <c r="O1570" t="s">
        <v>91</v>
      </c>
      <c r="P1570">
        <v>2334.3200000000002</v>
      </c>
      <c r="Q1570" t="s">
        <v>83</v>
      </c>
      <c r="R1570" t="s">
        <v>41</v>
      </c>
      <c r="S1570">
        <v>2</v>
      </c>
      <c r="T1570">
        <v>1</v>
      </c>
      <c r="U1570" t="s">
        <v>32</v>
      </c>
      <c r="V1570" t="s">
        <v>33</v>
      </c>
      <c r="W1570">
        <v>3</v>
      </c>
    </row>
    <row r="1571" spans="1:23" x14ac:dyDescent="0.25">
      <c r="A1571" t="s">
        <v>2213</v>
      </c>
      <c r="B1571" s="1">
        <v>45839</v>
      </c>
      <c r="C1571" t="s">
        <v>1271</v>
      </c>
      <c r="D1571" t="s">
        <v>154</v>
      </c>
      <c r="E1571" t="s">
        <v>26</v>
      </c>
      <c r="F1571" t="s">
        <v>27</v>
      </c>
      <c r="G1571" t="s">
        <v>113</v>
      </c>
      <c r="H1571">
        <v>1</v>
      </c>
      <c r="I1571">
        <v>16952</v>
      </c>
      <c r="J1571">
        <v>5</v>
      </c>
      <c r="K1571">
        <v>847.6</v>
      </c>
      <c r="L1571">
        <v>16104.4</v>
      </c>
      <c r="M1571">
        <v>9785.34</v>
      </c>
      <c r="N1571">
        <v>6319.06</v>
      </c>
      <c r="O1571" t="s">
        <v>29</v>
      </c>
      <c r="P1571">
        <v>891.34</v>
      </c>
      <c r="Q1571" t="s">
        <v>30</v>
      </c>
      <c r="R1571" t="s">
        <v>41</v>
      </c>
      <c r="S1571">
        <v>2</v>
      </c>
      <c r="T1571">
        <v>3</v>
      </c>
      <c r="U1571" t="s">
        <v>32</v>
      </c>
      <c r="V1571" t="s">
        <v>50</v>
      </c>
      <c r="W1571">
        <v>1</v>
      </c>
    </row>
    <row r="1572" spans="1:23" x14ac:dyDescent="0.25">
      <c r="A1572" t="s">
        <v>2214</v>
      </c>
      <c r="B1572" s="1">
        <v>45998</v>
      </c>
      <c r="C1572" t="s">
        <v>576</v>
      </c>
      <c r="D1572" t="s">
        <v>45</v>
      </c>
      <c r="E1572" t="s">
        <v>26</v>
      </c>
      <c r="F1572" t="s">
        <v>53</v>
      </c>
      <c r="G1572" t="s">
        <v>59</v>
      </c>
      <c r="H1572">
        <v>1</v>
      </c>
      <c r="I1572">
        <v>104621</v>
      </c>
      <c r="J1572">
        <v>10</v>
      </c>
      <c r="K1572">
        <v>10462.1</v>
      </c>
      <c r="L1572">
        <v>94158.9</v>
      </c>
      <c r="M1572">
        <v>54952.18</v>
      </c>
      <c r="N1572">
        <v>39206.720000000001</v>
      </c>
      <c r="O1572" t="s">
        <v>60</v>
      </c>
      <c r="P1572">
        <v>982.1</v>
      </c>
      <c r="Q1572" t="s">
        <v>83</v>
      </c>
      <c r="R1572" t="s">
        <v>41</v>
      </c>
      <c r="S1572">
        <v>2</v>
      </c>
      <c r="T1572">
        <v>3</v>
      </c>
      <c r="U1572" t="s">
        <v>56</v>
      </c>
      <c r="V1572" t="s">
        <v>33</v>
      </c>
      <c r="W1572">
        <v>5</v>
      </c>
    </row>
    <row r="1573" spans="1:23" x14ac:dyDescent="0.25">
      <c r="A1573" t="s">
        <v>2215</v>
      </c>
      <c r="B1573" s="1">
        <v>45874</v>
      </c>
      <c r="C1573" t="s">
        <v>1311</v>
      </c>
      <c r="D1573" t="s">
        <v>63</v>
      </c>
      <c r="E1573" t="s">
        <v>26</v>
      </c>
      <c r="F1573" t="s">
        <v>37</v>
      </c>
      <c r="G1573" t="s">
        <v>161</v>
      </c>
      <c r="H1573">
        <v>1</v>
      </c>
      <c r="I1573">
        <v>29447</v>
      </c>
      <c r="J1573">
        <v>0</v>
      </c>
      <c r="K1573">
        <v>0</v>
      </c>
      <c r="L1573">
        <v>29447</v>
      </c>
      <c r="M1573">
        <v>16349.26</v>
      </c>
      <c r="N1573">
        <v>13097.74</v>
      </c>
      <c r="O1573" t="s">
        <v>39</v>
      </c>
      <c r="P1573">
        <v>1758.95</v>
      </c>
      <c r="Q1573" t="s">
        <v>83</v>
      </c>
      <c r="R1573" t="s">
        <v>41</v>
      </c>
      <c r="S1573">
        <v>2</v>
      </c>
      <c r="T1573">
        <v>1</v>
      </c>
      <c r="U1573" t="s">
        <v>32</v>
      </c>
      <c r="V1573" t="s">
        <v>33</v>
      </c>
      <c r="W1573">
        <v>5</v>
      </c>
    </row>
    <row r="1574" spans="1:23" x14ac:dyDescent="0.25">
      <c r="A1574" t="s">
        <v>2216</v>
      </c>
      <c r="B1574" s="1">
        <v>45684</v>
      </c>
      <c r="C1574" t="s">
        <v>1449</v>
      </c>
      <c r="D1574" t="s">
        <v>71</v>
      </c>
      <c r="E1574" t="s">
        <v>26</v>
      </c>
      <c r="F1574" t="s">
        <v>53</v>
      </c>
      <c r="G1574" t="s">
        <v>54</v>
      </c>
      <c r="H1574">
        <v>2</v>
      </c>
      <c r="I1574">
        <v>84317</v>
      </c>
      <c r="J1574">
        <v>0</v>
      </c>
      <c r="K1574">
        <v>0</v>
      </c>
      <c r="L1574">
        <v>168634</v>
      </c>
      <c r="M1574">
        <v>135737.38</v>
      </c>
      <c r="N1574">
        <v>32896.620000000003</v>
      </c>
      <c r="O1574" t="s">
        <v>60</v>
      </c>
      <c r="P1574">
        <v>425.09</v>
      </c>
      <c r="Q1574" t="s">
        <v>68</v>
      </c>
      <c r="R1574" t="s">
        <v>41</v>
      </c>
      <c r="S1574">
        <v>2</v>
      </c>
      <c r="T1574">
        <v>2</v>
      </c>
      <c r="U1574" t="s">
        <v>32</v>
      </c>
      <c r="V1574" t="s">
        <v>33</v>
      </c>
      <c r="W1574">
        <v>5</v>
      </c>
    </row>
    <row r="1575" spans="1:23" x14ac:dyDescent="0.25">
      <c r="A1575" t="s">
        <v>2217</v>
      </c>
      <c r="B1575" s="1">
        <v>45805</v>
      </c>
      <c r="C1575" t="s">
        <v>766</v>
      </c>
      <c r="D1575" t="s">
        <v>124</v>
      </c>
      <c r="E1575" t="s">
        <v>26</v>
      </c>
      <c r="F1575" t="s">
        <v>53</v>
      </c>
      <c r="G1575" t="s">
        <v>59</v>
      </c>
      <c r="H1575">
        <v>2</v>
      </c>
      <c r="I1575">
        <v>85726</v>
      </c>
      <c r="J1575">
        <v>10</v>
      </c>
      <c r="K1575">
        <v>17145.2</v>
      </c>
      <c r="L1575">
        <v>154306.79999999999</v>
      </c>
      <c r="M1575">
        <v>126457.18</v>
      </c>
      <c r="N1575">
        <v>27849.62</v>
      </c>
      <c r="O1575" t="s">
        <v>49</v>
      </c>
      <c r="P1575">
        <v>215.61</v>
      </c>
      <c r="Q1575" t="s">
        <v>73</v>
      </c>
      <c r="R1575" t="s">
        <v>41</v>
      </c>
      <c r="S1575">
        <v>2</v>
      </c>
      <c r="T1575">
        <v>1</v>
      </c>
      <c r="U1575" t="s">
        <v>32</v>
      </c>
      <c r="V1575" t="s">
        <v>33</v>
      </c>
      <c r="W1575">
        <v>2</v>
      </c>
    </row>
    <row r="1576" spans="1:23" x14ac:dyDescent="0.25">
      <c r="A1576" t="s">
        <v>2218</v>
      </c>
      <c r="B1576" s="1">
        <v>45965</v>
      </c>
      <c r="C1576" t="s">
        <v>1195</v>
      </c>
      <c r="D1576" t="s">
        <v>90</v>
      </c>
      <c r="E1576" t="s">
        <v>46</v>
      </c>
      <c r="F1576" t="s">
        <v>37</v>
      </c>
      <c r="G1576" t="s">
        <v>38</v>
      </c>
      <c r="H1576">
        <v>1</v>
      </c>
      <c r="I1576">
        <v>9595</v>
      </c>
      <c r="J1576">
        <v>5</v>
      </c>
      <c r="K1576">
        <v>479.75</v>
      </c>
      <c r="L1576">
        <v>9115.25</v>
      </c>
      <c r="M1576">
        <v>5580.64</v>
      </c>
      <c r="N1576">
        <v>3534.61</v>
      </c>
      <c r="O1576" t="s">
        <v>60</v>
      </c>
      <c r="P1576">
        <v>645.85</v>
      </c>
      <c r="Q1576" t="s">
        <v>83</v>
      </c>
      <c r="R1576" t="s">
        <v>31</v>
      </c>
      <c r="S1576">
        <v>5</v>
      </c>
      <c r="T1576">
        <v>5</v>
      </c>
      <c r="U1576" t="s">
        <v>32</v>
      </c>
      <c r="V1576" t="s">
        <v>33</v>
      </c>
      <c r="W1576">
        <v>5</v>
      </c>
    </row>
    <row r="1577" spans="1:23" x14ac:dyDescent="0.25">
      <c r="A1577" t="s">
        <v>2219</v>
      </c>
      <c r="B1577" s="1">
        <v>45817</v>
      </c>
      <c r="C1577" t="s">
        <v>303</v>
      </c>
      <c r="D1577" t="s">
        <v>90</v>
      </c>
      <c r="E1577" t="s">
        <v>26</v>
      </c>
      <c r="F1577" t="s">
        <v>53</v>
      </c>
      <c r="G1577" t="s">
        <v>59</v>
      </c>
      <c r="H1577">
        <v>3</v>
      </c>
      <c r="I1577">
        <v>30622</v>
      </c>
      <c r="J1577">
        <v>15</v>
      </c>
      <c r="K1577">
        <v>13779.9</v>
      </c>
      <c r="L1577">
        <v>78086.100000000006</v>
      </c>
      <c r="M1577">
        <v>51490.05</v>
      </c>
      <c r="N1577">
        <v>26596.05</v>
      </c>
      <c r="O1577" t="s">
        <v>29</v>
      </c>
      <c r="P1577">
        <v>1838.22</v>
      </c>
      <c r="Q1577" t="s">
        <v>40</v>
      </c>
      <c r="R1577" t="s">
        <v>31</v>
      </c>
      <c r="S1577">
        <v>5</v>
      </c>
      <c r="T1577">
        <v>2</v>
      </c>
      <c r="U1577" t="s">
        <v>32</v>
      </c>
      <c r="V1577" t="s">
        <v>50</v>
      </c>
      <c r="W1577">
        <v>4</v>
      </c>
    </row>
    <row r="1578" spans="1:23" x14ac:dyDescent="0.25">
      <c r="A1578" t="s">
        <v>2220</v>
      </c>
      <c r="B1578" s="1">
        <v>45838</v>
      </c>
      <c r="C1578" t="s">
        <v>241</v>
      </c>
      <c r="D1578" t="s">
        <v>63</v>
      </c>
      <c r="E1578" t="s">
        <v>36</v>
      </c>
      <c r="F1578" t="s">
        <v>27</v>
      </c>
      <c r="G1578" t="s">
        <v>113</v>
      </c>
      <c r="H1578">
        <v>1</v>
      </c>
      <c r="I1578">
        <v>25264</v>
      </c>
      <c r="J1578">
        <v>20</v>
      </c>
      <c r="K1578">
        <v>5052.8</v>
      </c>
      <c r="L1578">
        <v>20211.2</v>
      </c>
      <c r="M1578">
        <v>14791.71</v>
      </c>
      <c r="N1578">
        <v>5419.49</v>
      </c>
      <c r="O1578" t="s">
        <v>29</v>
      </c>
      <c r="P1578">
        <v>1646.45</v>
      </c>
      <c r="Q1578" t="s">
        <v>73</v>
      </c>
      <c r="R1578" t="s">
        <v>41</v>
      </c>
      <c r="S1578">
        <v>2</v>
      </c>
      <c r="T1578">
        <v>1</v>
      </c>
      <c r="U1578" t="s">
        <v>32</v>
      </c>
      <c r="V1578" t="s">
        <v>33</v>
      </c>
      <c r="W1578">
        <v>5</v>
      </c>
    </row>
    <row r="1579" spans="1:23" x14ac:dyDescent="0.25">
      <c r="A1579" t="s">
        <v>2221</v>
      </c>
      <c r="B1579" s="1">
        <v>45711</v>
      </c>
      <c r="C1579" t="s">
        <v>668</v>
      </c>
      <c r="D1579" t="s">
        <v>90</v>
      </c>
      <c r="E1579" t="s">
        <v>46</v>
      </c>
      <c r="F1579" t="s">
        <v>37</v>
      </c>
      <c r="G1579" t="s">
        <v>161</v>
      </c>
      <c r="H1579">
        <v>2</v>
      </c>
      <c r="I1579">
        <v>34859</v>
      </c>
      <c r="J1579">
        <v>10</v>
      </c>
      <c r="K1579">
        <v>6971.8</v>
      </c>
      <c r="L1579">
        <v>62746.2</v>
      </c>
      <c r="M1579">
        <v>46497.21</v>
      </c>
      <c r="N1579">
        <v>16248.99</v>
      </c>
      <c r="O1579" t="s">
        <v>29</v>
      </c>
      <c r="P1579">
        <v>2187.16</v>
      </c>
      <c r="Q1579" t="s">
        <v>40</v>
      </c>
      <c r="R1579" t="s">
        <v>31</v>
      </c>
      <c r="S1579">
        <v>5</v>
      </c>
      <c r="T1579">
        <v>7</v>
      </c>
      <c r="U1579" t="s">
        <v>56</v>
      </c>
      <c r="V1579" t="s">
        <v>33</v>
      </c>
      <c r="W1579">
        <v>5</v>
      </c>
    </row>
    <row r="1580" spans="1:23" x14ac:dyDescent="0.25">
      <c r="A1580" t="s">
        <v>2222</v>
      </c>
      <c r="B1580" s="1">
        <v>45953</v>
      </c>
      <c r="C1580" t="s">
        <v>945</v>
      </c>
      <c r="D1580" t="s">
        <v>79</v>
      </c>
      <c r="E1580" t="s">
        <v>36</v>
      </c>
      <c r="F1580" t="s">
        <v>27</v>
      </c>
      <c r="G1580" t="s">
        <v>113</v>
      </c>
      <c r="H1580">
        <v>2</v>
      </c>
      <c r="I1580">
        <v>12145</v>
      </c>
      <c r="J1580">
        <v>10</v>
      </c>
      <c r="K1580">
        <v>2429</v>
      </c>
      <c r="L1580">
        <v>21861</v>
      </c>
      <c r="M1580">
        <v>17139.439999999999</v>
      </c>
      <c r="N1580">
        <v>4721.5600000000004</v>
      </c>
      <c r="O1580" t="s">
        <v>55</v>
      </c>
      <c r="P1580">
        <v>1546.84</v>
      </c>
      <c r="Q1580" t="s">
        <v>40</v>
      </c>
      <c r="R1580" t="s">
        <v>31</v>
      </c>
      <c r="S1580">
        <v>5</v>
      </c>
      <c r="T1580">
        <v>3</v>
      </c>
      <c r="U1580" t="s">
        <v>32</v>
      </c>
      <c r="V1580" t="s">
        <v>33</v>
      </c>
      <c r="W1580">
        <v>1</v>
      </c>
    </row>
    <row r="1581" spans="1:23" x14ac:dyDescent="0.25">
      <c r="A1581" t="s">
        <v>2223</v>
      </c>
      <c r="B1581" s="1">
        <v>45917</v>
      </c>
      <c r="C1581" t="s">
        <v>814</v>
      </c>
      <c r="D1581" t="s">
        <v>45</v>
      </c>
      <c r="E1581" t="s">
        <v>46</v>
      </c>
      <c r="F1581" t="s">
        <v>37</v>
      </c>
      <c r="G1581" t="s">
        <v>161</v>
      </c>
      <c r="H1581">
        <v>2</v>
      </c>
      <c r="I1581">
        <v>21881</v>
      </c>
      <c r="J1581">
        <v>15</v>
      </c>
      <c r="K1581">
        <v>6564.3</v>
      </c>
      <c r="L1581">
        <v>37197.699999999997</v>
      </c>
      <c r="M1581">
        <v>29645.55</v>
      </c>
      <c r="N1581">
        <v>7552.15</v>
      </c>
      <c r="O1581" t="s">
        <v>39</v>
      </c>
      <c r="P1581">
        <v>1778.81</v>
      </c>
      <c r="Q1581" t="s">
        <v>73</v>
      </c>
      <c r="R1581" t="s">
        <v>31</v>
      </c>
      <c r="S1581">
        <v>5</v>
      </c>
      <c r="T1581">
        <v>1</v>
      </c>
      <c r="U1581" t="s">
        <v>32</v>
      </c>
      <c r="V1581" t="s">
        <v>50</v>
      </c>
      <c r="W1581">
        <v>3</v>
      </c>
    </row>
    <row r="1582" spans="1:23" x14ac:dyDescent="0.25">
      <c r="A1582" t="s">
        <v>2224</v>
      </c>
      <c r="B1582" s="1">
        <v>45766</v>
      </c>
      <c r="C1582" t="s">
        <v>1663</v>
      </c>
      <c r="D1582" t="s">
        <v>79</v>
      </c>
      <c r="E1582" t="s">
        <v>46</v>
      </c>
      <c r="F1582" t="s">
        <v>86</v>
      </c>
      <c r="G1582" t="s">
        <v>94</v>
      </c>
      <c r="H1582">
        <v>2</v>
      </c>
      <c r="I1582">
        <v>50906</v>
      </c>
      <c r="J1582">
        <v>15</v>
      </c>
      <c r="K1582">
        <v>15271.8</v>
      </c>
      <c r="L1582">
        <v>86540.2</v>
      </c>
      <c r="M1582">
        <v>69125.62</v>
      </c>
      <c r="N1582">
        <v>17414.580000000002</v>
      </c>
      <c r="O1582" t="s">
        <v>29</v>
      </c>
      <c r="P1582">
        <v>977.69</v>
      </c>
      <c r="Q1582" t="s">
        <v>83</v>
      </c>
      <c r="R1582" t="s">
        <v>31</v>
      </c>
      <c r="S1582">
        <v>5</v>
      </c>
      <c r="T1582">
        <v>5</v>
      </c>
      <c r="U1582" t="s">
        <v>32</v>
      </c>
      <c r="V1582" t="s">
        <v>33</v>
      </c>
      <c r="W1582">
        <v>5</v>
      </c>
    </row>
    <row r="1583" spans="1:23" x14ac:dyDescent="0.25">
      <c r="A1583" t="s">
        <v>2225</v>
      </c>
      <c r="B1583" s="1">
        <v>45737</v>
      </c>
      <c r="C1583" t="s">
        <v>1695</v>
      </c>
      <c r="D1583" t="s">
        <v>79</v>
      </c>
      <c r="E1583" t="s">
        <v>26</v>
      </c>
      <c r="F1583" t="s">
        <v>47</v>
      </c>
      <c r="G1583" t="s">
        <v>64</v>
      </c>
      <c r="H1583">
        <v>1</v>
      </c>
      <c r="I1583">
        <v>35104</v>
      </c>
      <c r="J1583">
        <v>25</v>
      </c>
      <c r="K1583">
        <v>8776</v>
      </c>
      <c r="L1583">
        <v>26328</v>
      </c>
      <c r="M1583">
        <v>20015.080000000002</v>
      </c>
      <c r="N1583">
        <v>6312.92</v>
      </c>
      <c r="O1583" t="s">
        <v>49</v>
      </c>
      <c r="P1583">
        <v>167.08</v>
      </c>
      <c r="Q1583" t="s">
        <v>68</v>
      </c>
      <c r="R1583" t="s">
        <v>41</v>
      </c>
      <c r="S1583">
        <v>2</v>
      </c>
      <c r="T1583">
        <v>4</v>
      </c>
      <c r="U1583" t="s">
        <v>56</v>
      </c>
      <c r="V1583" t="s">
        <v>33</v>
      </c>
      <c r="W1583">
        <v>1</v>
      </c>
    </row>
    <row r="1584" spans="1:23" x14ac:dyDescent="0.25">
      <c r="A1584" t="s">
        <v>2226</v>
      </c>
      <c r="B1584" s="1">
        <v>45994</v>
      </c>
      <c r="C1584" t="s">
        <v>958</v>
      </c>
      <c r="D1584" t="s">
        <v>63</v>
      </c>
      <c r="E1584" t="s">
        <v>26</v>
      </c>
      <c r="F1584" t="s">
        <v>47</v>
      </c>
      <c r="G1584" t="s">
        <v>138</v>
      </c>
      <c r="H1584">
        <v>1</v>
      </c>
      <c r="I1584">
        <v>24495</v>
      </c>
      <c r="J1584">
        <v>0</v>
      </c>
      <c r="K1584">
        <v>0</v>
      </c>
      <c r="L1584">
        <v>24495</v>
      </c>
      <c r="M1584">
        <v>16401.54</v>
      </c>
      <c r="N1584">
        <v>8093.46</v>
      </c>
      <c r="O1584" t="s">
        <v>49</v>
      </c>
      <c r="P1584">
        <v>55.14</v>
      </c>
      <c r="Q1584" t="s">
        <v>83</v>
      </c>
      <c r="R1584" t="s">
        <v>31</v>
      </c>
      <c r="S1584">
        <v>5</v>
      </c>
      <c r="T1584">
        <v>3</v>
      </c>
      <c r="U1584" t="s">
        <v>32</v>
      </c>
      <c r="V1584" t="s">
        <v>42</v>
      </c>
    </row>
    <row r="1585" spans="1:23" x14ac:dyDescent="0.25">
      <c r="A1585" t="s">
        <v>2227</v>
      </c>
      <c r="B1585" s="1">
        <v>45904</v>
      </c>
      <c r="C1585" t="s">
        <v>702</v>
      </c>
      <c r="D1585" t="s">
        <v>63</v>
      </c>
      <c r="E1585" t="s">
        <v>36</v>
      </c>
      <c r="F1585" t="s">
        <v>37</v>
      </c>
      <c r="G1585" t="s">
        <v>100</v>
      </c>
      <c r="H1585">
        <v>1</v>
      </c>
      <c r="I1585">
        <v>35664</v>
      </c>
      <c r="J1585">
        <v>15</v>
      </c>
      <c r="K1585">
        <v>5349.6</v>
      </c>
      <c r="L1585">
        <v>30314.400000000001</v>
      </c>
      <c r="M1585">
        <v>17560.22</v>
      </c>
      <c r="N1585">
        <v>12754.18</v>
      </c>
      <c r="O1585" t="s">
        <v>60</v>
      </c>
      <c r="P1585">
        <v>1269.57</v>
      </c>
      <c r="Q1585" t="s">
        <v>68</v>
      </c>
      <c r="R1585" t="s">
        <v>31</v>
      </c>
      <c r="S1585">
        <v>5</v>
      </c>
      <c r="T1585">
        <v>6</v>
      </c>
      <c r="U1585" t="s">
        <v>32</v>
      </c>
      <c r="V1585" t="s">
        <v>42</v>
      </c>
    </row>
    <row r="1586" spans="1:23" x14ac:dyDescent="0.25">
      <c r="A1586" t="s">
        <v>2228</v>
      </c>
      <c r="B1586" s="1">
        <v>45772</v>
      </c>
      <c r="C1586" t="s">
        <v>1339</v>
      </c>
      <c r="D1586" t="s">
        <v>67</v>
      </c>
      <c r="E1586" t="s">
        <v>26</v>
      </c>
      <c r="F1586" t="s">
        <v>37</v>
      </c>
      <c r="G1586" t="s">
        <v>313</v>
      </c>
      <c r="H1586">
        <v>2</v>
      </c>
      <c r="I1586">
        <v>10147</v>
      </c>
      <c r="J1586">
        <v>20</v>
      </c>
      <c r="K1586">
        <v>4058.8</v>
      </c>
      <c r="L1586">
        <v>16235.2</v>
      </c>
      <c r="M1586">
        <v>9574.9699999999993</v>
      </c>
      <c r="N1586">
        <v>6660.23</v>
      </c>
      <c r="O1586" t="s">
        <v>60</v>
      </c>
      <c r="P1586">
        <v>313.45</v>
      </c>
      <c r="Q1586" t="s">
        <v>73</v>
      </c>
      <c r="R1586" t="s">
        <v>41</v>
      </c>
      <c r="S1586">
        <v>2</v>
      </c>
      <c r="T1586">
        <v>2</v>
      </c>
      <c r="U1586" t="s">
        <v>32</v>
      </c>
      <c r="V1586" t="s">
        <v>33</v>
      </c>
      <c r="W1586">
        <v>5</v>
      </c>
    </row>
    <row r="1587" spans="1:23" x14ac:dyDescent="0.25">
      <c r="A1587" t="s">
        <v>2229</v>
      </c>
      <c r="B1587" s="1">
        <v>45713</v>
      </c>
      <c r="C1587" t="s">
        <v>668</v>
      </c>
      <c r="D1587" t="s">
        <v>45</v>
      </c>
      <c r="E1587" t="s">
        <v>46</v>
      </c>
      <c r="F1587" t="s">
        <v>53</v>
      </c>
      <c r="G1587" t="s">
        <v>82</v>
      </c>
      <c r="H1587">
        <v>3</v>
      </c>
      <c r="I1587">
        <v>96986</v>
      </c>
      <c r="J1587">
        <v>15</v>
      </c>
      <c r="K1587">
        <v>43643.7</v>
      </c>
      <c r="L1587">
        <v>247314.3</v>
      </c>
      <c r="M1587">
        <v>153164.15</v>
      </c>
      <c r="N1587">
        <v>94150.15</v>
      </c>
      <c r="O1587" t="s">
        <v>91</v>
      </c>
      <c r="P1587">
        <v>451.13</v>
      </c>
      <c r="Q1587" t="s">
        <v>40</v>
      </c>
      <c r="R1587" t="s">
        <v>41</v>
      </c>
      <c r="S1587">
        <v>2</v>
      </c>
      <c r="T1587">
        <v>3</v>
      </c>
      <c r="U1587" t="s">
        <v>56</v>
      </c>
      <c r="V1587" t="s">
        <v>33</v>
      </c>
      <c r="W1587">
        <v>3</v>
      </c>
    </row>
    <row r="1588" spans="1:23" x14ac:dyDescent="0.25">
      <c r="A1588" t="s">
        <v>2230</v>
      </c>
      <c r="B1588" s="1">
        <v>45837</v>
      </c>
      <c r="C1588" t="s">
        <v>213</v>
      </c>
      <c r="D1588" t="s">
        <v>25</v>
      </c>
      <c r="E1588" t="s">
        <v>36</v>
      </c>
      <c r="F1588" t="s">
        <v>53</v>
      </c>
      <c r="G1588" t="s">
        <v>54</v>
      </c>
      <c r="H1588">
        <v>2</v>
      </c>
      <c r="I1588">
        <v>88852</v>
      </c>
      <c r="J1588">
        <v>0</v>
      </c>
      <c r="K1588">
        <v>0</v>
      </c>
      <c r="L1588">
        <v>177704</v>
      </c>
      <c r="M1588">
        <v>144050.26999999999</v>
      </c>
      <c r="N1588">
        <v>33653.730000000003</v>
      </c>
      <c r="O1588" t="s">
        <v>49</v>
      </c>
      <c r="P1588">
        <v>153.26</v>
      </c>
      <c r="Q1588" t="s">
        <v>68</v>
      </c>
      <c r="R1588" t="s">
        <v>41</v>
      </c>
      <c r="S1588">
        <v>2</v>
      </c>
      <c r="T1588">
        <v>5</v>
      </c>
      <c r="U1588" t="s">
        <v>32</v>
      </c>
      <c r="V1588" t="s">
        <v>50</v>
      </c>
      <c r="W1588">
        <v>1</v>
      </c>
    </row>
    <row r="1589" spans="1:23" x14ac:dyDescent="0.25">
      <c r="A1589" t="s">
        <v>2231</v>
      </c>
      <c r="B1589" s="1">
        <v>45942</v>
      </c>
      <c r="C1589" t="s">
        <v>129</v>
      </c>
      <c r="D1589" t="s">
        <v>90</v>
      </c>
      <c r="E1589" t="s">
        <v>26</v>
      </c>
      <c r="F1589" t="s">
        <v>86</v>
      </c>
      <c r="G1589" t="s">
        <v>180</v>
      </c>
      <c r="H1589">
        <v>2</v>
      </c>
      <c r="I1589">
        <v>81218</v>
      </c>
      <c r="J1589">
        <v>15</v>
      </c>
      <c r="K1589">
        <v>24365.4</v>
      </c>
      <c r="L1589">
        <v>138070.6</v>
      </c>
      <c r="M1589">
        <v>112974.46</v>
      </c>
      <c r="N1589">
        <v>25096.14</v>
      </c>
      <c r="O1589" t="s">
        <v>55</v>
      </c>
      <c r="P1589">
        <v>2395.31</v>
      </c>
      <c r="Q1589" t="s">
        <v>30</v>
      </c>
      <c r="R1589" t="s">
        <v>41</v>
      </c>
      <c r="S1589">
        <v>2</v>
      </c>
      <c r="T1589">
        <v>1</v>
      </c>
      <c r="U1589" t="s">
        <v>32</v>
      </c>
      <c r="V1589" t="s">
        <v>33</v>
      </c>
      <c r="W1589">
        <v>4</v>
      </c>
    </row>
    <row r="1590" spans="1:23" x14ac:dyDescent="0.25">
      <c r="A1590" t="s">
        <v>2232</v>
      </c>
      <c r="B1590" s="1">
        <v>45846</v>
      </c>
      <c r="C1590" t="s">
        <v>345</v>
      </c>
      <c r="D1590" t="s">
        <v>25</v>
      </c>
      <c r="E1590" t="s">
        <v>46</v>
      </c>
      <c r="F1590" t="s">
        <v>86</v>
      </c>
      <c r="G1590" t="s">
        <v>87</v>
      </c>
      <c r="H1590">
        <v>1</v>
      </c>
      <c r="I1590">
        <v>24159</v>
      </c>
      <c r="J1590">
        <v>0</v>
      </c>
      <c r="K1590">
        <v>0</v>
      </c>
      <c r="L1590">
        <v>24159</v>
      </c>
      <c r="M1590">
        <v>15906.6</v>
      </c>
      <c r="N1590">
        <v>8252.4</v>
      </c>
      <c r="O1590" t="s">
        <v>91</v>
      </c>
      <c r="P1590">
        <v>460.09</v>
      </c>
      <c r="Q1590" t="s">
        <v>40</v>
      </c>
      <c r="R1590" t="s">
        <v>31</v>
      </c>
      <c r="S1590">
        <v>5</v>
      </c>
      <c r="T1590">
        <v>3</v>
      </c>
      <c r="U1590" t="s">
        <v>32</v>
      </c>
      <c r="V1590" t="s">
        <v>33</v>
      </c>
      <c r="W1590">
        <v>2</v>
      </c>
    </row>
    <row r="1591" spans="1:23" x14ac:dyDescent="0.25">
      <c r="A1591" t="s">
        <v>2233</v>
      </c>
      <c r="B1591" s="1">
        <v>45716</v>
      </c>
      <c r="C1591" t="s">
        <v>1554</v>
      </c>
      <c r="D1591" t="s">
        <v>67</v>
      </c>
      <c r="E1591" t="s">
        <v>26</v>
      </c>
      <c r="F1591" t="s">
        <v>53</v>
      </c>
      <c r="G1591" t="s">
        <v>82</v>
      </c>
      <c r="H1591">
        <v>1</v>
      </c>
      <c r="I1591">
        <v>27555</v>
      </c>
      <c r="J1591">
        <v>25</v>
      </c>
      <c r="K1591">
        <v>6888.75</v>
      </c>
      <c r="L1591">
        <v>20666.25</v>
      </c>
      <c r="M1591">
        <v>12654.22</v>
      </c>
      <c r="N1591">
        <v>8012.03</v>
      </c>
      <c r="O1591" t="s">
        <v>39</v>
      </c>
      <c r="P1591">
        <v>1769.62</v>
      </c>
      <c r="Q1591" t="s">
        <v>40</v>
      </c>
      <c r="R1591" t="s">
        <v>41</v>
      </c>
      <c r="S1591">
        <v>2</v>
      </c>
      <c r="T1591">
        <v>1</v>
      </c>
      <c r="U1591" t="s">
        <v>32</v>
      </c>
      <c r="V1591" t="s">
        <v>42</v>
      </c>
    </row>
    <row r="1592" spans="1:23" x14ac:dyDescent="0.25">
      <c r="A1592" t="s">
        <v>2234</v>
      </c>
      <c r="B1592" s="1">
        <v>45800</v>
      </c>
      <c r="C1592" t="s">
        <v>1443</v>
      </c>
      <c r="D1592" t="s">
        <v>25</v>
      </c>
      <c r="E1592" t="s">
        <v>46</v>
      </c>
      <c r="F1592" t="s">
        <v>53</v>
      </c>
      <c r="G1592" t="s">
        <v>151</v>
      </c>
      <c r="H1592">
        <v>2</v>
      </c>
      <c r="I1592">
        <v>20070</v>
      </c>
      <c r="J1592">
        <v>15</v>
      </c>
      <c r="K1592">
        <v>6021</v>
      </c>
      <c r="L1592">
        <v>34119</v>
      </c>
      <c r="M1592">
        <v>24052.38</v>
      </c>
      <c r="N1592">
        <v>10066.620000000001</v>
      </c>
      <c r="O1592" t="s">
        <v>60</v>
      </c>
      <c r="P1592">
        <v>2214.9899999999998</v>
      </c>
      <c r="Q1592" t="s">
        <v>83</v>
      </c>
      <c r="R1592" t="s">
        <v>41</v>
      </c>
      <c r="S1592">
        <v>2</v>
      </c>
      <c r="T1592">
        <v>0</v>
      </c>
      <c r="U1592" t="s">
        <v>32</v>
      </c>
      <c r="V1592" t="s">
        <v>50</v>
      </c>
      <c r="W1592">
        <v>1</v>
      </c>
    </row>
    <row r="1593" spans="1:23" x14ac:dyDescent="0.25">
      <c r="A1593" t="s">
        <v>2235</v>
      </c>
      <c r="B1593" s="1">
        <v>45951</v>
      </c>
      <c r="C1593" t="s">
        <v>1940</v>
      </c>
      <c r="D1593" t="s">
        <v>154</v>
      </c>
      <c r="E1593" t="s">
        <v>46</v>
      </c>
      <c r="F1593" t="s">
        <v>86</v>
      </c>
      <c r="G1593" t="s">
        <v>180</v>
      </c>
      <c r="H1593">
        <v>1</v>
      </c>
      <c r="I1593">
        <v>73269</v>
      </c>
      <c r="J1593">
        <v>0</v>
      </c>
      <c r="K1593">
        <v>0</v>
      </c>
      <c r="L1593">
        <v>73269</v>
      </c>
      <c r="M1593">
        <v>58730.06</v>
      </c>
      <c r="N1593">
        <v>14538.94</v>
      </c>
      <c r="O1593" t="s">
        <v>29</v>
      </c>
      <c r="P1593">
        <v>1333.4</v>
      </c>
      <c r="Q1593" t="s">
        <v>30</v>
      </c>
      <c r="R1593" t="s">
        <v>41</v>
      </c>
      <c r="S1593">
        <v>2</v>
      </c>
      <c r="T1593">
        <v>1</v>
      </c>
      <c r="U1593" t="s">
        <v>32</v>
      </c>
      <c r="V1593" t="s">
        <v>33</v>
      </c>
      <c r="W1593">
        <v>1</v>
      </c>
    </row>
    <row r="1594" spans="1:23" x14ac:dyDescent="0.25">
      <c r="A1594" t="s">
        <v>2236</v>
      </c>
      <c r="B1594" s="1">
        <v>45773</v>
      </c>
      <c r="C1594" t="s">
        <v>70</v>
      </c>
      <c r="D1594" t="s">
        <v>124</v>
      </c>
      <c r="E1594" t="s">
        <v>46</v>
      </c>
      <c r="F1594" t="s">
        <v>53</v>
      </c>
      <c r="G1594" t="s">
        <v>54</v>
      </c>
      <c r="H1594">
        <v>1</v>
      </c>
      <c r="I1594">
        <v>16468</v>
      </c>
      <c r="J1594">
        <v>10</v>
      </c>
      <c r="K1594">
        <v>1646.8</v>
      </c>
      <c r="L1594">
        <v>14821.2</v>
      </c>
      <c r="M1594">
        <v>11793.53</v>
      </c>
      <c r="N1594">
        <v>3027.67</v>
      </c>
      <c r="O1594" t="s">
        <v>55</v>
      </c>
      <c r="P1594">
        <v>414.41</v>
      </c>
      <c r="Q1594" t="s">
        <v>30</v>
      </c>
      <c r="R1594" t="s">
        <v>41</v>
      </c>
      <c r="S1594">
        <v>2</v>
      </c>
      <c r="T1594">
        <v>0</v>
      </c>
      <c r="U1594" t="s">
        <v>32</v>
      </c>
      <c r="V1594" t="s">
        <v>50</v>
      </c>
      <c r="W1594">
        <v>3</v>
      </c>
    </row>
    <row r="1595" spans="1:23" x14ac:dyDescent="0.25">
      <c r="A1595" t="s">
        <v>2237</v>
      </c>
      <c r="B1595" s="1">
        <v>45877</v>
      </c>
      <c r="C1595" t="s">
        <v>711</v>
      </c>
      <c r="D1595" t="s">
        <v>97</v>
      </c>
      <c r="E1595" t="s">
        <v>46</v>
      </c>
      <c r="F1595" t="s">
        <v>86</v>
      </c>
      <c r="G1595" t="s">
        <v>110</v>
      </c>
      <c r="H1595">
        <v>1</v>
      </c>
      <c r="I1595">
        <v>39930</v>
      </c>
      <c r="J1595">
        <v>15</v>
      </c>
      <c r="K1595">
        <v>5989.5</v>
      </c>
      <c r="L1595">
        <v>33940.5</v>
      </c>
      <c r="M1595">
        <v>22859.82</v>
      </c>
      <c r="N1595">
        <v>11080.68</v>
      </c>
      <c r="O1595" t="s">
        <v>29</v>
      </c>
      <c r="P1595">
        <v>221.6</v>
      </c>
      <c r="Q1595" t="s">
        <v>73</v>
      </c>
      <c r="R1595" t="s">
        <v>41</v>
      </c>
      <c r="S1595">
        <v>2</v>
      </c>
      <c r="T1595">
        <v>6</v>
      </c>
      <c r="U1595" t="s">
        <v>32</v>
      </c>
      <c r="V1595" t="s">
        <v>50</v>
      </c>
      <c r="W1595">
        <v>1</v>
      </c>
    </row>
    <row r="1596" spans="1:23" x14ac:dyDescent="0.25">
      <c r="A1596" t="s">
        <v>2238</v>
      </c>
      <c r="B1596" s="1">
        <v>45945</v>
      </c>
      <c r="C1596" t="s">
        <v>1805</v>
      </c>
      <c r="D1596" t="s">
        <v>45</v>
      </c>
      <c r="E1596" t="s">
        <v>26</v>
      </c>
      <c r="F1596" t="s">
        <v>47</v>
      </c>
      <c r="G1596" t="s">
        <v>48</v>
      </c>
      <c r="H1596">
        <v>2</v>
      </c>
      <c r="I1596">
        <v>22281</v>
      </c>
      <c r="J1596">
        <v>5</v>
      </c>
      <c r="K1596">
        <v>2228.1</v>
      </c>
      <c r="L1596">
        <v>42333.9</v>
      </c>
      <c r="M1596">
        <v>23793.51</v>
      </c>
      <c r="N1596">
        <v>18540.39</v>
      </c>
      <c r="O1596" t="s">
        <v>49</v>
      </c>
      <c r="P1596">
        <v>311.06</v>
      </c>
      <c r="Q1596" t="s">
        <v>30</v>
      </c>
      <c r="R1596" t="s">
        <v>31</v>
      </c>
      <c r="S1596">
        <v>5</v>
      </c>
      <c r="T1596">
        <v>1</v>
      </c>
      <c r="U1596" t="s">
        <v>32</v>
      </c>
      <c r="V1596" t="s">
        <v>33</v>
      </c>
      <c r="W1596">
        <v>3</v>
      </c>
    </row>
    <row r="1597" spans="1:23" x14ac:dyDescent="0.25">
      <c r="A1597" t="s">
        <v>2239</v>
      </c>
      <c r="B1597" s="1">
        <v>45976</v>
      </c>
      <c r="C1597" t="s">
        <v>1311</v>
      </c>
      <c r="D1597" t="s">
        <v>63</v>
      </c>
      <c r="E1597" t="s">
        <v>46</v>
      </c>
      <c r="F1597" t="s">
        <v>27</v>
      </c>
      <c r="G1597" t="s">
        <v>72</v>
      </c>
      <c r="H1597">
        <v>1</v>
      </c>
      <c r="I1597">
        <v>4915</v>
      </c>
      <c r="J1597">
        <v>20</v>
      </c>
      <c r="K1597">
        <v>983</v>
      </c>
      <c r="L1597">
        <v>3932</v>
      </c>
      <c r="M1597">
        <v>2932.67</v>
      </c>
      <c r="N1597">
        <v>999.33</v>
      </c>
      <c r="O1597" t="s">
        <v>39</v>
      </c>
      <c r="P1597">
        <v>413.28</v>
      </c>
      <c r="Q1597" t="s">
        <v>73</v>
      </c>
      <c r="R1597" t="s">
        <v>31</v>
      </c>
      <c r="S1597">
        <v>5</v>
      </c>
      <c r="T1597">
        <v>2</v>
      </c>
      <c r="U1597" t="s">
        <v>32</v>
      </c>
      <c r="V1597" t="s">
        <v>33</v>
      </c>
      <c r="W1597">
        <v>5</v>
      </c>
    </row>
    <row r="1598" spans="1:23" x14ac:dyDescent="0.25">
      <c r="A1598" t="s">
        <v>2240</v>
      </c>
      <c r="B1598" s="1">
        <v>45972</v>
      </c>
      <c r="C1598" t="s">
        <v>1618</v>
      </c>
      <c r="D1598" t="s">
        <v>63</v>
      </c>
      <c r="E1598" t="s">
        <v>26</v>
      </c>
      <c r="F1598" t="s">
        <v>27</v>
      </c>
      <c r="G1598" t="s">
        <v>164</v>
      </c>
      <c r="H1598">
        <v>1</v>
      </c>
      <c r="I1598">
        <v>22496</v>
      </c>
      <c r="J1598">
        <v>20</v>
      </c>
      <c r="K1598">
        <v>4499.2</v>
      </c>
      <c r="L1598">
        <v>17996.8</v>
      </c>
      <c r="M1598">
        <v>11907.77</v>
      </c>
      <c r="N1598">
        <v>6089.03</v>
      </c>
      <c r="O1598" t="s">
        <v>91</v>
      </c>
      <c r="P1598">
        <v>317.82</v>
      </c>
      <c r="Q1598" t="s">
        <v>40</v>
      </c>
      <c r="R1598" t="s">
        <v>31</v>
      </c>
      <c r="S1598">
        <v>5</v>
      </c>
      <c r="T1598">
        <v>6</v>
      </c>
      <c r="U1598" t="s">
        <v>56</v>
      </c>
      <c r="V1598" t="s">
        <v>33</v>
      </c>
      <c r="W1598">
        <v>1</v>
      </c>
    </row>
    <row r="1599" spans="1:23" x14ac:dyDescent="0.25">
      <c r="A1599" t="s">
        <v>2241</v>
      </c>
      <c r="B1599" s="1">
        <v>46003</v>
      </c>
      <c r="C1599" t="s">
        <v>1769</v>
      </c>
      <c r="D1599" t="s">
        <v>67</v>
      </c>
      <c r="E1599" t="s">
        <v>46</v>
      </c>
      <c r="F1599" t="s">
        <v>27</v>
      </c>
      <c r="G1599" t="s">
        <v>113</v>
      </c>
      <c r="H1599">
        <v>2</v>
      </c>
      <c r="I1599">
        <v>8410</v>
      </c>
      <c r="J1599">
        <v>20</v>
      </c>
      <c r="K1599">
        <v>3364</v>
      </c>
      <c r="L1599">
        <v>13456</v>
      </c>
      <c r="M1599">
        <v>7951.95</v>
      </c>
      <c r="N1599">
        <v>5504.05</v>
      </c>
      <c r="O1599" t="s">
        <v>39</v>
      </c>
      <c r="P1599">
        <v>1365.89</v>
      </c>
      <c r="Q1599" t="s">
        <v>73</v>
      </c>
      <c r="R1599" t="s">
        <v>31</v>
      </c>
      <c r="S1599">
        <v>5</v>
      </c>
      <c r="T1599">
        <v>9</v>
      </c>
      <c r="U1599" t="s">
        <v>56</v>
      </c>
      <c r="V1599" t="s">
        <v>33</v>
      </c>
      <c r="W1599">
        <v>3</v>
      </c>
    </row>
    <row r="1600" spans="1:23" x14ac:dyDescent="0.25">
      <c r="A1600" t="s">
        <v>2242</v>
      </c>
      <c r="B1600" s="1">
        <v>45987</v>
      </c>
      <c r="C1600" t="s">
        <v>633</v>
      </c>
      <c r="D1600" t="s">
        <v>90</v>
      </c>
      <c r="E1600" t="s">
        <v>26</v>
      </c>
      <c r="F1600" t="s">
        <v>53</v>
      </c>
      <c r="G1600" t="s">
        <v>268</v>
      </c>
      <c r="H1600">
        <v>3</v>
      </c>
      <c r="I1600">
        <v>58836</v>
      </c>
      <c r="J1600">
        <v>0</v>
      </c>
      <c r="K1600">
        <v>0</v>
      </c>
      <c r="L1600">
        <v>176508</v>
      </c>
      <c r="M1600">
        <v>137247.28</v>
      </c>
      <c r="N1600">
        <v>39260.720000000001</v>
      </c>
      <c r="O1600" t="s">
        <v>29</v>
      </c>
      <c r="P1600">
        <v>2393.87</v>
      </c>
      <c r="Q1600" t="s">
        <v>30</v>
      </c>
      <c r="R1600" t="s">
        <v>31</v>
      </c>
      <c r="S1600">
        <v>5</v>
      </c>
      <c r="T1600">
        <v>5</v>
      </c>
      <c r="U1600" t="s">
        <v>32</v>
      </c>
      <c r="V1600" t="s">
        <v>33</v>
      </c>
      <c r="W1600">
        <v>5</v>
      </c>
    </row>
    <row r="1601" spans="1:23" x14ac:dyDescent="0.25">
      <c r="A1601" t="s">
        <v>2243</v>
      </c>
      <c r="B1601" s="1">
        <v>45943</v>
      </c>
      <c r="C1601" t="s">
        <v>506</v>
      </c>
      <c r="D1601" t="s">
        <v>154</v>
      </c>
      <c r="E1601" t="s">
        <v>26</v>
      </c>
      <c r="F1601" t="s">
        <v>53</v>
      </c>
      <c r="G1601" t="s">
        <v>268</v>
      </c>
      <c r="H1601">
        <v>1</v>
      </c>
      <c r="I1601">
        <v>90893</v>
      </c>
      <c r="J1601">
        <v>10</v>
      </c>
      <c r="K1601">
        <v>9089.2999999999993</v>
      </c>
      <c r="L1601">
        <v>81803.7</v>
      </c>
      <c r="M1601">
        <v>55337.31</v>
      </c>
      <c r="N1601">
        <v>26466.39</v>
      </c>
      <c r="O1601" t="s">
        <v>60</v>
      </c>
      <c r="P1601">
        <v>2254.08</v>
      </c>
      <c r="Q1601" t="s">
        <v>30</v>
      </c>
      <c r="R1601" t="s">
        <v>31</v>
      </c>
      <c r="S1601">
        <v>5</v>
      </c>
      <c r="T1601">
        <v>4</v>
      </c>
      <c r="U1601" t="s">
        <v>32</v>
      </c>
      <c r="V1601" t="s">
        <v>50</v>
      </c>
      <c r="W1601">
        <v>5</v>
      </c>
    </row>
    <row r="1602" spans="1:23" x14ac:dyDescent="0.25">
      <c r="A1602" t="s">
        <v>2244</v>
      </c>
      <c r="B1602" s="1">
        <v>45671</v>
      </c>
      <c r="C1602" t="s">
        <v>1148</v>
      </c>
      <c r="D1602" t="s">
        <v>67</v>
      </c>
      <c r="E1602" t="s">
        <v>26</v>
      </c>
      <c r="F1602" t="s">
        <v>47</v>
      </c>
      <c r="G1602" t="s">
        <v>105</v>
      </c>
      <c r="H1602">
        <v>3</v>
      </c>
      <c r="I1602">
        <v>36100</v>
      </c>
      <c r="J1602">
        <v>0</v>
      </c>
      <c r="K1602">
        <v>0</v>
      </c>
      <c r="L1602">
        <v>108300</v>
      </c>
      <c r="M1602">
        <v>87237.29</v>
      </c>
      <c r="N1602">
        <v>21062.71</v>
      </c>
      <c r="O1602" t="s">
        <v>60</v>
      </c>
      <c r="P1602">
        <v>499.04</v>
      </c>
      <c r="Q1602" t="s">
        <v>40</v>
      </c>
      <c r="R1602" t="s">
        <v>41</v>
      </c>
      <c r="S1602">
        <v>2</v>
      </c>
      <c r="T1602">
        <v>1</v>
      </c>
      <c r="U1602" t="s">
        <v>32</v>
      </c>
      <c r="V1602" t="s">
        <v>33</v>
      </c>
      <c r="W1602">
        <v>1</v>
      </c>
    </row>
    <row r="1603" spans="1:23" x14ac:dyDescent="0.25">
      <c r="A1603" t="s">
        <v>2245</v>
      </c>
      <c r="B1603" s="1">
        <v>45969</v>
      </c>
      <c r="C1603" t="s">
        <v>937</v>
      </c>
      <c r="D1603" t="s">
        <v>90</v>
      </c>
      <c r="E1603" t="s">
        <v>26</v>
      </c>
      <c r="F1603" t="s">
        <v>27</v>
      </c>
      <c r="G1603" t="s">
        <v>76</v>
      </c>
      <c r="H1603">
        <v>3</v>
      </c>
      <c r="I1603">
        <v>8872</v>
      </c>
      <c r="J1603">
        <v>5</v>
      </c>
      <c r="K1603">
        <v>1330.8</v>
      </c>
      <c r="L1603">
        <v>25285.200000000001</v>
      </c>
      <c r="M1603">
        <v>18579.34</v>
      </c>
      <c r="N1603">
        <v>6705.86</v>
      </c>
      <c r="O1603" t="s">
        <v>60</v>
      </c>
      <c r="P1603">
        <v>529.12</v>
      </c>
      <c r="Q1603" t="s">
        <v>40</v>
      </c>
      <c r="R1603" t="s">
        <v>31</v>
      </c>
      <c r="S1603">
        <v>5</v>
      </c>
      <c r="T1603">
        <v>7</v>
      </c>
      <c r="U1603" t="s">
        <v>56</v>
      </c>
      <c r="V1603" t="s">
        <v>33</v>
      </c>
      <c r="W1603">
        <v>5</v>
      </c>
    </row>
    <row r="1604" spans="1:23" x14ac:dyDescent="0.25">
      <c r="A1604" t="s">
        <v>2246</v>
      </c>
      <c r="B1604" s="1">
        <v>45994</v>
      </c>
      <c r="C1604" t="s">
        <v>1850</v>
      </c>
      <c r="D1604" t="s">
        <v>63</v>
      </c>
      <c r="E1604" t="s">
        <v>46</v>
      </c>
      <c r="F1604" t="s">
        <v>37</v>
      </c>
      <c r="G1604" t="s">
        <v>161</v>
      </c>
      <c r="H1604">
        <v>1</v>
      </c>
      <c r="I1604">
        <v>20946</v>
      </c>
      <c r="J1604">
        <v>5</v>
      </c>
      <c r="K1604">
        <v>1047.3</v>
      </c>
      <c r="L1604">
        <v>19898.7</v>
      </c>
      <c r="M1604">
        <v>14597.96</v>
      </c>
      <c r="N1604">
        <v>5300.74</v>
      </c>
      <c r="O1604" t="s">
        <v>60</v>
      </c>
      <c r="P1604">
        <v>990.72</v>
      </c>
      <c r="Q1604" t="s">
        <v>68</v>
      </c>
      <c r="R1604" t="s">
        <v>41</v>
      </c>
      <c r="S1604">
        <v>2</v>
      </c>
      <c r="T1604">
        <v>1</v>
      </c>
      <c r="U1604" t="s">
        <v>32</v>
      </c>
      <c r="V1604" t="s">
        <v>33</v>
      </c>
      <c r="W1604">
        <v>5</v>
      </c>
    </row>
    <row r="1605" spans="1:23" x14ac:dyDescent="0.25">
      <c r="A1605" t="s">
        <v>2247</v>
      </c>
      <c r="B1605" s="1">
        <v>46013</v>
      </c>
      <c r="C1605" t="s">
        <v>351</v>
      </c>
      <c r="D1605" t="s">
        <v>97</v>
      </c>
      <c r="E1605" t="s">
        <v>46</v>
      </c>
      <c r="F1605" t="s">
        <v>47</v>
      </c>
      <c r="G1605" t="s">
        <v>48</v>
      </c>
      <c r="H1605">
        <v>1</v>
      </c>
      <c r="I1605">
        <v>12920</v>
      </c>
      <c r="J1605">
        <v>5</v>
      </c>
      <c r="K1605">
        <v>646</v>
      </c>
      <c r="L1605">
        <v>12274</v>
      </c>
      <c r="M1605">
        <v>8349.34</v>
      </c>
      <c r="N1605">
        <v>3924.66</v>
      </c>
      <c r="O1605" t="s">
        <v>60</v>
      </c>
      <c r="P1605">
        <v>1079.8399999999999</v>
      </c>
      <c r="Q1605" t="s">
        <v>73</v>
      </c>
      <c r="R1605" t="s">
        <v>31</v>
      </c>
      <c r="S1605">
        <v>5</v>
      </c>
      <c r="T1605">
        <v>3</v>
      </c>
      <c r="U1605" t="s">
        <v>32</v>
      </c>
      <c r="V1605" t="s">
        <v>33</v>
      </c>
      <c r="W1605">
        <v>5</v>
      </c>
    </row>
    <row r="1606" spans="1:23" x14ac:dyDescent="0.25">
      <c r="A1606" t="s">
        <v>2248</v>
      </c>
      <c r="B1606" s="1">
        <v>45794</v>
      </c>
      <c r="C1606" t="s">
        <v>478</v>
      </c>
      <c r="D1606" t="s">
        <v>25</v>
      </c>
      <c r="E1606" t="s">
        <v>26</v>
      </c>
      <c r="F1606" t="s">
        <v>86</v>
      </c>
      <c r="G1606" t="s">
        <v>110</v>
      </c>
      <c r="H1606">
        <v>2</v>
      </c>
      <c r="I1606">
        <v>19976</v>
      </c>
      <c r="J1606">
        <v>0</v>
      </c>
      <c r="K1606">
        <v>0</v>
      </c>
      <c r="L1606">
        <v>39952</v>
      </c>
      <c r="M1606">
        <v>24734.27</v>
      </c>
      <c r="N1606">
        <v>15217.73</v>
      </c>
      <c r="O1606" t="s">
        <v>39</v>
      </c>
      <c r="P1606">
        <v>2280.38</v>
      </c>
      <c r="Q1606" t="s">
        <v>40</v>
      </c>
      <c r="R1606" t="s">
        <v>41</v>
      </c>
      <c r="S1606">
        <v>2</v>
      </c>
      <c r="T1606">
        <v>1</v>
      </c>
      <c r="U1606" t="s">
        <v>32</v>
      </c>
      <c r="V1606" t="s">
        <v>33</v>
      </c>
      <c r="W1606">
        <v>3</v>
      </c>
    </row>
    <row r="1607" spans="1:23" x14ac:dyDescent="0.25">
      <c r="A1607" t="s">
        <v>2249</v>
      </c>
      <c r="B1607" s="1">
        <v>45672</v>
      </c>
      <c r="C1607" t="s">
        <v>160</v>
      </c>
      <c r="D1607" t="s">
        <v>67</v>
      </c>
      <c r="E1607" t="s">
        <v>26</v>
      </c>
      <c r="F1607" t="s">
        <v>53</v>
      </c>
      <c r="G1607" t="s">
        <v>59</v>
      </c>
      <c r="H1607">
        <v>1</v>
      </c>
      <c r="I1607">
        <v>26303</v>
      </c>
      <c r="J1607">
        <v>20</v>
      </c>
      <c r="K1607">
        <v>5260.6</v>
      </c>
      <c r="L1607">
        <v>21042.400000000001</v>
      </c>
      <c r="M1607">
        <v>14738.63</v>
      </c>
      <c r="N1607">
        <v>6303.77</v>
      </c>
      <c r="P1607">
        <v>1112.8399999999999</v>
      </c>
      <c r="Q1607" t="s">
        <v>68</v>
      </c>
      <c r="R1607" t="s">
        <v>41</v>
      </c>
      <c r="S1607">
        <v>2</v>
      </c>
      <c r="T1607">
        <v>1</v>
      </c>
      <c r="U1607" t="s">
        <v>32</v>
      </c>
      <c r="V1607" t="s">
        <v>33</v>
      </c>
      <c r="W1607">
        <v>5</v>
      </c>
    </row>
    <row r="1608" spans="1:23" x14ac:dyDescent="0.25">
      <c r="A1608" t="s">
        <v>2250</v>
      </c>
      <c r="B1608" s="1">
        <v>45750</v>
      </c>
      <c r="C1608" t="s">
        <v>1972</v>
      </c>
      <c r="D1608" t="s">
        <v>154</v>
      </c>
      <c r="E1608" t="s">
        <v>46</v>
      </c>
      <c r="F1608" t="s">
        <v>53</v>
      </c>
      <c r="G1608" t="s">
        <v>268</v>
      </c>
      <c r="H1608">
        <v>1</v>
      </c>
      <c r="I1608">
        <v>71984</v>
      </c>
      <c r="J1608">
        <v>25</v>
      </c>
      <c r="K1608">
        <v>17996</v>
      </c>
      <c r="L1608">
        <v>53988</v>
      </c>
      <c r="M1608">
        <v>35542.82</v>
      </c>
      <c r="N1608">
        <v>18445.18</v>
      </c>
      <c r="O1608" t="s">
        <v>55</v>
      </c>
      <c r="P1608">
        <v>1984.08</v>
      </c>
      <c r="Q1608" t="s">
        <v>68</v>
      </c>
      <c r="R1608" t="s">
        <v>31</v>
      </c>
      <c r="S1608">
        <v>5</v>
      </c>
      <c r="T1608">
        <v>5</v>
      </c>
      <c r="U1608" t="s">
        <v>32</v>
      </c>
      <c r="V1608" t="s">
        <v>33</v>
      </c>
      <c r="W1608">
        <v>5</v>
      </c>
    </row>
    <row r="1609" spans="1:23" x14ac:dyDescent="0.25">
      <c r="A1609" t="s">
        <v>2251</v>
      </c>
      <c r="B1609" s="1">
        <v>45797</v>
      </c>
      <c r="C1609" t="s">
        <v>1177</v>
      </c>
      <c r="D1609" t="s">
        <v>97</v>
      </c>
      <c r="E1609" t="s">
        <v>46</v>
      </c>
      <c r="F1609" t="s">
        <v>37</v>
      </c>
      <c r="G1609" t="s">
        <v>100</v>
      </c>
      <c r="H1609">
        <v>3</v>
      </c>
      <c r="I1609">
        <v>14322</v>
      </c>
      <c r="J1609">
        <v>10</v>
      </c>
      <c r="K1609">
        <v>4296.6000000000004</v>
      </c>
      <c r="L1609">
        <v>38669.4</v>
      </c>
      <c r="M1609">
        <v>27192.080000000002</v>
      </c>
      <c r="N1609">
        <v>11477.32</v>
      </c>
      <c r="O1609" t="s">
        <v>60</v>
      </c>
      <c r="P1609">
        <v>2080.1</v>
      </c>
      <c r="Q1609" t="s">
        <v>30</v>
      </c>
      <c r="R1609" t="s">
        <v>31</v>
      </c>
      <c r="S1609">
        <v>5</v>
      </c>
      <c r="T1609">
        <v>8</v>
      </c>
      <c r="U1609" t="s">
        <v>56</v>
      </c>
      <c r="V1609" t="s">
        <v>33</v>
      </c>
      <c r="W1609">
        <v>5</v>
      </c>
    </row>
    <row r="1610" spans="1:23" x14ac:dyDescent="0.25">
      <c r="A1610" t="s">
        <v>2252</v>
      </c>
      <c r="B1610" s="1">
        <v>46017</v>
      </c>
      <c r="C1610" t="s">
        <v>887</v>
      </c>
      <c r="D1610" t="s">
        <v>63</v>
      </c>
      <c r="E1610" t="s">
        <v>46</v>
      </c>
      <c r="F1610" t="s">
        <v>37</v>
      </c>
      <c r="G1610" t="s">
        <v>100</v>
      </c>
      <c r="H1610">
        <v>1</v>
      </c>
      <c r="I1610">
        <v>37197</v>
      </c>
      <c r="J1610">
        <v>0</v>
      </c>
      <c r="K1610">
        <v>0</v>
      </c>
      <c r="L1610">
        <v>37197</v>
      </c>
      <c r="M1610">
        <v>25188.77</v>
      </c>
      <c r="N1610">
        <v>12008.23</v>
      </c>
      <c r="O1610" t="s">
        <v>55</v>
      </c>
      <c r="P1610">
        <v>1813.64</v>
      </c>
      <c r="Q1610" t="s">
        <v>68</v>
      </c>
      <c r="R1610" t="s">
        <v>41</v>
      </c>
      <c r="S1610">
        <v>2</v>
      </c>
      <c r="T1610">
        <v>2</v>
      </c>
      <c r="U1610" t="s">
        <v>32</v>
      </c>
      <c r="V1610" t="s">
        <v>33</v>
      </c>
      <c r="W1610">
        <v>1</v>
      </c>
    </row>
    <row r="1611" spans="1:23" x14ac:dyDescent="0.25">
      <c r="A1611" t="s">
        <v>2253</v>
      </c>
      <c r="B1611" s="1">
        <v>45816</v>
      </c>
      <c r="C1611" t="s">
        <v>555</v>
      </c>
      <c r="D1611" t="s">
        <v>25</v>
      </c>
      <c r="E1611" t="s">
        <v>46</v>
      </c>
      <c r="F1611" t="s">
        <v>37</v>
      </c>
      <c r="G1611" t="s">
        <v>100</v>
      </c>
      <c r="H1611">
        <v>3</v>
      </c>
      <c r="I1611">
        <v>4237</v>
      </c>
      <c r="J1611">
        <v>0</v>
      </c>
      <c r="K1611">
        <v>0</v>
      </c>
      <c r="L1611">
        <v>12711</v>
      </c>
      <c r="M1611">
        <v>9472.91</v>
      </c>
      <c r="N1611">
        <v>3238.09</v>
      </c>
      <c r="O1611" t="s">
        <v>49</v>
      </c>
      <c r="P1611">
        <v>214.96</v>
      </c>
      <c r="Q1611" t="s">
        <v>73</v>
      </c>
      <c r="R1611" t="s">
        <v>41</v>
      </c>
      <c r="S1611">
        <v>2</v>
      </c>
      <c r="T1611">
        <v>1</v>
      </c>
      <c r="U1611" t="s">
        <v>32</v>
      </c>
      <c r="V1611" t="s">
        <v>33</v>
      </c>
      <c r="W1611">
        <v>3</v>
      </c>
    </row>
    <row r="1612" spans="1:23" x14ac:dyDescent="0.25">
      <c r="A1612" t="s">
        <v>2254</v>
      </c>
      <c r="B1612" s="1">
        <v>45831</v>
      </c>
      <c r="C1612" t="s">
        <v>205</v>
      </c>
      <c r="D1612" t="s">
        <v>97</v>
      </c>
      <c r="E1612" t="s">
        <v>26</v>
      </c>
      <c r="F1612" t="s">
        <v>53</v>
      </c>
      <c r="G1612" t="s">
        <v>54</v>
      </c>
      <c r="H1612">
        <v>2</v>
      </c>
      <c r="I1612">
        <v>100249</v>
      </c>
      <c r="J1612">
        <v>15</v>
      </c>
      <c r="K1612">
        <v>30074.7</v>
      </c>
      <c r="L1612">
        <v>170423.3</v>
      </c>
      <c r="M1612">
        <v>99788.67</v>
      </c>
      <c r="N1612">
        <v>70634.63</v>
      </c>
      <c r="O1612" t="s">
        <v>60</v>
      </c>
      <c r="P1612">
        <v>1901.36</v>
      </c>
      <c r="Q1612" t="s">
        <v>83</v>
      </c>
      <c r="R1612" t="s">
        <v>41</v>
      </c>
      <c r="S1612">
        <v>2</v>
      </c>
      <c r="T1612">
        <v>1</v>
      </c>
      <c r="U1612" t="s">
        <v>32</v>
      </c>
      <c r="V1612" t="s">
        <v>33</v>
      </c>
      <c r="W1612">
        <v>5</v>
      </c>
    </row>
    <row r="1613" spans="1:23" x14ac:dyDescent="0.25">
      <c r="A1613" t="s">
        <v>2255</v>
      </c>
      <c r="B1613" s="1">
        <v>45837</v>
      </c>
      <c r="C1613" t="s">
        <v>119</v>
      </c>
      <c r="D1613" t="s">
        <v>45</v>
      </c>
      <c r="E1613" t="s">
        <v>46</v>
      </c>
      <c r="F1613" t="s">
        <v>86</v>
      </c>
      <c r="G1613" t="s">
        <v>87</v>
      </c>
      <c r="H1613">
        <v>1</v>
      </c>
      <c r="I1613">
        <v>58198</v>
      </c>
      <c r="J1613">
        <v>25</v>
      </c>
      <c r="K1613">
        <v>14549.5</v>
      </c>
      <c r="L1613">
        <v>43648.5</v>
      </c>
      <c r="M1613">
        <v>34714</v>
      </c>
      <c r="N1613">
        <v>8934.5</v>
      </c>
      <c r="O1613" t="s">
        <v>60</v>
      </c>
      <c r="P1613">
        <v>1448.56</v>
      </c>
      <c r="Q1613" t="s">
        <v>68</v>
      </c>
      <c r="R1613" t="s">
        <v>41</v>
      </c>
      <c r="S1613">
        <v>2</v>
      </c>
      <c r="T1613">
        <v>1</v>
      </c>
      <c r="U1613" t="s">
        <v>32</v>
      </c>
      <c r="V1613" t="s">
        <v>33</v>
      </c>
      <c r="W1613">
        <v>5</v>
      </c>
    </row>
    <row r="1614" spans="1:23" x14ac:dyDescent="0.25">
      <c r="A1614" t="s">
        <v>2256</v>
      </c>
      <c r="B1614" s="1">
        <v>45661</v>
      </c>
      <c r="C1614" t="s">
        <v>109</v>
      </c>
      <c r="D1614" t="s">
        <v>25</v>
      </c>
      <c r="E1614" t="s">
        <v>36</v>
      </c>
      <c r="F1614" t="s">
        <v>47</v>
      </c>
      <c r="G1614" t="s">
        <v>138</v>
      </c>
      <c r="H1614">
        <v>1</v>
      </c>
      <c r="I1614">
        <v>52140</v>
      </c>
      <c r="J1614">
        <v>25</v>
      </c>
      <c r="K1614">
        <v>13035</v>
      </c>
      <c r="L1614">
        <v>39105</v>
      </c>
      <c r="M1614">
        <v>28974.799999999999</v>
      </c>
      <c r="N1614">
        <v>10130.200000000001</v>
      </c>
      <c r="O1614" t="s">
        <v>29</v>
      </c>
      <c r="P1614">
        <v>2029.93</v>
      </c>
      <c r="Q1614" t="s">
        <v>73</v>
      </c>
      <c r="R1614" t="s">
        <v>41</v>
      </c>
      <c r="S1614">
        <v>2</v>
      </c>
      <c r="T1614">
        <v>3</v>
      </c>
      <c r="U1614" t="s">
        <v>56</v>
      </c>
      <c r="V1614" t="s">
        <v>33</v>
      </c>
      <c r="W1614">
        <v>1</v>
      </c>
    </row>
    <row r="1615" spans="1:23" x14ac:dyDescent="0.25">
      <c r="A1615" t="s">
        <v>2257</v>
      </c>
      <c r="B1615" s="1">
        <v>45750</v>
      </c>
      <c r="C1615" t="s">
        <v>864</v>
      </c>
      <c r="D1615" t="s">
        <v>124</v>
      </c>
      <c r="E1615" t="s">
        <v>46</v>
      </c>
      <c r="F1615" t="s">
        <v>86</v>
      </c>
      <c r="G1615" t="s">
        <v>127</v>
      </c>
      <c r="H1615">
        <v>1</v>
      </c>
      <c r="I1615">
        <v>75668</v>
      </c>
      <c r="J1615">
        <v>0</v>
      </c>
      <c r="K1615">
        <v>0</v>
      </c>
      <c r="L1615">
        <v>75668</v>
      </c>
      <c r="M1615">
        <v>54303.85</v>
      </c>
      <c r="N1615">
        <v>21364.15</v>
      </c>
      <c r="O1615" t="s">
        <v>91</v>
      </c>
      <c r="P1615">
        <v>1039.46</v>
      </c>
      <c r="Q1615" t="s">
        <v>83</v>
      </c>
      <c r="R1615" t="s">
        <v>31</v>
      </c>
      <c r="S1615">
        <v>5</v>
      </c>
      <c r="T1615">
        <v>4</v>
      </c>
      <c r="U1615" t="s">
        <v>32</v>
      </c>
      <c r="V1615" t="s">
        <v>33</v>
      </c>
      <c r="W1615">
        <v>1</v>
      </c>
    </row>
    <row r="1616" spans="1:23" x14ac:dyDescent="0.25">
      <c r="A1616" t="s">
        <v>2258</v>
      </c>
      <c r="B1616" s="1">
        <v>45731</v>
      </c>
      <c r="C1616" t="s">
        <v>1634</v>
      </c>
      <c r="D1616" t="s">
        <v>45</v>
      </c>
      <c r="E1616" t="s">
        <v>26</v>
      </c>
      <c r="F1616" t="s">
        <v>37</v>
      </c>
      <c r="G1616" t="s">
        <v>100</v>
      </c>
      <c r="H1616">
        <v>1</v>
      </c>
      <c r="I1616">
        <v>12565</v>
      </c>
      <c r="J1616">
        <v>0</v>
      </c>
      <c r="K1616">
        <v>0</v>
      </c>
      <c r="L1616">
        <v>12565</v>
      </c>
      <c r="M1616">
        <v>7315</v>
      </c>
      <c r="N1616">
        <v>5250</v>
      </c>
      <c r="O1616" t="s">
        <v>60</v>
      </c>
      <c r="P1616">
        <v>1864.79</v>
      </c>
      <c r="Q1616" t="s">
        <v>73</v>
      </c>
      <c r="R1616" t="s">
        <v>31</v>
      </c>
      <c r="S1616">
        <v>5</v>
      </c>
      <c r="T1616">
        <v>4</v>
      </c>
      <c r="U1616" t="s">
        <v>32</v>
      </c>
      <c r="V1616" t="s">
        <v>42</v>
      </c>
    </row>
    <row r="1617" spans="1:23" x14ac:dyDescent="0.25">
      <c r="A1617" t="s">
        <v>2259</v>
      </c>
      <c r="B1617" s="1">
        <v>45947</v>
      </c>
      <c r="C1617" t="s">
        <v>1324</v>
      </c>
      <c r="D1617" t="s">
        <v>154</v>
      </c>
      <c r="E1617" t="s">
        <v>46</v>
      </c>
      <c r="F1617" t="s">
        <v>47</v>
      </c>
      <c r="G1617" t="s">
        <v>146</v>
      </c>
      <c r="H1617">
        <v>1</v>
      </c>
      <c r="I1617">
        <v>44706</v>
      </c>
      <c r="J1617">
        <v>10</v>
      </c>
      <c r="K1617">
        <v>4470.6000000000004</v>
      </c>
      <c r="L1617">
        <v>40235.4</v>
      </c>
      <c r="M1617">
        <v>27621.23</v>
      </c>
      <c r="N1617">
        <v>12614.17</v>
      </c>
      <c r="O1617" t="s">
        <v>29</v>
      </c>
      <c r="P1617">
        <v>1431.71</v>
      </c>
      <c r="Q1617" t="s">
        <v>73</v>
      </c>
      <c r="R1617" t="s">
        <v>31</v>
      </c>
      <c r="S1617">
        <v>5</v>
      </c>
      <c r="T1617">
        <v>2</v>
      </c>
      <c r="U1617" t="s">
        <v>32</v>
      </c>
      <c r="V1617" t="s">
        <v>42</v>
      </c>
    </row>
    <row r="1618" spans="1:23" x14ac:dyDescent="0.25">
      <c r="A1618" t="s">
        <v>2260</v>
      </c>
      <c r="B1618" s="1">
        <v>45994</v>
      </c>
      <c r="C1618" t="s">
        <v>263</v>
      </c>
      <c r="D1618" t="s">
        <v>71</v>
      </c>
      <c r="E1618" t="s">
        <v>36</v>
      </c>
      <c r="F1618" t="s">
        <v>86</v>
      </c>
      <c r="G1618" t="s">
        <v>180</v>
      </c>
      <c r="H1618">
        <v>2</v>
      </c>
      <c r="I1618">
        <v>84845</v>
      </c>
      <c r="J1618">
        <v>20</v>
      </c>
      <c r="K1618">
        <v>33938</v>
      </c>
      <c r="L1618">
        <v>135752</v>
      </c>
      <c r="M1618">
        <v>86914.76</v>
      </c>
      <c r="N1618">
        <v>48837.24</v>
      </c>
      <c r="O1618" t="s">
        <v>91</v>
      </c>
      <c r="P1618">
        <v>2176.19</v>
      </c>
      <c r="Q1618" t="s">
        <v>73</v>
      </c>
      <c r="R1618" t="s">
        <v>41</v>
      </c>
      <c r="S1618">
        <v>2</v>
      </c>
      <c r="T1618">
        <v>2</v>
      </c>
      <c r="U1618" t="s">
        <v>32</v>
      </c>
      <c r="V1618" t="s">
        <v>33</v>
      </c>
      <c r="W1618">
        <v>5</v>
      </c>
    </row>
    <row r="1619" spans="1:23" x14ac:dyDescent="0.25">
      <c r="A1619" t="s">
        <v>2261</v>
      </c>
      <c r="B1619" s="1">
        <v>45863</v>
      </c>
      <c r="C1619" t="s">
        <v>1981</v>
      </c>
      <c r="D1619" t="s">
        <v>67</v>
      </c>
      <c r="E1619" t="s">
        <v>26</v>
      </c>
      <c r="F1619" t="s">
        <v>47</v>
      </c>
      <c r="G1619" t="s">
        <v>48</v>
      </c>
      <c r="H1619">
        <v>1</v>
      </c>
      <c r="I1619">
        <v>29664</v>
      </c>
      <c r="J1619">
        <v>25</v>
      </c>
      <c r="K1619">
        <v>7416</v>
      </c>
      <c r="L1619">
        <v>22248</v>
      </c>
      <c r="M1619">
        <v>13664.46</v>
      </c>
      <c r="N1619">
        <v>8583.5400000000009</v>
      </c>
      <c r="O1619" t="s">
        <v>91</v>
      </c>
      <c r="P1619">
        <v>1702.21</v>
      </c>
      <c r="Q1619" t="s">
        <v>30</v>
      </c>
      <c r="R1619" t="s">
        <v>31</v>
      </c>
      <c r="S1619">
        <v>5</v>
      </c>
      <c r="T1619">
        <v>3</v>
      </c>
      <c r="U1619" t="s">
        <v>32</v>
      </c>
      <c r="V1619" t="s">
        <v>33</v>
      </c>
      <c r="W1619">
        <v>3</v>
      </c>
    </row>
    <row r="1620" spans="1:23" x14ac:dyDescent="0.25">
      <c r="A1620" t="s">
        <v>2262</v>
      </c>
      <c r="B1620" s="1">
        <v>45693</v>
      </c>
      <c r="C1620" t="s">
        <v>193</v>
      </c>
      <c r="D1620" t="s">
        <v>67</v>
      </c>
      <c r="E1620" t="s">
        <v>46</v>
      </c>
      <c r="F1620" t="s">
        <v>27</v>
      </c>
      <c r="G1620" t="s">
        <v>76</v>
      </c>
      <c r="H1620">
        <v>2</v>
      </c>
      <c r="I1620">
        <v>9973</v>
      </c>
      <c r="J1620">
        <v>10</v>
      </c>
      <c r="K1620">
        <v>1994.6</v>
      </c>
      <c r="L1620">
        <v>17951.400000000001</v>
      </c>
      <c r="M1620">
        <v>12891.11</v>
      </c>
      <c r="N1620">
        <v>5060.29</v>
      </c>
      <c r="O1620" t="s">
        <v>60</v>
      </c>
      <c r="P1620">
        <v>1588.28</v>
      </c>
      <c r="Q1620" t="s">
        <v>30</v>
      </c>
      <c r="R1620" t="s">
        <v>41</v>
      </c>
      <c r="S1620">
        <v>2</v>
      </c>
      <c r="T1620">
        <v>1</v>
      </c>
      <c r="U1620" t="s">
        <v>32</v>
      </c>
      <c r="V1620" t="s">
        <v>33</v>
      </c>
      <c r="W1620">
        <v>2</v>
      </c>
    </row>
    <row r="1621" spans="1:23" x14ac:dyDescent="0.25">
      <c r="A1621" t="s">
        <v>2263</v>
      </c>
      <c r="B1621" s="1">
        <v>45730</v>
      </c>
      <c r="C1621" t="s">
        <v>2264</v>
      </c>
      <c r="D1621" t="s">
        <v>25</v>
      </c>
      <c r="E1621" t="s">
        <v>26</v>
      </c>
      <c r="F1621" t="s">
        <v>86</v>
      </c>
      <c r="G1621" t="s">
        <v>127</v>
      </c>
      <c r="H1621">
        <v>3</v>
      </c>
      <c r="I1621">
        <v>11637</v>
      </c>
      <c r="J1621">
        <v>5</v>
      </c>
      <c r="K1621">
        <v>1745.55</v>
      </c>
      <c r="L1621">
        <v>33165.449999999997</v>
      </c>
      <c r="M1621">
        <v>20660.650000000001</v>
      </c>
      <c r="N1621">
        <v>12504.8</v>
      </c>
      <c r="O1621" t="s">
        <v>60</v>
      </c>
      <c r="P1621">
        <v>882.71</v>
      </c>
      <c r="Q1621" t="s">
        <v>73</v>
      </c>
      <c r="R1621" t="s">
        <v>31</v>
      </c>
      <c r="S1621">
        <v>5</v>
      </c>
      <c r="T1621">
        <v>5</v>
      </c>
      <c r="U1621" t="s">
        <v>32</v>
      </c>
      <c r="V1621" t="s">
        <v>42</v>
      </c>
    </row>
    <row r="1622" spans="1:23" x14ac:dyDescent="0.25">
      <c r="A1622" t="s">
        <v>2265</v>
      </c>
      <c r="B1622" s="1">
        <v>45982</v>
      </c>
      <c r="C1622" t="s">
        <v>1026</v>
      </c>
      <c r="D1622" t="s">
        <v>90</v>
      </c>
      <c r="E1622" t="s">
        <v>46</v>
      </c>
      <c r="F1622" t="s">
        <v>27</v>
      </c>
      <c r="G1622" t="s">
        <v>28</v>
      </c>
      <c r="H1622">
        <v>1</v>
      </c>
      <c r="I1622">
        <v>5656</v>
      </c>
      <c r="J1622">
        <v>10</v>
      </c>
      <c r="K1622">
        <v>565.6</v>
      </c>
      <c r="L1622">
        <v>5090.3999999999996</v>
      </c>
      <c r="M1622">
        <v>3463.46</v>
      </c>
      <c r="N1622">
        <v>1626.94</v>
      </c>
      <c r="O1622" t="s">
        <v>49</v>
      </c>
      <c r="P1622">
        <v>179.59</v>
      </c>
      <c r="Q1622" t="s">
        <v>68</v>
      </c>
      <c r="R1622" t="s">
        <v>41</v>
      </c>
      <c r="S1622">
        <v>2</v>
      </c>
      <c r="T1622">
        <v>2</v>
      </c>
      <c r="U1622" t="s">
        <v>32</v>
      </c>
      <c r="V1622" t="s">
        <v>33</v>
      </c>
      <c r="W1622">
        <v>2</v>
      </c>
    </row>
    <row r="1623" spans="1:23" x14ac:dyDescent="0.25">
      <c r="A1623" t="s">
        <v>2266</v>
      </c>
      <c r="B1623" s="1">
        <v>45673</v>
      </c>
      <c r="C1623" t="s">
        <v>417</v>
      </c>
      <c r="D1623" t="s">
        <v>154</v>
      </c>
      <c r="E1623" t="s">
        <v>46</v>
      </c>
      <c r="F1623" t="s">
        <v>27</v>
      </c>
      <c r="G1623" t="s">
        <v>113</v>
      </c>
      <c r="H1623">
        <v>1</v>
      </c>
      <c r="I1623">
        <v>29120</v>
      </c>
      <c r="J1623">
        <v>0</v>
      </c>
      <c r="K1623">
        <v>0</v>
      </c>
      <c r="L1623">
        <v>29120</v>
      </c>
      <c r="M1623">
        <v>20697.53</v>
      </c>
      <c r="N1623">
        <v>8422.4699999999993</v>
      </c>
      <c r="O1623" t="s">
        <v>39</v>
      </c>
      <c r="P1623">
        <v>1647.92</v>
      </c>
      <c r="Q1623" t="s">
        <v>83</v>
      </c>
      <c r="R1623" t="s">
        <v>41</v>
      </c>
      <c r="S1623">
        <v>2</v>
      </c>
      <c r="T1623">
        <v>1</v>
      </c>
      <c r="U1623" t="s">
        <v>32</v>
      </c>
      <c r="V1623" t="s">
        <v>33</v>
      </c>
      <c r="W1623">
        <v>5</v>
      </c>
    </row>
    <row r="1624" spans="1:23" x14ac:dyDescent="0.25">
      <c r="A1624" t="s">
        <v>2267</v>
      </c>
      <c r="B1624" s="1">
        <v>45704</v>
      </c>
      <c r="C1624" t="s">
        <v>895</v>
      </c>
      <c r="D1624" t="s">
        <v>67</v>
      </c>
      <c r="E1624" t="s">
        <v>46</v>
      </c>
      <c r="F1624" t="s">
        <v>53</v>
      </c>
      <c r="G1624" t="s">
        <v>59</v>
      </c>
      <c r="H1624">
        <v>2</v>
      </c>
      <c r="I1624">
        <v>107584</v>
      </c>
      <c r="J1624">
        <v>10</v>
      </c>
      <c r="K1624">
        <v>21516.799999999999</v>
      </c>
      <c r="L1624">
        <v>193651.20000000001</v>
      </c>
      <c r="M1624">
        <v>154163.69</v>
      </c>
      <c r="N1624">
        <v>39487.51</v>
      </c>
      <c r="O1624" t="s">
        <v>91</v>
      </c>
      <c r="P1624">
        <v>955</v>
      </c>
      <c r="Q1624" t="s">
        <v>40</v>
      </c>
      <c r="R1624" t="s">
        <v>41</v>
      </c>
      <c r="S1624">
        <v>2</v>
      </c>
      <c r="T1624">
        <v>3</v>
      </c>
      <c r="U1624" t="s">
        <v>56</v>
      </c>
      <c r="V1624" t="s">
        <v>33</v>
      </c>
      <c r="W1624">
        <v>5</v>
      </c>
    </row>
    <row r="1625" spans="1:23" x14ac:dyDescent="0.25">
      <c r="A1625" t="s">
        <v>2268</v>
      </c>
      <c r="B1625" s="1">
        <v>45929</v>
      </c>
      <c r="C1625" t="s">
        <v>1160</v>
      </c>
      <c r="D1625" t="s">
        <v>97</v>
      </c>
      <c r="E1625" t="s">
        <v>46</v>
      </c>
      <c r="F1625" t="s">
        <v>53</v>
      </c>
      <c r="G1625" t="s">
        <v>151</v>
      </c>
      <c r="H1625">
        <v>2</v>
      </c>
      <c r="I1625">
        <v>38199</v>
      </c>
      <c r="J1625">
        <v>10</v>
      </c>
      <c r="K1625">
        <v>7639.8</v>
      </c>
      <c r="L1625">
        <v>68758.2</v>
      </c>
      <c r="M1625">
        <v>46140.97</v>
      </c>
      <c r="N1625">
        <v>22617.23</v>
      </c>
      <c r="O1625" t="s">
        <v>39</v>
      </c>
      <c r="P1625">
        <v>1522.98</v>
      </c>
      <c r="Q1625" t="s">
        <v>68</v>
      </c>
      <c r="R1625" t="s">
        <v>31</v>
      </c>
      <c r="S1625">
        <v>5</v>
      </c>
      <c r="T1625">
        <v>3</v>
      </c>
      <c r="U1625" t="s">
        <v>32</v>
      </c>
      <c r="V1625" t="s">
        <v>33</v>
      </c>
      <c r="W1625">
        <v>2</v>
      </c>
    </row>
    <row r="1626" spans="1:23" x14ac:dyDescent="0.25">
      <c r="A1626" t="s">
        <v>2269</v>
      </c>
      <c r="B1626" s="1">
        <v>45768</v>
      </c>
      <c r="C1626" t="s">
        <v>498</v>
      </c>
      <c r="D1626" t="s">
        <v>71</v>
      </c>
      <c r="E1626" t="s">
        <v>26</v>
      </c>
      <c r="F1626" t="s">
        <v>86</v>
      </c>
      <c r="G1626" t="s">
        <v>110</v>
      </c>
      <c r="H1626">
        <v>1</v>
      </c>
      <c r="I1626">
        <v>38662</v>
      </c>
      <c r="J1626">
        <v>0</v>
      </c>
      <c r="K1626">
        <v>0</v>
      </c>
      <c r="L1626">
        <v>38662</v>
      </c>
      <c r="M1626">
        <v>22998.639999999999</v>
      </c>
      <c r="N1626">
        <v>15663.36</v>
      </c>
      <c r="O1626" t="s">
        <v>49</v>
      </c>
      <c r="P1626">
        <v>377.87</v>
      </c>
      <c r="Q1626" t="s">
        <v>68</v>
      </c>
      <c r="R1626" t="s">
        <v>41</v>
      </c>
      <c r="S1626">
        <v>2</v>
      </c>
      <c r="T1626">
        <v>5</v>
      </c>
      <c r="U1626" t="s">
        <v>56</v>
      </c>
      <c r="V1626" t="s">
        <v>33</v>
      </c>
      <c r="W1626">
        <v>4</v>
      </c>
    </row>
    <row r="1627" spans="1:23" x14ac:dyDescent="0.25">
      <c r="A1627" t="s">
        <v>2270</v>
      </c>
      <c r="B1627" s="1">
        <v>45850</v>
      </c>
      <c r="C1627" t="s">
        <v>1209</v>
      </c>
      <c r="D1627" t="s">
        <v>90</v>
      </c>
      <c r="E1627" t="s">
        <v>46</v>
      </c>
      <c r="F1627" t="s">
        <v>27</v>
      </c>
      <c r="G1627" t="s">
        <v>72</v>
      </c>
      <c r="H1627">
        <v>2</v>
      </c>
      <c r="I1627">
        <v>26541</v>
      </c>
      <c r="J1627">
        <v>15</v>
      </c>
      <c r="K1627">
        <v>7962.3</v>
      </c>
      <c r="L1627">
        <v>45119.7</v>
      </c>
      <c r="M1627">
        <v>28478.01</v>
      </c>
      <c r="N1627">
        <v>16641.689999999999</v>
      </c>
      <c r="O1627" t="s">
        <v>49</v>
      </c>
      <c r="P1627">
        <v>439.1</v>
      </c>
      <c r="Q1627" t="s">
        <v>73</v>
      </c>
      <c r="R1627" t="s">
        <v>41</v>
      </c>
      <c r="S1627">
        <v>2</v>
      </c>
      <c r="T1627">
        <v>4</v>
      </c>
      <c r="U1627" t="s">
        <v>56</v>
      </c>
      <c r="V1627" t="s">
        <v>33</v>
      </c>
      <c r="W1627">
        <v>1</v>
      </c>
    </row>
    <row r="1628" spans="1:23" x14ac:dyDescent="0.25">
      <c r="A1628" t="s">
        <v>2271</v>
      </c>
      <c r="B1628" s="1">
        <v>45872</v>
      </c>
      <c r="C1628" t="s">
        <v>1497</v>
      </c>
      <c r="D1628" t="s">
        <v>97</v>
      </c>
      <c r="E1628" t="s">
        <v>46</v>
      </c>
      <c r="F1628" t="s">
        <v>86</v>
      </c>
      <c r="G1628" t="s">
        <v>87</v>
      </c>
      <c r="H1628">
        <v>2</v>
      </c>
      <c r="I1628">
        <v>40053</v>
      </c>
      <c r="J1628">
        <v>10</v>
      </c>
      <c r="K1628">
        <v>8010.6</v>
      </c>
      <c r="L1628">
        <v>72095.399999999994</v>
      </c>
      <c r="M1628">
        <v>43079.15</v>
      </c>
      <c r="N1628">
        <v>29016.25</v>
      </c>
      <c r="O1628" t="s">
        <v>60</v>
      </c>
      <c r="P1628">
        <v>1624.26</v>
      </c>
      <c r="Q1628" t="s">
        <v>40</v>
      </c>
      <c r="R1628" t="s">
        <v>31</v>
      </c>
      <c r="S1628">
        <v>5</v>
      </c>
      <c r="T1628">
        <v>4</v>
      </c>
      <c r="U1628" t="s">
        <v>32</v>
      </c>
      <c r="V1628" t="s">
        <v>33</v>
      </c>
      <c r="W1628">
        <v>4</v>
      </c>
    </row>
    <row r="1629" spans="1:23" x14ac:dyDescent="0.25">
      <c r="A1629" t="s">
        <v>2272</v>
      </c>
      <c r="B1629" s="1">
        <v>45890</v>
      </c>
      <c r="C1629" t="s">
        <v>2002</v>
      </c>
      <c r="D1629" t="s">
        <v>67</v>
      </c>
      <c r="E1629" t="s">
        <v>36</v>
      </c>
      <c r="F1629" t="s">
        <v>47</v>
      </c>
      <c r="G1629" t="s">
        <v>138</v>
      </c>
      <c r="H1629">
        <v>1</v>
      </c>
      <c r="I1629">
        <v>21721</v>
      </c>
      <c r="J1629">
        <v>15</v>
      </c>
      <c r="K1629">
        <v>3258.15</v>
      </c>
      <c r="L1629">
        <v>18462.849999999999</v>
      </c>
      <c r="M1629">
        <v>13083.15</v>
      </c>
      <c r="N1629">
        <v>5379.7</v>
      </c>
      <c r="O1629" t="s">
        <v>39</v>
      </c>
      <c r="P1629">
        <v>687.63</v>
      </c>
      <c r="Q1629" t="s">
        <v>40</v>
      </c>
      <c r="R1629" t="s">
        <v>41</v>
      </c>
      <c r="S1629">
        <v>2</v>
      </c>
      <c r="T1629">
        <v>4</v>
      </c>
      <c r="U1629" t="s">
        <v>56</v>
      </c>
      <c r="V1629" t="s">
        <v>33</v>
      </c>
      <c r="W1629">
        <v>5</v>
      </c>
    </row>
    <row r="1630" spans="1:23" x14ac:dyDescent="0.25">
      <c r="A1630" t="s">
        <v>2273</v>
      </c>
      <c r="B1630" s="1">
        <v>45832</v>
      </c>
      <c r="C1630" t="s">
        <v>714</v>
      </c>
      <c r="D1630" t="s">
        <v>97</v>
      </c>
      <c r="E1630" t="s">
        <v>26</v>
      </c>
      <c r="F1630" t="s">
        <v>47</v>
      </c>
      <c r="G1630" t="s">
        <v>48</v>
      </c>
      <c r="H1630">
        <v>1</v>
      </c>
      <c r="I1630">
        <v>19984</v>
      </c>
      <c r="J1630">
        <v>0</v>
      </c>
      <c r="K1630">
        <v>0</v>
      </c>
      <c r="L1630">
        <v>19984</v>
      </c>
      <c r="M1630">
        <v>15803.8</v>
      </c>
      <c r="N1630">
        <v>4180.2</v>
      </c>
      <c r="O1630" t="s">
        <v>60</v>
      </c>
      <c r="P1630">
        <v>734.62</v>
      </c>
      <c r="Q1630" t="s">
        <v>73</v>
      </c>
      <c r="R1630" t="s">
        <v>31</v>
      </c>
      <c r="S1630">
        <v>5</v>
      </c>
      <c r="T1630">
        <v>5</v>
      </c>
      <c r="U1630" t="s">
        <v>32</v>
      </c>
      <c r="V1630" t="s">
        <v>33</v>
      </c>
      <c r="W1630">
        <v>4</v>
      </c>
    </row>
    <row r="1631" spans="1:23" x14ac:dyDescent="0.25">
      <c r="A1631" t="s">
        <v>2274</v>
      </c>
      <c r="B1631" s="1">
        <v>45738</v>
      </c>
      <c r="C1631" t="s">
        <v>349</v>
      </c>
      <c r="D1631" t="s">
        <v>154</v>
      </c>
      <c r="E1631" t="s">
        <v>46</v>
      </c>
      <c r="F1631" t="s">
        <v>47</v>
      </c>
      <c r="G1631" t="s">
        <v>146</v>
      </c>
      <c r="H1631">
        <v>1</v>
      </c>
      <c r="I1631">
        <v>16996</v>
      </c>
      <c r="J1631">
        <v>10</v>
      </c>
      <c r="K1631">
        <v>1699.6</v>
      </c>
      <c r="L1631">
        <v>15296.4</v>
      </c>
      <c r="M1631">
        <v>8502.39</v>
      </c>
      <c r="N1631">
        <v>6794.01</v>
      </c>
      <c r="O1631" t="s">
        <v>91</v>
      </c>
      <c r="P1631">
        <v>1843.53</v>
      </c>
      <c r="Q1631" t="s">
        <v>30</v>
      </c>
      <c r="R1631" t="s">
        <v>41</v>
      </c>
      <c r="S1631">
        <v>2</v>
      </c>
      <c r="T1631">
        <v>1</v>
      </c>
      <c r="U1631" t="s">
        <v>32</v>
      </c>
      <c r="V1631" t="s">
        <v>42</v>
      </c>
    </row>
    <row r="1632" spans="1:23" x14ac:dyDescent="0.25">
      <c r="A1632" t="s">
        <v>2275</v>
      </c>
      <c r="B1632" s="1">
        <v>45847</v>
      </c>
      <c r="C1632" t="s">
        <v>933</v>
      </c>
      <c r="D1632" t="s">
        <v>124</v>
      </c>
      <c r="E1632" t="s">
        <v>46</v>
      </c>
      <c r="F1632" t="s">
        <v>47</v>
      </c>
      <c r="G1632" t="s">
        <v>138</v>
      </c>
      <c r="H1632">
        <v>3</v>
      </c>
      <c r="I1632">
        <v>10158</v>
      </c>
      <c r="J1632">
        <v>10</v>
      </c>
      <c r="K1632">
        <v>3047.4</v>
      </c>
      <c r="L1632">
        <v>27426.6</v>
      </c>
      <c r="M1632">
        <v>15794.32</v>
      </c>
      <c r="N1632">
        <v>11632.28</v>
      </c>
      <c r="O1632" t="s">
        <v>39</v>
      </c>
      <c r="P1632">
        <v>406.48</v>
      </c>
      <c r="Q1632" t="s">
        <v>73</v>
      </c>
      <c r="R1632" t="s">
        <v>41</v>
      </c>
      <c r="S1632">
        <v>2</v>
      </c>
      <c r="T1632">
        <v>2</v>
      </c>
      <c r="U1632" t="s">
        <v>32</v>
      </c>
      <c r="V1632" t="s">
        <v>33</v>
      </c>
      <c r="W1632">
        <v>5</v>
      </c>
    </row>
    <row r="1633" spans="1:23" x14ac:dyDescent="0.25">
      <c r="A1633" t="s">
        <v>2276</v>
      </c>
      <c r="B1633" s="1">
        <v>45817</v>
      </c>
      <c r="C1633" t="s">
        <v>807</v>
      </c>
      <c r="D1633" t="s">
        <v>90</v>
      </c>
      <c r="E1633" t="s">
        <v>36</v>
      </c>
      <c r="F1633" t="s">
        <v>86</v>
      </c>
      <c r="G1633" t="s">
        <v>110</v>
      </c>
      <c r="H1633">
        <v>1</v>
      </c>
      <c r="I1633">
        <v>41832</v>
      </c>
      <c r="J1633">
        <v>10</v>
      </c>
      <c r="K1633">
        <v>4183.2</v>
      </c>
      <c r="L1633">
        <v>37648.800000000003</v>
      </c>
      <c r="M1633">
        <v>30326.18</v>
      </c>
      <c r="N1633">
        <v>7322.62</v>
      </c>
      <c r="O1633" t="s">
        <v>29</v>
      </c>
      <c r="P1633">
        <v>381</v>
      </c>
      <c r="Q1633" t="s">
        <v>40</v>
      </c>
      <c r="R1633" t="s">
        <v>41</v>
      </c>
      <c r="S1633">
        <v>2</v>
      </c>
      <c r="T1633">
        <v>1</v>
      </c>
      <c r="U1633" t="s">
        <v>32</v>
      </c>
      <c r="V1633" t="s">
        <v>33</v>
      </c>
      <c r="W1633">
        <v>1</v>
      </c>
    </row>
    <row r="1634" spans="1:23" x14ac:dyDescent="0.25">
      <c r="A1634" t="s">
        <v>2277</v>
      </c>
      <c r="B1634" s="1">
        <v>45824</v>
      </c>
      <c r="C1634" t="s">
        <v>624</v>
      </c>
      <c r="D1634" t="s">
        <v>79</v>
      </c>
      <c r="E1634" t="s">
        <v>46</v>
      </c>
      <c r="F1634" t="s">
        <v>47</v>
      </c>
      <c r="G1634" t="s">
        <v>48</v>
      </c>
      <c r="H1634">
        <v>1</v>
      </c>
      <c r="I1634">
        <v>9332</v>
      </c>
      <c r="J1634">
        <v>0</v>
      </c>
      <c r="K1634">
        <v>0</v>
      </c>
      <c r="L1634">
        <v>9332</v>
      </c>
      <c r="M1634">
        <v>6610.07</v>
      </c>
      <c r="N1634">
        <v>2721.93</v>
      </c>
      <c r="O1634" t="s">
        <v>91</v>
      </c>
      <c r="P1634">
        <v>1003.38</v>
      </c>
      <c r="Q1634" t="s">
        <v>68</v>
      </c>
      <c r="R1634" t="s">
        <v>41</v>
      </c>
      <c r="S1634">
        <v>2</v>
      </c>
      <c r="T1634">
        <v>1</v>
      </c>
      <c r="U1634" t="s">
        <v>32</v>
      </c>
      <c r="V1634" t="s">
        <v>33</v>
      </c>
      <c r="W1634">
        <v>1</v>
      </c>
    </row>
    <row r="1635" spans="1:23" x14ac:dyDescent="0.25">
      <c r="A1635" t="s">
        <v>2278</v>
      </c>
      <c r="B1635" s="1">
        <v>45948</v>
      </c>
      <c r="C1635" t="s">
        <v>941</v>
      </c>
      <c r="D1635" t="s">
        <v>79</v>
      </c>
      <c r="E1635" t="s">
        <v>26</v>
      </c>
      <c r="F1635" t="s">
        <v>86</v>
      </c>
      <c r="G1635" t="s">
        <v>110</v>
      </c>
      <c r="H1635">
        <v>1</v>
      </c>
      <c r="I1635">
        <v>71170</v>
      </c>
      <c r="J1635">
        <v>10</v>
      </c>
      <c r="K1635">
        <v>7117</v>
      </c>
      <c r="L1635">
        <v>64053</v>
      </c>
      <c r="M1635">
        <v>43810.2</v>
      </c>
      <c r="N1635">
        <v>20242.8</v>
      </c>
      <c r="O1635" t="s">
        <v>29</v>
      </c>
      <c r="P1635">
        <v>2034.35</v>
      </c>
      <c r="Q1635" t="s">
        <v>68</v>
      </c>
      <c r="R1635" t="s">
        <v>41</v>
      </c>
      <c r="S1635">
        <v>2</v>
      </c>
      <c r="T1635">
        <v>4</v>
      </c>
      <c r="U1635" t="s">
        <v>56</v>
      </c>
      <c r="V1635" t="s">
        <v>33</v>
      </c>
      <c r="W1635">
        <v>4</v>
      </c>
    </row>
    <row r="1636" spans="1:23" x14ac:dyDescent="0.25">
      <c r="A1636" t="s">
        <v>2279</v>
      </c>
      <c r="B1636" s="1">
        <v>45963</v>
      </c>
      <c r="C1636" t="s">
        <v>1680</v>
      </c>
      <c r="D1636" t="s">
        <v>71</v>
      </c>
      <c r="E1636" t="s">
        <v>46</v>
      </c>
      <c r="F1636" t="s">
        <v>37</v>
      </c>
      <c r="G1636" t="s">
        <v>161</v>
      </c>
      <c r="H1636">
        <v>2</v>
      </c>
      <c r="I1636">
        <v>39156</v>
      </c>
      <c r="J1636">
        <v>10</v>
      </c>
      <c r="K1636">
        <v>7831.2</v>
      </c>
      <c r="L1636">
        <v>70480.800000000003</v>
      </c>
      <c r="M1636">
        <v>55734.8</v>
      </c>
      <c r="N1636">
        <v>14746</v>
      </c>
      <c r="O1636" t="s">
        <v>91</v>
      </c>
      <c r="P1636">
        <v>502.27</v>
      </c>
      <c r="Q1636" t="s">
        <v>83</v>
      </c>
      <c r="R1636" t="s">
        <v>41</v>
      </c>
      <c r="S1636">
        <v>2</v>
      </c>
      <c r="T1636">
        <v>1</v>
      </c>
      <c r="U1636" t="s">
        <v>32</v>
      </c>
      <c r="V1636" t="s">
        <v>50</v>
      </c>
      <c r="W1636">
        <v>3</v>
      </c>
    </row>
    <row r="1637" spans="1:23" x14ac:dyDescent="0.25">
      <c r="A1637" t="s">
        <v>2280</v>
      </c>
      <c r="B1637" s="1">
        <v>45701</v>
      </c>
      <c r="C1637" t="s">
        <v>386</v>
      </c>
      <c r="D1637" t="s">
        <v>25</v>
      </c>
      <c r="E1637" t="s">
        <v>46</v>
      </c>
      <c r="F1637" t="s">
        <v>27</v>
      </c>
      <c r="G1637" t="s">
        <v>113</v>
      </c>
      <c r="H1637">
        <v>1</v>
      </c>
      <c r="I1637">
        <v>19915</v>
      </c>
      <c r="J1637">
        <v>15</v>
      </c>
      <c r="K1637">
        <v>2987.25</v>
      </c>
      <c r="L1637">
        <v>16927.75</v>
      </c>
      <c r="M1637">
        <v>12032.66</v>
      </c>
      <c r="N1637">
        <v>4895.09</v>
      </c>
      <c r="O1637" t="s">
        <v>55</v>
      </c>
      <c r="P1637">
        <v>636.65</v>
      </c>
      <c r="Q1637" t="s">
        <v>68</v>
      </c>
      <c r="R1637" t="s">
        <v>31</v>
      </c>
      <c r="S1637">
        <v>5</v>
      </c>
      <c r="T1637">
        <v>4</v>
      </c>
      <c r="U1637" t="s">
        <v>32</v>
      </c>
      <c r="V1637" t="s">
        <v>33</v>
      </c>
      <c r="W1637">
        <v>3</v>
      </c>
    </row>
    <row r="1638" spans="1:23" x14ac:dyDescent="0.25">
      <c r="A1638" t="s">
        <v>2281</v>
      </c>
      <c r="B1638" s="1">
        <v>45684</v>
      </c>
      <c r="C1638" t="s">
        <v>1080</v>
      </c>
      <c r="D1638" t="s">
        <v>90</v>
      </c>
      <c r="E1638" t="s">
        <v>26</v>
      </c>
      <c r="F1638" t="s">
        <v>27</v>
      </c>
      <c r="G1638" t="s">
        <v>164</v>
      </c>
      <c r="H1638">
        <v>1</v>
      </c>
      <c r="I1638">
        <v>28577</v>
      </c>
      <c r="J1638">
        <v>0</v>
      </c>
      <c r="K1638">
        <v>0</v>
      </c>
      <c r="L1638">
        <v>28577</v>
      </c>
      <c r="M1638">
        <v>22272.52</v>
      </c>
      <c r="N1638">
        <v>6304.48</v>
      </c>
      <c r="O1638" t="s">
        <v>49</v>
      </c>
      <c r="P1638">
        <v>268.52</v>
      </c>
      <c r="Q1638" t="s">
        <v>40</v>
      </c>
      <c r="R1638" t="s">
        <v>31</v>
      </c>
      <c r="S1638">
        <v>5</v>
      </c>
      <c r="T1638">
        <v>4</v>
      </c>
      <c r="U1638" t="s">
        <v>32</v>
      </c>
      <c r="V1638" t="s">
        <v>50</v>
      </c>
      <c r="W1638">
        <v>2</v>
      </c>
    </row>
    <row r="1639" spans="1:23" x14ac:dyDescent="0.25">
      <c r="A1639" t="s">
        <v>2282</v>
      </c>
      <c r="B1639" s="1">
        <v>45737</v>
      </c>
      <c r="C1639" t="s">
        <v>1363</v>
      </c>
      <c r="D1639" t="s">
        <v>79</v>
      </c>
      <c r="E1639" t="s">
        <v>26</v>
      </c>
      <c r="F1639" t="s">
        <v>37</v>
      </c>
      <c r="G1639" t="s">
        <v>38</v>
      </c>
      <c r="H1639">
        <v>1</v>
      </c>
      <c r="I1639">
        <v>19930</v>
      </c>
      <c r="J1639">
        <v>25</v>
      </c>
      <c r="K1639">
        <v>4982.5</v>
      </c>
      <c r="L1639">
        <v>14947.5</v>
      </c>
      <c r="M1639">
        <v>10331.870000000001</v>
      </c>
      <c r="N1639">
        <v>4615.63</v>
      </c>
      <c r="O1639" t="s">
        <v>29</v>
      </c>
      <c r="P1639">
        <v>1432.01</v>
      </c>
      <c r="Q1639" t="s">
        <v>73</v>
      </c>
      <c r="R1639" t="s">
        <v>41</v>
      </c>
      <c r="S1639">
        <v>2</v>
      </c>
      <c r="T1639">
        <v>2</v>
      </c>
      <c r="U1639" t="s">
        <v>32</v>
      </c>
      <c r="V1639" t="s">
        <v>33</v>
      </c>
      <c r="W1639">
        <v>5</v>
      </c>
    </row>
    <row r="1640" spans="1:23" x14ac:dyDescent="0.25">
      <c r="A1640" t="s">
        <v>2283</v>
      </c>
      <c r="B1640" s="1">
        <v>45738</v>
      </c>
      <c r="C1640" t="s">
        <v>2284</v>
      </c>
      <c r="D1640" t="s">
        <v>71</v>
      </c>
      <c r="E1640" t="s">
        <v>46</v>
      </c>
      <c r="F1640" t="s">
        <v>53</v>
      </c>
      <c r="G1640" t="s">
        <v>82</v>
      </c>
      <c r="H1640">
        <v>1</v>
      </c>
      <c r="I1640">
        <v>13611</v>
      </c>
      <c r="J1640">
        <v>15</v>
      </c>
      <c r="K1640">
        <v>2041.65</v>
      </c>
      <c r="L1640">
        <v>11569.35</v>
      </c>
      <c r="M1640">
        <v>8733.25</v>
      </c>
      <c r="N1640">
        <v>2836.1</v>
      </c>
      <c r="O1640" t="s">
        <v>29</v>
      </c>
      <c r="P1640">
        <v>1300.8599999999999</v>
      </c>
      <c r="Q1640" t="s">
        <v>40</v>
      </c>
      <c r="R1640" t="s">
        <v>31</v>
      </c>
      <c r="S1640">
        <v>5</v>
      </c>
      <c r="T1640">
        <v>3</v>
      </c>
      <c r="U1640" t="s">
        <v>32</v>
      </c>
      <c r="V1640" t="s">
        <v>42</v>
      </c>
    </row>
    <row r="1641" spans="1:23" x14ac:dyDescent="0.25">
      <c r="A1641" t="s">
        <v>2285</v>
      </c>
      <c r="B1641" s="1">
        <v>45974</v>
      </c>
      <c r="C1641" t="s">
        <v>406</v>
      </c>
      <c r="D1641" t="s">
        <v>154</v>
      </c>
      <c r="E1641" t="s">
        <v>26</v>
      </c>
      <c r="F1641" t="s">
        <v>53</v>
      </c>
      <c r="G1641" t="s">
        <v>151</v>
      </c>
      <c r="H1641">
        <v>2</v>
      </c>
      <c r="I1641">
        <v>103896</v>
      </c>
      <c r="J1641">
        <v>20</v>
      </c>
      <c r="K1641">
        <v>41558.400000000001</v>
      </c>
      <c r="L1641">
        <v>166233.60000000001</v>
      </c>
      <c r="M1641">
        <v>98355.63</v>
      </c>
      <c r="N1641">
        <v>67877.97</v>
      </c>
      <c r="O1641" t="s">
        <v>49</v>
      </c>
      <c r="P1641">
        <v>208.27</v>
      </c>
      <c r="Q1641" t="s">
        <v>73</v>
      </c>
      <c r="R1641" t="s">
        <v>41</v>
      </c>
      <c r="S1641">
        <v>2</v>
      </c>
      <c r="T1641">
        <v>1</v>
      </c>
      <c r="U1641" t="s">
        <v>32</v>
      </c>
      <c r="V1641" t="s">
        <v>33</v>
      </c>
      <c r="W1641">
        <v>2</v>
      </c>
    </row>
    <row r="1642" spans="1:23" x14ac:dyDescent="0.25">
      <c r="A1642" t="s">
        <v>2286</v>
      </c>
      <c r="B1642" s="1">
        <v>45683</v>
      </c>
      <c r="C1642" t="s">
        <v>2051</v>
      </c>
      <c r="D1642" t="s">
        <v>124</v>
      </c>
      <c r="E1642" t="s">
        <v>26</v>
      </c>
      <c r="F1642" t="s">
        <v>53</v>
      </c>
      <c r="G1642" t="s">
        <v>54</v>
      </c>
      <c r="H1642">
        <v>2</v>
      </c>
      <c r="I1642">
        <v>78922</v>
      </c>
      <c r="J1642">
        <v>20</v>
      </c>
      <c r="K1642">
        <v>31568.799999999999</v>
      </c>
      <c r="L1642">
        <v>126275.2</v>
      </c>
      <c r="M1642">
        <v>101919.37</v>
      </c>
      <c r="N1642">
        <v>24355.83</v>
      </c>
      <c r="O1642" t="s">
        <v>49</v>
      </c>
      <c r="P1642">
        <v>338.69</v>
      </c>
      <c r="Q1642" t="s">
        <v>73</v>
      </c>
      <c r="R1642" t="s">
        <v>41</v>
      </c>
      <c r="S1642">
        <v>2</v>
      </c>
      <c r="T1642">
        <v>0</v>
      </c>
      <c r="U1642" t="s">
        <v>32</v>
      </c>
      <c r="V1642" t="s">
        <v>42</v>
      </c>
    </row>
    <row r="1643" spans="1:23" x14ac:dyDescent="0.25">
      <c r="A1643" t="s">
        <v>2287</v>
      </c>
      <c r="B1643" s="1">
        <v>46003</v>
      </c>
      <c r="C1643" t="s">
        <v>2131</v>
      </c>
      <c r="D1643" t="s">
        <v>124</v>
      </c>
      <c r="E1643" t="s">
        <v>26</v>
      </c>
      <c r="F1643" t="s">
        <v>86</v>
      </c>
      <c r="G1643" t="s">
        <v>110</v>
      </c>
      <c r="H1643">
        <v>1</v>
      </c>
      <c r="I1643">
        <v>40529</v>
      </c>
      <c r="J1643">
        <v>15</v>
      </c>
      <c r="K1643">
        <v>6079.35</v>
      </c>
      <c r="L1643">
        <v>34449.65</v>
      </c>
      <c r="M1643">
        <v>22471.78</v>
      </c>
      <c r="N1643">
        <v>11977.87</v>
      </c>
      <c r="O1643" t="s">
        <v>60</v>
      </c>
      <c r="P1643">
        <v>1056.92</v>
      </c>
      <c r="Q1643" t="s">
        <v>40</v>
      </c>
      <c r="R1643" t="s">
        <v>41</v>
      </c>
      <c r="S1643">
        <v>2</v>
      </c>
      <c r="T1643">
        <v>3</v>
      </c>
      <c r="U1643" t="s">
        <v>32</v>
      </c>
      <c r="V1643" t="s">
        <v>42</v>
      </c>
    </row>
    <row r="1644" spans="1:23" x14ac:dyDescent="0.25">
      <c r="A1644" t="s">
        <v>2288</v>
      </c>
      <c r="B1644" s="1">
        <v>45699</v>
      </c>
      <c r="C1644" t="s">
        <v>742</v>
      </c>
      <c r="D1644" t="s">
        <v>79</v>
      </c>
      <c r="E1644" t="s">
        <v>46</v>
      </c>
      <c r="F1644" t="s">
        <v>86</v>
      </c>
      <c r="G1644" t="s">
        <v>127</v>
      </c>
      <c r="H1644">
        <v>1</v>
      </c>
      <c r="I1644">
        <v>53899</v>
      </c>
      <c r="J1644">
        <v>10</v>
      </c>
      <c r="K1644">
        <v>5389.9</v>
      </c>
      <c r="L1644">
        <v>48509.1</v>
      </c>
      <c r="M1644">
        <v>29940.54</v>
      </c>
      <c r="N1644">
        <v>18568.560000000001</v>
      </c>
      <c r="O1644" t="s">
        <v>60</v>
      </c>
      <c r="P1644">
        <v>1708.39</v>
      </c>
      <c r="Q1644" t="s">
        <v>68</v>
      </c>
      <c r="R1644" t="s">
        <v>31</v>
      </c>
      <c r="S1644">
        <v>5</v>
      </c>
      <c r="T1644">
        <v>4</v>
      </c>
      <c r="U1644" t="s">
        <v>32</v>
      </c>
      <c r="V1644" t="s">
        <v>33</v>
      </c>
      <c r="W1644">
        <v>5</v>
      </c>
    </row>
    <row r="1645" spans="1:23" x14ac:dyDescent="0.25">
      <c r="A1645" t="s">
        <v>2289</v>
      </c>
      <c r="B1645" s="1">
        <v>45797</v>
      </c>
      <c r="C1645" t="s">
        <v>195</v>
      </c>
      <c r="D1645" t="s">
        <v>90</v>
      </c>
      <c r="E1645" t="s">
        <v>46</v>
      </c>
      <c r="F1645" t="s">
        <v>37</v>
      </c>
      <c r="G1645" t="s">
        <v>161</v>
      </c>
      <c r="H1645">
        <v>2</v>
      </c>
      <c r="I1645">
        <v>18019</v>
      </c>
      <c r="J1645">
        <v>5</v>
      </c>
      <c r="K1645">
        <v>1801.9</v>
      </c>
      <c r="L1645">
        <v>34236.1</v>
      </c>
      <c r="M1645">
        <v>25952.44</v>
      </c>
      <c r="N1645">
        <v>8283.66</v>
      </c>
      <c r="O1645" t="s">
        <v>91</v>
      </c>
      <c r="P1645">
        <v>756.49</v>
      </c>
      <c r="Q1645" t="s">
        <v>68</v>
      </c>
      <c r="R1645" t="s">
        <v>41</v>
      </c>
      <c r="S1645">
        <v>2</v>
      </c>
      <c r="T1645">
        <v>3</v>
      </c>
      <c r="U1645" t="s">
        <v>32</v>
      </c>
      <c r="V1645" t="s">
        <v>50</v>
      </c>
      <c r="W1645">
        <v>5</v>
      </c>
    </row>
    <row r="1646" spans="1:23" x14ac:dyDescent="0.25">
      <c r="A1646" t="s">
        <v>2290</v>
      </c>
      <c r="B1646" s="1">
        <v>45884</v>
      </c>
      <c r="C1646" t="s">
        <v>1438</v>
      </c>
      <c r="D1646" t="s">
        <v>97</v>
      </c>
      <c r="E1646" t="s">
        <v>46</v>
      </c>
      <c r="F1646" t="s">
        <v>53</v>
      </c>
      <c r="G1646" t="s">
        <v>54</v>
      </c>
      <c r="H1646">
        <v>2</v>
      </c>
      <c r="I1646">
        <v>119054</v>
      </c>
      <c r="J1646">
        <v>25</v>
      </c>
      <c r="K1646">
        <v>59527</v>
      </c>
      <c r="L1646">
        <v>178581</v>
      </c>
      <c r="M1646">
        <v>121387.11</v>
      </c>
      <c r="N1646">
        <v>57193.89</v>
      </c>
      <c r="O1646" t="s">
        <v>60</v>
      </c>
      <c r="P1646">
        <v>438.04</v>
      </c>
      <c r="Q1646" t="s">
        <v>73</v>
      </c>
      <c r="R1646" t="s">
        <v>31</v>
      </c>
      <c r="S1646">
        <v>5</v>
      </c>
      <c r="T1646">
        <v>2</v>
      </c>
      <c r="U1646" t="s">
        <v>32</v>
      </c>
      <c r="V1646" t="s">
        <v>33</v>
      </c>
      <c r="W1646">
        <v>5</v>
      </c>
    </row>
    <row r="1647" spans="1:23" x14ac:dyDescent="0.25">
      <c r="A1647" t="s">
        <v>2291</v>
      </c>
      <c r="B1647" s="1">
        <v>45996</v>
      </c>
      <c r="C1647" t="s">
        <v>1106</v>
      </c>
      <c r="D1647" t="s">
        <v>63</v>
      </c>
      <c r="E1647" t="s">
        <v>46</v>
      </c>
      <c r="F1647" t="s">
        <v>53</v>
      </c>
      <c r="G1647" t="s">
        <v>268</v>
      </c>
      <c r="H1647">
        <v>2</v>
      </c>
      <c r="I1647">
        <v>53839</v>
      </c>
      <c r="J1647">
        <v>0</v>
      </c>
      <c r="K1647">
        <v>0</v>
      </c>
      <c r="L1647">
        <v>107678</v>
      </c>
      <c r="M1647">
        <v>78579.98</v>
      </c>
      <c r="N1647">
        <v>29098.02</v>
      </c>
      <c r="O1647" t="s">
        <v>39</v>
      </c>
      <c r="P1647">
        <v>2147.2600000000002</v>
      </c>
      <c r="Q1647" t="s">
        <v>30</v>
      </c>
      <c r="R1647" t="s">
        <v>31</v>
      </c>
      <c r="S1647">
        <v>5</v>
      </c>
      <c r="T1647">
        <v>4</v>
      </c>
      <c r="U1647" t="s">
        <v>32</v>
      </c>
      <c r="V1647" t="s">
        <v>42</v>
      </c>
    </row>
    <row r="1648" spans="1:23" x14ac:dyDescent="0.25">
      <c r="A1648" t="s">
        <v>2292</v>
      </c>
      <c r="B1648" s="1">
        <v>45875</v>
      </c>
      <c r="C1648" t="s">
        <v>565</v>
      </c>
      <c r="D1648" t="s">
        <v>97</v>
      </c>
      <c r="E1648" t="s">
        <v>46</v>
      </c>
      <c r="F1648" t="s">
        <v>27</v>
      </c>
      <c r="G1648" t="s">
        <v>76</v>
      </c>
      <c r="H1648">
        <v>1</v>
      </c>
      <c r="I1648">
        <v>10125</v>
      </c>
      <c r="J1648">
        <v>5</v>
      </c>
      <c r="K1648">
        <v>506.25</v>
      </c>
      <c r="L1648">
        <v>9618.75</v>
      </c>
      <c r="M1648">
        <v>6656.76</v>
      </c>
      <c r="N1648">
        <v>2961.99</v>
      </c>
      <c r="O1648" t="s">
        <v>60</v>
      </c>
      <c r="P1648">
        <v>1534.61</v>
      </c>
      <c r="Q1648" t="s">
        <v>73</v>
      </c>
      <c r="R1648" t="s">
        <v>31</v>
      </c>
      <c r="S1648">
        <v>5</v>
      </c>
      <c r="T1648">
        <v>0</v>
      </c>
      <c r="U1648" t="s">
        <v>32</v>
      </c>
      <c r="V1648" t="s">
        <v>50</v>
      </c>
      <c r="W1648">
        <v>1</v>
      </c>
    </row>
    <row r="1649" spans="1:23" x14ac:dyDescent="0.25">
      <c r="A1649" t="s">
        <v>2293</v>
      </c>
      <c r="B1649" s="1">
        <v>45906</v>
      </c>
      <c r="C1649" t="s">
        <v>2294</v>
      </c>
      <c r="D1649" t="s">
        <v>45</v>
      </c>
      <c r="E1649" t="s">
        <v>26</v>
      </c>
      <c r="F1649" t="s">
        <v>47</v>
      </c>
      <c r="G1649" t="s">
        <v>48</v>
      </c>
      <c r="H1649">
        <v>1</v>
      </c>
      <c r="I1649">
        <v>39225</v>
      </c>
      <c r="J1649">
        <v>15</v>
      </c>
      <c r="K1649">
        <v>5883.75</v>
      </c>
      <c r="L1649">
        <v>33341.25</v>
      </c>
      <c r="M1649">
        <v>21165.19</v>
      </c>
      <c r="N1649">
        <v>12176.06</v>
      </c>
      <c r="O1649" t="s">
        <v>39</v>
      </c>
      <c r="P1649">
        <v>1091.22</v>
      </c>
      <c r="Q1649" t="s">
        <v>40</v>
      </c>
      <c r="R1649" t="s">
        <v>41</v>
      </c>
      <c r="S1649">
        <v>2</v>
      </c>
      <c r="T1649">
        <v>3</v>
      </c>
      <c r="U1649" t="s">
        <v>56</v>
      </c>
      <c r="V1649" t="s">
        <v>33</v>
      </c>
      <c r="W1649">
        <v>5</v>
      </c>
    </row>
    <row r="1650" spans="1:23" x14ac:dyDescent="0.25">
      <c r="A1650" t="s">
        <v>2295</v>
      </c>
      <c r="B1650" s="1">
        <v>45968</v>
      </c>
      <c r="C1650" t="s">
        <v>230</v>
      </c>
      <c r="D1650" t="s">
        <v>25</v>
      </c>
      <c r="E1650" t="s">
        <v>26</v>
      </c>
      <c r="F1650" t="s">
        <v>37</v>
      </c>
      <c r="G1650" t="s">
        <v>100</v>
      </c>
      <c r="H1650">
        <v>2</v>
      </c>
      <c r="I1650">
        <v>33644</v>
      </c>
      <c r="J1650">
        <v>10</v>
      </c>
      <c r="K1650">
        <v>6728.8</v>
      </c>
      <c r="L1650">
        <v>60559.199999999997</v>
      </c>
      <c r="M1650">
        <v>43638.71</v>
      </c>
      <c r="N1650">
        <v>16920.490000000002</v>
      </c>
      <c r="O1650" t="s">
        <v>55</v>
      </c>
      <c r="P1650">
        <v>493.01</v>
      </c>
      <c r="Q1650" t="s">
        <v>83</v>
      </c>
      <c r="R1650" t="s">
        <v>31</v>
      </c>
      <c r="S1650">
        <v>5</v>
      </c>
      <c r="T1650">
        <v>7</v>
      </c>
      <c r="U1650" t="s">
        <v>56</v>
      </c>
      <c r="V1650" t="s">
        <v>33</v>
      </c>
      <c r="W1650">
        <v>2</v>
      </c>
    </row>
    <row r="1651" spans="1:23" x14ac:dyDescent="0.25">
      <c r="A1651" t="s">
        <v>2296</v>
      </c>
      <c r="B1651" s="1">
        <v>45884</v>
      </c>
      <c r="C1651" t="s">
        <v>719</v>
      </c>
      <c r="D1651" t="s">
        <v>90</v>
      </c>
      <c r="E1651" t="s">
        <v>46</v>
      </c>
      <c r="F1651" t="s">
        <v>47</v>
      </c>
      <c r="G1651" t="s">
        <v>146</v>
      </c>
      <c r="H1651">
        <v>1</v>
      </c>
      <c r="I1651">
        <v>19088</v>
      </c>
      <c r="J1651">
        <v>25</v>
      </c>
      <c r="K1651">
        <v>4772</v>
      </c>
      <c r="L1651">
        <v>14316</v>
      </c>
      <c r="M1651">
        <v>10053.31</v>
      </c>
      <c r="N1651">
        <v>4262.6899999999996</v>
      </c>
      <c r="O1651" t="s">
        <v>39</v>
      </c>
      <c r="P1651">
        <v>2322.96</v>
      </c>
      <c r="Q1651" t="s">
        <v>68</v>
      </c>
      <c r="R1651" t="s">
        <v>41</v>
      </c>
      <c r="S1651">
        <v>2</v>
      </c>
      <c r="T1651">
        <v>7</v>
      </c>
      <c r="U1651" t="s">
        <v>56</v>
      </c>
      <c r="V1651" t="s">
        <v>33</v>
      </c>
      <c r="W1651">
        <v>1</v>
      </c>
    </row>
    <row r="1652" spans="1:23" x14ac:dyDescent="0.25">
      <c r="A1652" t="s">
        <v>2297</v>
      </c>
      <c r="B1652" s="1">
        <v>45870</v>
      </c>
      <c r="C1652" t="s">
        <v>133</v>
      </c>
      <c r="D1652" t="s">
        <v>79</v>
      </c>
      <c r="E1652" t="s">
        <v>46</v>
      </c>
      <c r="F1652" t="s">
        <v>37</v>
      </c>
      <c r="G1652" t="s">
        <v>224</v>
      </c>
      <c r="H1652">
        <v>1</v>
      </c>
      <c r="I1652">
        <v>12328</v>
      </c>
      <c r="J1652">
        <v>20</v>
      </c>
      <c r="K1652">
        <v>2465.6</v>
      </c>
      <c r="L1652">
        <v>9862.4</v>
      </c>
      <c r="M1652">
        <v>6828.19</v>
      </c>
      <c r="N1652">
        <v>3034.21</v>
      </c>
      <c r="O1652" t="s">
        <v>60</v>
      </c>
      <c r="P1652">
        <v>1660.24</v>
      </c>
      <c r="Q1652" t="s">
        <v>83</v>
      </c>
      <c r="R1652" t="s">
        <v>41</v>
      </c>
      <c r="S1652">
        <v>2</v>
      </c>
      <c r="T1652">
        <v>3</v>
      </c>
      <c r="U1652" t="s">
        <v>56</v>
      </c>
      <c r="V1652" t="s">
        <v>33</v>
      </c>
      <c r="W1652">
        <v>4</v>
      </c>
    </row>
    <row r="1653" spans="1:23" x14ac:dyDescent="0.25">
      <c r="A1653" t="s">
        <v>2298</v>
      </c>
      <c r="B1653" s="1">
        <v>45797</v>
      </c>
      <c r="C1653" t="s">
        <v>760</v>
      </c>
      <c r="D1653" t="s">
        <v>124</v>
      </c>
      <c r="E1653" t="s">
        <v>46</v>
      </c>
      <c r="F1653" t="s">
        <v>37</v>
      </c>
      <c r="G1653" t="s">
        <v>38</v>
      </c>
      <c r="H1653">
        <v>1</v>
      </c>
      <c r="I1653">
        <v>22471</v>
      </c>
      <c r="J1653">
        <v>10</v>
      </c>
      <c r="K1653">
        <v>2247.1</v>
      </c>
      <c r="L1653">
        <v>20223.900000000001</v>
      </c>
      <c r="M1653">
        <v>12777.29</v>
      </c>
      <c r="N1653">
        <v>7446.61</v>
      </c>
      <c r="O1653" t="s">
        <v>60</v>
      </c>
      <c r="P1653">
        <v>2038.26</v>
      </c>
      <c r="Q1653" t="s">
        <v>73</v>
      </c>
      <c r="R1653" t="s">
        <v>31</v>
      </c>
      <c r="S1653">
        <v>5</v>
      </c>
      <c r="T1653">
        <v>5</v>
      </c>
      <c r="U1653" t="s">
        <v>32</v>
      </c>
      <c r="V1653" t="s">
        <v>33</v>
      </c>
      <c r="W1653">
        <v>2</v>
      </c>
    </row>
    <row r="1654" spans="1:23" x14ac:dyDescent="0.25">
      <c r="A1654" t="s">
        <v>2299</v>
      </c>
      <c r="B1654" s="1">
        <v>45768</v>
      </c>
      <c r="C1654" t="s">
        <v>1065</v>
      </c>
      <c r="D1654" t="s">
        <v>97</v>
      </c>
      <c r="E1654" t="s">
        <v>36</v>
      </c>
      <c r="F1654" t="s">
        <v>37</v>
      </c>
      <c r="G1654" t="s">
        <v>161</v>
      </c>
      <c r="H1654">
        <v>1</v>
      </c>
      <c r="I1654">
        <v>34279</v>
      </c>
      <c r="J1654">
        <v>0</v>
      </c>
      <c r="K1654">
        <v>0</v>
      </c>
      <c r="L1654">
        <v>34279</v>
      </c>
      <c r="M1654">
        <v>21631.93</v>
      </c>
      <c r="N1654">
        <v>12647.07</v>
      </c>
      <c r="O1654" t="s">
        <v>29</v>
      </c>
      <c r="P1654">
        <v>2126.48</v>
      </c>
      <c r="Q1654" t="s">
        <v>83</v>
      </c>
      <c r="R1654" t="s">
        <v>31</v>
      </c>
      <c r="S1654">
        <v>5</v>
      </c>
      <c r="T1654">
        <v>5</v>
      </c>
      <c r="U1654" t="s">
        <v>32</v>
      </c>
      <c r="V1654" t="s">
        <v>33</v>
      </c>
      <c r="W1654">
        <v>1</v>
      </c>
    </row>
    <row r="1655" spans="1:23" x14ac:dyDescent="0.25">
      <c r="A1655" t="s">
        <v>2300</v>
      </c>
      <c r="B1655" s="1">
        <v>45920</v>
      </c>
      <c r="C1655" t="s">
        <v>255</v>
      </c>
      <c r="D1655" t="s">
        <v>71</v>
      </c>
      <c r="E1655" t="s">
        <v>46</v>
      </c>
      <c r="F1655" t="s">
        <v>37</v>
      </c>
      <c r="G1655" t="s">
        <v>224</v>
      </c>
      <c r="H1655">
        <v>2</v>
      </c>
      <c r="I1655">
        <v>20288</v>
      </c>
      <c r="J1655">
        <v>15</v>
      </c>
      <c r="K1655">
        <v>6086.4</v>
      </c>
      <c r="L1655">
        <v>34489.599999999999</v>
      </c>
      <c r="M1655">
        <v>19028.89</v>
      </c>
      <c r="N1655">
        <v>15460.71</v>
      </c>
      <c r="O1655" t="s">
        <v>49</v>
      </c>
      <c r="P1655">
        <v>254.39</v>
      </c>
      <c r="Q1655" t="s">
        <v>83</v>
      </c>
      <c r="R1655" t="s">
        <v>31</v>
      </c>
      <c r="S1655">
        <v>5</v>
      </c>
      <c r="T1655">
        <v>4</v>
      </c>
      <c r="U1655" t="s">
        <v>32</v>
      </c>
      <c r="V1655" t="s">
        <v>33</v>
      </c>
      <c r="W1655">
        <v>3</v>
      </c>
    </row>
    <row r="1656" spans="1:23" x14ac:dyDescent="0.25">
      <c r="A1656" t="s">
        <v>2301</v>
      </c>
      <c r="B1656" s="1">
        <v>45716</v>
      </c>
      <c r="C1656" t="s">
        <v>93</v>
      </c>
      <c r="D1656" t="s">
        <v>79</v>
      </c>
      <c r="E1656" t="s">
        <v>36</v>
      </c>
      <c r="F1656" t="s">
        <v>37</v>
      </c>
      <c r="G1656" t="s">
        <v>38</v>
      </c>
      <c r="H1656">
        <v>2</v>
      </c>
      <c r="I1656">
        <v>13372</v>
      </c>
      <c r="J1656">
        <v>10</v>
      </c>
      <c r="K1656">
        <v>2674.4</v>
      </c>
      <c r="L1656">
        <v>24069.599999999999</v>
      </c>
      <c r="M1656">
        <v>17958.23</v>
      </c>
      <c r="N1656">
        <v>6111.37</v>
      </c>
      <c r="O1656" t="s">
        <v>29</v>
      </c>
      <c r="P1656">
        <v>345.8</v>
      </c>
      <c r="Q1656" t="s">
        <v>83</v>
      </c>
      <c r="R1656" t="s">
        <v>31</v>
      </c>
      <c r="S1656">
        <v>5</v>
      </c>
      <c r="T1656">
        <v>5</v>
      </c>
      <c r="U1656" t="s">
        <v>32</v>
      </c>
      <c r="V1656" t="s">
        <v>33</v>
      </c>
      <c r="W1656">
        <v>3</v>
      </c>
    </row>
    <row r="1657" spans="1:23" x14ac:dyDescent="0.25">
      <c r="A1657" t="s">
        <v>2302</v>
      </c>
      <c r="B1657" s="1">
        <v>45834</v>
      </c>
      <c r="C1657" t="s">
        <v>144</v>
      </c>
      <c r="D1657" t="s">
        <v>63</v>
      </c>
      <c r="E1657" t="s">
        <v>46</v>
      </c>
      <c r="F1657" t="s">
        <v>47</v>
      </c>
      <c r="G1657" t="s">
        <v>48</v>
      </c>
      <c r="H1657">
        <v>1</v>
      </c>
      <c r="I1657">
        <v>14265</v>
      </c>
      <c r="J1657">
        <v>10</v>
      </c>
      <c r="K1657">
        <v>1426.5</v>
      </c>
      <c r="L1657">
        <v>12838.5</v>
      </c>
      <c r="M1657">
        <v>7094.82</v>
      </c>
      <c r="N1657">
        <v>5743.68</v>
      </c>
      <c r="O1657" t="s">
        <v>55</v>
      </c>
      <c r="P1657">
        <v>1818.9</v>
      </c>
      <c r="Q1657" t="s">
        <v>68</v>
      </c>
      <c r="R1657" t="s">
        <v>31</v>
      </c>
      <c r="S1657">
        <v>5</v>
      </c>
      <c r="T1657">
        <v>4</v>
      </c>
      <c r="U1657" t="s">
        <v>32</v>
      </c>
      <c r="V1657" t="s">
        <v>33</v>
      </c>
      <c r="W1657">
        <v>5</v>
      </c>
    </row>
    <row r="1658" spans="1:23" x14ac:dyDescent="0.25">
      <c r="A1658" t="s">
        <v>2303</v>
      </c>
      <c r="B1658" s="1">
        <v>45878</v>
      </c>
      <c r="C1658" t="s">
        <v>1227</v>
      </c>
      <c r="D1658" t="s">
        <v>45</v>
      </c>
      <c r="E1658" t="s">
        <v>46</v>
      </c>
      <c r="F1658" t="s">
        <v>86</v>
      </c>
      <c r="G1658" t="s">
        <v>180</v>
      </c>
      <c r="H1658">
        <v>1</v>
      </c>
      <c r="I1658">
        <v>53337</v>
      </c>
      <c r="J1658">
        <v>10</v>
      </c>
      <c r="K1658">
        <v>5333.7</v>
      </c>
      <c r="L1658">
        <v>48003.3</v>
      </c>
      <c r="M1658">
        <v>36671.83</v>
      </c>
      <c r="N1658">
        <v>11331.47</v>
      </c>
      <c r="O1658" t="s">
        <v>49</v>
      </c>
      <c r="P1658">
        <v>183.16</v>
      </c>
      <c r="Q1658" t="s">
        <v>40</v>
      </c>
      <c r="R1658" t="s">
        <v>41</v>
      </c>
      <c r="S1658">
        <v>2</v>
      </c>
      <c r="T1658">
        <v>2</v>
      </c>
      <c r="U1658" t="s">
        <v>32</v>
      </c>
      <c r="V1658" t="s">
        <v>33</v>
      </c>
      <c r="W1658">
        <v>1</v>
      </c>
    </row>
    <row r="1659" spans="1:23" x14ac:dyDescent="0.25">
      <c r="A1659" t="s">
        <v>2304</v>
      </c>
      <c r="B1659" s="1">
        <v>45714</v>
      </c>
      <c r="C1659" t="s">
        <v>691</v>
      </c>
      <c r="D1659" t="s">
        <v>79</v>
      </c>
      <c r="E1659" t="s">
        <v>46</v>
      </c>
      <c r="F1659" t="s">
        <v>27</v>
      </c>
      <c r="G1659" t="s">
        <v>28</v>
      </c>
      <c r="H1659">
        <v>1</v>
      </c>
      <c r="I1659">
        <v>12405</v>
      </c>
      <c r="J1659">
        <v>20</v>
      </c>
      <c r="K1659">
        <v>2481</v>
      </c>
      <c r="L1659">
        <v>9924</v>
      </c>
      <c r="M1659">
        <v>5793.52</v>
      </c>
      <c r="N1659">
        <v>4130.4799999999996</v>
      </c>
      <c r="O1659" t="s">
        <v>55</v>
      </c>
      <c r="P1659">
        <v>1721.2</v>
      </c>
      <c r="Q1659" t="s">
        <v>30</v>
      </c>
      <c r="R1659" t="s">
        <v>41</v>
      </c>
      <c r="S1659">
        <v>2</v>
      </c>
      <c r="T1659">
        <v>4</v>
      </c>
      <c r="U1659" t="s">
        <v>56</v>
      </c>
      <c r="V1659" t="s">
        <v>33</v>
      </c>
      <c r="W1659">
        <v>3</v>
      </c>
    </row>
    <row r="1660" spans="1:23" x14ac:dyDescent="0.25">
      <c r="A1660" t="s">
        <v>2305</v>
      </c>
      <c r="B1660" s="1">
        <v>45803</v>
      </c>
      <c r="C1660" t="s">
        <v>251</v>
      </c>
      <c r="D1660" t="s">
        <v>67</v>
      </c>
      <c r="E1660" t="s">
        <v>46</v>
      </c>
      <c r="F1660" t="s">
        <v>37</v>
      </c>
      <c r="G1660" t="s">
        <v>313</v>
      </c>
      <c r="H1660">
        <v>1</v>
      </c>
      <c r="I1660">
        <v>38423</v>
      </c>
      <c r="J1660">
        <v>20</v>
      </c>
      <c r="K1660">
        <v>7684.6</v>
      </c>
      <c r="L1660">
        <v>30738.400000000001</v>
      </c>
      <c r="M1660">
        <v>16936.91</v>
      </c>
      <c r="N1660">
        <v>13801.49</v>
      </c>
      <c r="O1660" t="s">
        <v>49</v>
      </c>
      <c r="P1660">
        <v>97.94</v>
      </c>
      <c r="Q1660" t="s">
        <v>68</v>
      </c>
      <c r="R1660" t="s">
        <v>31</v>
      </c>
      <c r="S1660">
        <v>5</v>
      </c>
      <c r="T1660">
        <v>2</v>
      </c>
      <c r="U1660" t="s">
        <v>32</v>
      </c>
      <c r="V1660" t="s">
        <v>33</v>
      </c>
      <c r="W1660">
        <v>5</v>
      </c>
    </row>
    <row r="1661" spans="1:23" x14ac:dyDescent="0.25">
      <c r="A1661" t="s">
        <v>2306</v>
      </c>
      <c r="B1661" s="1">
        <v>46005</v>
      </c>
      <c r="C1661" t="s">
        <v>973</v>
      </c>
      <c r="D1661" t="s">
        <v>79</v>
      </c>
      <c r="E1661" t="s">
        <v>36</v>
      </c>
      <c r="F1661" t="s">
        <v>27</v>
      </c>
      <c r="G1661" t="s">
        <v>28</v>
      </c>
      <c r="H1661">
        <v>1</v>
      </c>
      <c r="I1661">
        <v>16125</v>
      </c>
      <c r="J1661">
        <v>5</v>
      </c>
      <c r="K1661">
        <v>806.25</v>
      </c>
      <c r="L1661">
        <v>15318.75</v>
      </c>
      <c r="M1661">
        <v>9119.4699999999993</v>
      </c>
      <c r="N1661">
        <v>6199.28</v>
      </c>
      <c r="O1661" t="s">
        <v>91</v>
      </c>
      <c r="P1661">
        <v>2362.6999999999998</v>
      </c>
      <c r="Q1661" t="s">
        <v>40</v>
      </c>
      <c r="R1661" t="s">
        <v>41</v>
      </c>
      <c r="S1661">
        <v>2</v>
      </c>
      <c r="T1661">
        <v>4</v>
      </c>
      <c r="U1661" t="s">
        <v>56</v>
      </c>
      <c r="V1661" t="s">
        <v>33</v>
      </c>
      <c r="W1661">
        <v>2</v>
      </c>
    </row>
    <row r="1662" spans="1:23" x14ac:dyDescent="0.25">
      <c r="A1662" t="s">
        <v>2307</v>
      </c>
      <c r="B1662" s="1">
        <v>46005</v>
      </c>
      <c r="C1662" t="s">
        <v>142</v>
      </c>
      <c r="D1662" t="s">
        <v>71</v>
      </c>
      <c r="E1662" t="s">
        <v>46</v>
      </c>
      <c r="F1662" t="s">
        <v>53</v>
      </c>
      <c r="G1662" t="s">
        <v>59</v>
      </c>
      <c r="H1662">
        <v>2</v>
      </c>
      <c r="I1662">
        <v>19644</v>
      </c>
      <c r="J1662">
        <v>10</v>
      </c>
      <c r="K1662">
        <v>3928.8</v>
      </c>
      <c r="L1662">
        <v>35359.199999999997</v>
      </c>
      <c r="M1662">
        <v>22267</v>
      </c>
      <c r="N1662">
        <v>13092.2</v>
      </c>
      <c r="O1662" t="s">
        <v>91</v>
      </c>
      <c r="P1662">
        <v>719.48</v>
      </c>
      <c r="Q1662" t="s">
        <v>83</v>
      </c>
      <c r="R1662" t="s">
        <v>31</v>
      </c>
      <c r="S1662">
        <v>5</v>
      </c>
      <c r="T1662">
        <v>7</v>
      </c>
      <c r="U1662" t="s">
        <v>56</v>
      </c>
      <c r="V1662" t="s">
        <v>33</v>
      </c>
      <c r="W1662">
        <v>3</v>
      </c>
    </row>
    <row r="1663" spans="1:23" x14ac:dyDescent="0.25">
      <c r="A1663" t="s">
        <v>2308</v>
      </c>
      <c r="B1663" s="1">
        <v>45961</v>
      </c>
      <c r="C1663" t="s">
        <v>1050</v>
      </c>
      <c r="D1663" t="s">
        <v>90</v>
      </c>
      <c r="E1663" t="s">
        <v>46</v>
      </c>
      <c r="F1663" t="s">
        <v>27</v>
      </c>
      <c r="G1663" t="s">
        <v>72</v>
      </c>
      <c r="H1663">
        <v>3</v>
      </c>
      <c r="I1663">
        <v>13340</v>
      </c>
      <c r="J1663">
        <v>25</v>
      </c>
      <c r="K1663">
        <v>10005</v>
      </c>
      <c r="L1663">
        <v>30015</v>
      </c>
      <c r="M1663">
        <v>21297.27</v>
      </c>
      <c r="N1663">
        <v>8717.73</v>
      </c>
      <c r="O1663" t="s">
        <v>39</v>
      </c>
      <c r="P1663">
        <v>359.47</v>
      </c>
      <c r="Q1663" t="s">
        <v>83</v>
      </c>
      <c r="R1663" t="s">
        <v>41</v>
      </c>
      <c r="S1663">
        <v>2</v>
      </c>
      <c r="T1663">
        <v>4</v>
      </c>
      <c r="U1663" t="s">
        <v>32</v>
      </c>
      <c r="V1663" t="s">
        <v>42</v>
      </c>
    </row>
    <row r="1664" spans="1:23" x14ac:dyDescent="0.25">
      <c r="A1664" t="s">
        <v>2309</v>
      </c>
      <c r="B1664" s="1">
        <v>45907</v>
      </c>
      <c r="C1664" t="s">
        <v>364</v>
      </c>
      <c r="D1664" t="s">
        <v>90</v>
      </c>
      <c r="E1664" t="s">
        <v>36</v>
      </c>
      <c r="F1664" t="s">
        <v>47</v>
      </c>
      <c r="G1664" t="s">
        <v>105</v>
      </c>
      <c r="H1664">
        <v>1</v>
      </c>
      <c r="I1664">
        <v>7257</v>
      </c>
      <c r="J1664">
        <v>5</v>
      </c>
      <c r="K1664">
        <v>362.85</v>
      </c>
      <c r="L1664">
        <v>6894.15</v>
      </c>
      <c r="M1664">
        <v>5008.8599999999997</v>
      </c>
      <c r="N1664">
        <v>1885.29</v>
      </c>
      <c r="O1664" t="s">
        <v>55</v>
      </c>
      <c r="P1664">
        <v>653.72</v>
      </c>
      <c r="Q1664" t="s">
        <v>68</v>
      </c>
      <c r="R1664" t="s">
        <v>41</v>
      </c>
      <c r="S1664">
        <v>2</v>
      </c>
      <c r="T1664">
        <v>1</v>
      </c>
      <c r="U1664" t="s">
        <v>32</v>
      </c>
      <c r="V1664" t="s">
        <v>33</v>
      </c>
      <c r="W1664">
        <v>5</v>
      </c>
    </row>
    <row r="1665" spans="1:23" x14ac:dyDescent="0.25">
      <c r="A1665" t="s">
        <v>2310</v>
      </c>
      <c r="B1665" s="1">
        <v>45927</v>
      </c>
      <c r="C1665" t="s">
        <v>952</v>
      </c>
      <c r="D1665" t="s">
        <v>79</v>
      </c>
      <c r="E1665" t="s">
        <v>36</v>
      </c>
      <c r="F1665" t="s">
        <v>53</v>
      </c>
      <c r="G1665" t="s">
        <v>54</v>
      </c>
      <c r="H1665">
        <v>1</v>
      </c>
      <c r="I1665">
        <v>22974</v>
      </c>
      <c r="J1665">
        <v>10</v>
      </c>
      <c r="K1665">
        <v>2297.4</v>
      </c>
      <c r="L1665">
        <v>20676.599999999999</v>
      </c>
      <c r="M1665">
        <v>14811.55</v>
      </c>
      <c r="N1665">
        <v>5865.05</v>
      </c>
      <c r="O1665" t="s">
        <v>55</v>
      </c>
      <c r="P1665">
        <v>859.21</v>
      </c>
      <c r="Q1665" t="s">
        <v>83</v>
      </c>
      <c r="R1665" t="s">
        <v>31</v>
      </c>
      <c r="S1665">
        <v>5</v>
      </c>
      <c r="T1665">
        <v>3</v>
      </c>
      <c r="U1665" t="s">
        <v>32</v>
      </c>
      <c r="V1665" t="s">
        <v>33</v>
      </c>
      <c r="W1665">
        <v>3</v>
      </c>
    </row>
    <row r="1666" spans="1:23" x14ac:dyDescent="0.25">
      <c r="A1666" t="s">
        <v>2311</v>
      </c>
      <c r="B1666" s="1">
        <v>45999</v>
      </c>
      <c r="C1666" t="s">
        <v>905</v>
      </c>
      <c r="D1666" t="s">
        <v>67</v>
      </c>
      <c r="E1666" t="s">
        <v>46</v>
      </c>
      <c r="F1666" t="s">
        <v>86</v>
      </c>
      <c r="G1666" t="s">
        <v>94</v>
      </c>
      <c r="H1666">
        <v>1</v>
      </c>
      <c r="I1666">
        <v>45719</v>
      </c>
      <c r="J1666">
        <v>10</v>
      </c>
      <c r="K1666">
        <v>4571.8999999999996</v>
      </c>
      <c r="L1666">
        <v>41147.1</v>
      </c>
      <c r="M1666">
        <v>26786.22</v>
      </c>
      <c r="N1666">
        <v>14360.88</v>
      </c>
      <c r="O1666" t="s">
        <v>39</v>
      </c>
      <c r="P1666">
        <v>2466.9699999999998</v>
      </c>
      <c r="Q1666" t="s">
        <v>30</v>
      </c>
      <c r="R1666" t="s">
        <v>31</v>
      </c>
      <c r="S1666">
        <v>5</v>
      </c>
      <c r="T1666">
        <v>7</v>
      </c>
      <c r="U1666" t="s">
        <v>56</v>
      </c>
      <c r="V1666" t="s">
        <v>33</v>
      </c>
      <c r="W1666">
        <v>5</v>
      </c>
    </row>
    <row r="1667" spans="1:23" x14ac:dyDescent="0.25">
      <c r="A1667" t="s">
        <v>2312</v>
      </c>
      <c r="B1667" s="1">
        <v>45815</v>
      </c>
      <c r="C1667" t="s">
        <v>1091</v>
      </c>
      <c r="D1667" t="s">
        <v>25</v>
      </c>
      <c r="E1667" t="s">
        <v>36</v>
      </c>
      <c r="F1667" t="s">
        <v>53</v>
      </c>
      <c r="G1667" t="s">
        <v>268</v>
      </c>
      <c r="H1667">
        <v>3</v>
      </c>
      <c r="I1667">
        <v>108238</v>
      </c>
      <c r="J1667">
        <v>15</v>
      </c>
      <c r="K1667">
        <v>48707.1</v>
      </c>
      <c r="L1667">
        <v>276006.90000000002</v>
      </c>
      <c r="M1667">
        <v>198492.32</v>
      </c>
      <c r="N1667">
        <v>77514.58</v>
      </c>
      <c r="O1667" t="s">
        <v>91</v>
      </c>
      <c r="P1667">
        <v>1087.6099999999999</v>
      </c>
      <c r="Q1667" t="s">
        <v>83</v>
      </c>
      <c r="R1667" t="s">
        <v>31</v>
      </c>
      <c r="S1667">
        <v>5</v>
      </c>
      <c r="T1667">
        <v>4</v>
      </c>
      <c r="U1667" t="s">
        <v>32</v>
      </c>
      <c r="V1667" t="s">
        <v>33</v>
      </c>
      <c r="W1667">
        <v>5</v>
      </c>
    </row>
    <row r="1668" spans="1:23" x14ac:dyDescent="0.25">
      <c r="A1668" t="s">
        <v>2313</v>
      </c>
      <c r="B1668" s="1">
        <v>45681</v>
      </c>
      <c r="C1668" t="s">
        <v>792</v>
      </c>
      <c r="D1668" t="s">
        <v>124</v>
      </c>
      <c r="E1668" t="s">
        <v>36</v>
      </c>
      <c r="F1668" t="s">
        <v>37</v>
      </c>
      <c r="G1668" t="s">
        <v>100</v>
      </c>
      <c r="H1668">
        <v>1</v>
      </c>
      <c r="I1668">
        <v>14143</v>
      </c>
      <c r="J1668">
        <v>10</v>
      </c>
      <c r="K1668">
        <v>1414.3</v>
      </c>
      <c r="L1668">
        <v>12728.7</v>
      </c>
      <c r="M1668">
        <v>8741.73</v>
      </c>
      <c r="N1668">
        <v>3986.97</v>
      </c>
      <c r="O1668" t="s">
        <v>55</v>
      </c>
      <c r="P1668">
        <v>1916.37</v>
      </c>
      <c r="Q1668" t="s">
        <v>40</v>
      </c>
      <c r="R1668" t="s">
        <v>31</v>
      </c>
      <c r="S1668">
        <v>5</v>
      </c>
      <c r="T1668">
        <v>1</v>
      </c>
      <c r="U1668" t="s">
        <v>32</v>
      </c>
      <c r="V1668" t="s">
        <v>50</v>
      </c>
      <c r="W1668">
        <v>5</v>
      </c>
    </row>
    <row r="1669" spans="1:23" x14ac:dyDescent="0.25">
      <c r="A1669" t="s">
        <v>2314</v>
      </c>
      <c r="B1669" s="1">
        <v>45770</v>
      </c>
      <c r="C1669" t="s">
        <v>1549</v>
      </c>
      <c r="D1669" t="s">
        <v>25</v>
      </c>
      <c r="E1669" t="s">
        <v>46</v>
      </c>
      <c r="F1669" t="s">
        <v>86</v>
      </c>
      <c r="G1669" t="s">
        <v>110</v>
      </c>
      <c r="H1669">
        <v>2</v>
      </c>
      <c r="I1669">
        <v>56858</v>
      </c>
      <c r="J1669">
        <v>0</v>
      </c>
      <c r="K1669">
        <v>0</v>
      </c>
      <c r="L1669">
        <v>113716</v>
      </c>
      <c r="M1669">
        <v>70550.44</v>
      </c>
      <c r="N1669">
        <v>43165.56</v>
      </c>
      <c r="O1669" t="s">
        <v>49</v>
      </c>
      <c r="P1669">
        <v>309.43</v>
      </c>
      <c r="Q1669" t="s">
        <v>83</v>
      </c>
      <c r="R1669" t="s">
        <v>31</v>
      </c>
      <c r="S1669">
        <v>5</v>
      </c>
      <c r="T1669">
        <v>3</v>
      </c>
      <c r="U1669" t="s">
        <v>32</v>
      </c>
      <c r="V1669" t="s">
        <v>33</v>
      </c>
      <c r="W1669">
        <v>3</v>
      </c>
    </row>
    <row r="1670" spans="1:23" x14ac:dyDescent="0.25">
      <c r="A1670" t="s">
        <v>2315</v>
      </c>
      <c r="B1670" s="1">
        <v>45860</v>
      </c>
      <c r="C1670" t="s">
        <v>668</v>
      </c>
      <c r="D1670" t="s">
        <v>67</v>
      </c>
      <c r="E1670" t="s">
        <v>46</v>
      </c>
      <c r="F1670" t="s">
        <v>27</v>
      </c>
      <c r="G1670" t="s">
        <v>28</v>
      </c>
      <c r="H1670">
        <v>1</v>
      </c>
      <c r="I1670">
        <v>19152</v>
      </c>
      <c r="J1670">
        <v>10</v>
      </c>
      <c r="K1670">
        <v>1915.2</v>
      </c>
      <c r="L1670">
        <v>17236.8</v>
      </c>
      <c r="M1670">
        <v>11632.72</v>
      </c>
      <c r="N1670">
        <v>5604.08</v>
      </c>
      <c r="O1670" t="s">
        <v>55</v>
      </c>
      <c r="P1670">
        <v>479.3</v>
      </c>
      <c r="Q1670" t="s">
        <v>68</v>
      </c>
      <c r="R1670" t="s">
        <v>31</v>
      </c>
      <c r="S1670">
        <v>5</v>
      </c>
      <c r="T1670">
        <v>6</v>
      </c>
      <c r="U1670" t="s">
        <v>56</v>
      </c>
      <c r="V1670" t="s">
        <v>33</v>
      </c>
    </row>
    <row r="1671" spans="1:23" x14ac:dyDescent="0.25">
      <c r="A1671" t="s">
        <v>2316</v>
      </c>
      <c r="B1671" s="1">
        <v>45964</v>
      </c>
      <c r="C1671" t="s">
        <v>484</v>
      </c>
      <c r="D1671" t="s">
        <v>45</v>
      </c>
      <c r="E1671" t="s">
        <v>26</v>
      </c>
      <c r="F1671" t="s">
        <v>86</v>
      </c>
      <c r="G1671" t="s">
        <v>180</v>
      </c>
      <c r="H1671">
        <v>3</v>
      </c>
      <c r="I1671">
        <v>57530</v>
      </c>
      <c r="J1671">
        <v>5</v>
      </c>
      <c r="K1671">
        <v>8629.5</v>
      </c>
      <c r="L1671">
        <v>163960.5</v>
      </c>
      <c r="M1671">
        <v>126461.88</v>
      </c>
      <c r="N1671">
        <v>37498.620000000003</v>
      </c>
      <c r="O1671" t="s">
        <v>29</v>
      </c>
      <c r="P1671">
        <v>433.74</v>
      </c>
      <c r="Q1671" t="s">
        <v>73</v>
      </c>
      <c r="R1671" t="s">
        <v>41</v>
      </c>
      <c r="S1671">
        <v>2</v>
      </c>
      <c r="T1671">
        <v>0</v>
      </c>
      <c r="U1671" t="s">
        <v>32</v>
      </c>
      <c r="V1671" t="s">
        <v>42</v>
      </c>
    </row>
    <row r="1672" spans="1:23" x14ac:dyDescent="0.25">
      <c r="A1672" t="s">
        <v>2317</v>
      </c>
      <c r="B1672" s="1">
        <v>45686</v>
      </c>
      <c r="C1672" t="s">
        <v>2031</v>
      </c>
      <c r="D1672" t="s">
        <v>90</v>
      </c>
      <c r="E1672" t="s">
        <v>26</v>
      </c>
      <c r="F1672" t="s">
        <v>86</v>
      </c>
      <c r="G1672" t="s">
        <v>94</v>
      </c>
      <c r="H1672">
        <v>1</v>
      </c>
      <c r="I1672">
        <v>68316</v>
      </c>
      <c r="J1672">
        <v>25</v>
      </c>
      <c r="K1672">
        <v>17079</v>
      </c>
      <c r="L1672">
        <v>51237</v>
      </c>
      <c r="M1672">
        <v>41814.639999999999</v>
      </c>
      <c r="N1672">
        <v>9422.36</v>
      </c>
      <c r="O1672" t="s">
        <v>91</v>
      </c>
      <c r="P1672">
        <v>940.95</v>
      </c>
      <c r="Q1672" t="s">
        <v>40</v>
      </c>
      <c r="R1672" t="s">
        <v>31</v>
      </c>
      <c r="S1672">
        <v>5</v>
      </c>
      <c r="T1672">
        <v>4</v>
      </c>
      <c r="U1672" t="s">
        <v>32</v>
      </c>
      <c r="V1672" t="s">
        <v>33</v>
      </c>
      <c r="W1672">
        <v>3</v>
      </c>
    </row>
    <row r="1673" spans="1:23" x14ac:dyDescent="0.25">
      <c r="A1673" t="s">
        <v>2318</v>
      </c>
      <c r="B1673" s="1">
        <v>45661</v>
      </c>
      <c r="C1673" t="s">
        <v>1744</v>
      </c>
      <c r="D1673" t="s">
        <v>45</v>
      </c>
      <c r="E1673" t="s">
        <v>46</v>
      </c>
      <c r="F1673" t="s">
        <v>53</v>
      </c>
      <c r="G1673" t="s">
        <v>59</v>
      </c>
      <c r="H1673">
        <v>1</v>
      </c>
      <c r="I1673">
        <v>15279</v>
      </c>
      <c r="J1673">
        <v>0</v>
      </c>
      <c r="K1673">
        <v>0</v>
      </c>
      <c r="L1673">
        <v>15279</v>
      </c>
      <c r="M1673">
        <v>8746.5300000000007</v>
      </c>
      <c r="N1673">
        <v>6532.47</v>
      </c>
      <c r="O1673" t="s">
        <v>91</v>
      </c>
      <c r="P1673">
        <v>1155.1400000000001</v>
      </c>
      <c r="Q1673" t="s">
        <v>40</v>
      </c>
      <c r="R1673" t="s">
        <v>41</v>
      </c>
      <c r="S1673">
        <v>2</v>
      </c>
      <c r="T1673">
        <v>1</v>
      </c>
      <c r="U1673" t="s">
        <v>32</v>
      </c>
      <c r="V1673" t="s">
        <v>33</v>
      </c>
      <c r="W1673">
        <v>1</v>
      </c>
    </row>
    <row r="1674" spans="1:23" x14ac:dyDescent="0.25">
      <c r="A1674" t="s">
        <v>2319</v>
      </c>
      <c r="B1674" s="1">
        <v>45762</v>
      </c>
      <c r="C1674" t="s">
        <v>2320</v>
      </c>
      <c r="D1674" t="s">
        <v>63</v>
      </c>
      <c r="E1674" t="s">
        <v>36</v>
      </c>
      <c r="F1674" t="s">
        <v>27</v>
      </c>
      <c r="G1674" t="s">
        <v>76</v>
      </c>
      <c r="H1674">
        <v>2</v>
      </c>
      <c r="I1674">
        <v>8065</v>
      </c>
      <c r="J1674">
        <v>5</v>
      </c>
      <c r="K1674">
        <v>806.5</v>
      </c>
      <c r="L1674">
        <v>15323.5</v>
      </c>
      <c r="M1674">
        <v>8432.92</v>
      </c>
      <c r="N1674">
        <v>6890.58</v>
      </c>
      <c r="O1674" t="s">
        <v>39</v>
      </c>
      <c r="P1674">
        <v>644.4</v>
      </c>
      <c r="Q1674" t="s">
        <v>73</v>
      </c>
      <c r="R1674" t="s">
        <v>31</v>
      </c>
      <c r="S1674">
        <v>5</v>
      </c>
      <c r="T1674">
        <v>5</v>
      </c>
      <c r="U1674" t="s">
        <v>32</v>
      </c>
      <c r="V1674" t="s">
        <v>50</v>
      </c>
      <c r="W1674">
        <v>5</v>
      </c>
    </row>
    <row r="1675" spans="1:23" x14ac:dyDescent="0.25">
      <c r="A1675" t="s">
        <v>2321</v>
      </c>
      <c r="B1675" s="1">
        <v>45812</v>
      </c>
      <c r="C1675" t="s">
        <v>882</v>
      </c>
      <c r="D1675" t="s">
        <v>97</v>
      </c>
      <c r="E1675" t="s">
        <v>26</v>
      </c>
      <c r="F1675" t="s">
        <v>27</v>
      </c>
      <c r="G1675" t="s">
        <v>28</v>
      </c>
      <c r="H1675">
        <v>1</v>
      </c>
      <c r="I1675">
        <v>12140</v>
      </c>
      <c r="J1675">
        <v>25</v>
      </c>
      <c r="K1675">
        <v>3035</v>
      </c>
      <c r="L1675">
        <v>9105</v>
      </c>
      <c r="M1675">
        <v>5314.72</v>
      </c>
      <c r="N1675">
        <v>3790.28</v>
      </c>
      <c r="O1675" t="s">
        <v>60</v>
      </c>
      <c r="P1675">
        <v>1644.7</v>
      </c>
      <c r="Q1675" t="s">
        <v>30</v>
      </c>
      <c r="R1675" t="s">
        <v>41</v>
      </c>
      <c r="S1675">
        <v>2</v>
      </c>
      <c r="T1675">
        <v>5</v>
      </c>
      <c r="U1675" t="s">
        <v>32</v>
      </c>
      <c r="V1675" t="s">
        <v>50</v>
      </c>
    </row>
    <row r="1676" spans="1:23" x14ac:dyDescent="0.25">
      <c r="A1676" t="s">
        <v>2322</v>
      </c>
      <c r="B1676" s="1">
        <v>45766</v>
      </c>
      <c r="C1676" t="s">
        <v>785</v>
      </c>
      <c r="D1676" t="s">
        <v>79</v>
      </c>
      <c r="E1676" t="s">
        <v>46</v>
      </c>
      <c r="F1676" t="s">
        <v>86</v>
      </c>
      <c r="G1676" t="s">
        <v>94</v>
      </c>
      <c r="H1676">
        <v>4</v>
      </c>
      <c r="I1676">
        <v>77689</v>
      </c>
      <c r="J1676">
        <v>0</v>
      </c>
      <c r="K1676">
        <v>0</v>
      </c>
      <c r="L1676">
        <v>310756</v>
      </c>
      <c r="M1676">
        <v>205371.92</v>
      </c>
      <c r="N1676">
        <v>105384.08</v>
      </c>
      <c r="O1676" t="s">
        <v>29</v>
      </c>
      <c r="P1676">
        <v>861.08</v>
      </c>
      <c r="Q1676" t="s">
        <v>30</v>
      </c>
      <c r="R1676" t="s">
        <v>41</v>
      </c>
      <c r="S1676">
        <v>2</v>
      </c>
      <c r="T1676">
        <v>5</v>
      </c>
      <c r="U1676" t="s">
        <v>56</v>
      </c>
      <c r="V1676" t="s">
        <v>33</v>
      </c>
      <c r="W1676">
        <v>5</v>
      </c>
    </row>
    <row r="1677" spans="1:23" x14ac:dyDescent="0.25">
      <c r="A1677" t="s">
        <v>2323</v>
      </c>
      <c r="B1677" s="1">
        <v>45728</v>
      </c>
      <c r="C1677" t="s">
        <v>1148</v>
      </c>
      <c r="D1677" t="s">
        <v>90</v>
      </c>
      <c r="E1677" t="s">
        <v>46</v>
      </c>
      <c r="F1677" t="s">
        <v>27</v>
      </c>
      <c r="G1677" t="s">
        <v>164</v>
      </c>
      <c r="H1677">
        <v>1</v>
      </c>
      <c r="I1677">
        <v>23408</v>
      </c>
      <c r="J1677">
        <v>15</v>
      </c>
      <c r="K1677">
        <v>3511.2</v>
      </c>
      <c r="L1677">
        <v>19896.8</v>
      </c>
      <c r="M1677">
        <v>13665.53</v>
      </c>
      <c r="N1677">
        <v>6231.27</v>
      </c>
      <c r="O1677" t="s">
        <v>91</v>
      </c>
      <c r="P1677">
        <v>2149.52</v>
      </c>
      <c r="Q1677" t="s">
        <v>30</v>
      </c>
      <c r="R1677" t="s">
        <v>31</v>
      </c>
      <c r="S1677">
        <v>5</v>
      </c>
      <c r="T1677">
        <v>4</v>
      </c>
      <c r="U1677" t="s">
        <v>32</v>
      </c>
      <c r="V1677" t="s">
        <v>33</v>
      </c>
      <c r="W1677">
        <v>4</v>
      </c>
    </row>
    <row r="1678" spans="1:23" x14ac:dyDescent="0.25">
      <c r="A1678" t="s">
        <v>2324</v>
      </c>
      <c r="B1678" s="1">
        <v>45788</v>
      </c>
      <c r="C1678" t="s">
        <v>191</v>
      </c>
      <c r="D1678" t="s">
        <v>154</v>
      </c>
      <c r="E1678" t="s">
        <v>26</v>
      </c>
      <c r="F1678" t="s">
        <v>86</v>
      </c>
      <c r="G1678" t="s">
        <v>180</v>
      </c>
      <c r="H1678">
        <v>2</v>
      </c>
      <c r="I1678">
        <v>35899</v>
      </c>
      <c r="J1678">
        <v>10</v>
      </c>
      <c r="K1678">
        <v>7179.8</v>
      </c>
      <c r="L1678">
        <v>64618.2</v>
      </c>
      <c r="M1678">
        <v>37981.040000000001</v>
      </c>
      <c r="N1678">
        <v>26637.16</v>
      </c>
      <c r="O1678" t="s">
        <v>91</v>
      </c>
      <c r="P1678">
        <v>2051.59</v>
      </c>
      <c r="Q1678" t="s">
        <v>30</v>
      </c>
      <c r="R1678" t="s">
        <v>31</v>
      </c>
      <c r="S1678">
        <v>5</v>
      </c>
      <c r="T1678">
        <v>5</v>
      </c>
      <c r="U1678" t="s">
        <v>32</v>
      </c>
      <c r="V1678" t="s">
        <v>42</v>
      </c>
    </row>
    <row r="1679" spans="1:23" x14ac:dyDescent="0.25">
      <c r="A1679" t="s">
        <v>2325</v>
      </c>
      <c r="B1679" s="1">
        <v>45806</v>
      </c>
      <c r="C1679" t="s">
        <v>657</v>
      </c>
      <c r="D1679" t="s">
        <v>45</v>
      </c>
      <c r="E1679" t="s">
        <v>26</v>
      </c>
      <c r="F1679" t="s">
        <v>53</v>
      </c>
      <c r="G1679" t="s">
        <v>268</v>
      </c>
      <c r="H1679">
        <v>1</v>
      </c>
      <c r="I1679">
        <v>119849</v>
      </c>
      <c r="J1679">
        <v>0</v>
      </c>
      <c r="K1679">
        <v>0</v>
      </c>
      <c r="L1679">
        <v>119849</v>
      </c>
      <c r="M1679">
        <v>76046.080000000002</v>
      </c>
      <c r="N1679">
        <v>43802.92</v>
      </c>
      <c r="O1679" t="s">
        <v>91</v>
      </c>
      <c r="P1679">
        <v>791.7</v>
      </c>
      <c r="Q1679" t="s">
        <v>73</v>
      </c>
      <c r="R1679" t="s">
        <v>41</v>
      </c>
      <c r="S1679">
        <v>2</v>
      </c>
      <c r="T1679">
        <v>6</v>
      </c>
      <c r="U1679" t="s">
        <v>32</v>
      </c>
      <c r="V1679" t="s">
        <v>42</v>
      </c>
    </row>
    <row r="1680" spans="1:23" x14ac:dyDescent="0.25">
      <c r="A1680" t="s">
        <v>2326</v>
      </c>
      <c r="B1680" s="1">
        <v>45825</v>
      </c>
      <c r="C1680" t="s">
        <v>156</v>
      </c>
      <c r="D1680" t="s">
        <v>71</v>
      </c>
      <c r="E1680" t="s">
        <v>26</v>
      </c>
      <c r="F1680" t="s">
        <v>37</v>
      </c>
      <c r="G1680" t="s">
        <v>313</v>
      </c>
      <c r="H1680">
        <v>1</v>
      </c>
      <c r="I1680">
        <v>18585</v>
      </c>
      <c r="J1680">
        <v>5</v>
      </c>
      <c r="K1680">
        <v>929.25</v>
      </c>
      <c r="L1680">
        <v>17655.75</v>
      </c>
      <c r="M1680">
        <v>9931.5300000000007</v>
      </c>
      <c r="N1680">
        <v>7724.22</v>
      </c>
      <c r="O1680" t="s">
        <v>49</v>
      </c>
      <c r="P1680">
        <v>368.39</v>
      </c>
      <c r="Q1680" t="s">
        <v>83</v>
      </c>
      <c r="R1680" t="s">
        <v>31</v>
      </c>
      <c r="S1680">
        <v>5</v>
      </c>
      <c r="T1680">
        <v>6</v>
      </c>
      <c r="U1680" t="s">
        <v>56</v>
      </c>
      <c r="V1680" t="s">
        <v>33</v>
      </c>
      <c r="W1680">
        <v>5</v>
      </c>
    </row>
    <row r="1681" spans="1:23" x14ac:dyDescent="0.25">
      <c r="A1681" t="s">
        <v>2327</v>
      </c>
      <c r="B1681" s="1">
        <v>45719</v>
      </c>
      <c r="C1681" t="s">
        <v>1311</v>
      </c>
      <c r="D1681" t="s">
        <v>67</v>
      </c>
      <c r="E1681" t="s">
        <v>36</v>
      </c>
      <c r="F1681" t="s">
        <v>86</v>
      </c>
      <c r="G1681" t="s">
        <v>110</v>
      </c>
      <c r="H1681">
        <v>1</v>
      </c>
      <c r="I1681">
        <v>13312</v>
      </c>
      <c r="J1681">
        <v>0</v>
      </c>
      <c r="K1681">
        <v>0</v>
      </c>
      <c r="L1681">
        <v>13312</v>
      </c>
      <c r="M1681">
        <v>10125.1</v>
      </c>
      <c r="N1681">
        <v>3186.9</v>
      </c>
      <c r="O1681" t="s">
        <v>55</v>
      </c>
      <c r="P1681">
        <v>319.89999999999998</v>
      </c>
      <c r="Q1681" t="s">
        <v>73</v>
      </c>
      <c r="R1681" t="s">
        <v>41</v>
      </c>
      <c r="S1681">
        <v>2</v>
      </c>
      <c r="T1681">
        <v>4</v>
      </c>
      <c r="U1681" t="s">
        <v>32</v>
      </c>
      <c r="V1681" t="s">
        <v>42</v>
      </c>
    </row>
    <row r="1682" spans="1:23" x14ac:dyDescent="0.25">
      <c r="A1682" t="s">
        <v>2328</v>
      </c>
      <c r="B1682" s="1">
        <v>45661</v>
      </c>
      <c r="C1682" t="s">
        <v>1033</v>
      </c>
      <c r="D1682" t="s">
        <v>90</v>
      </c>
      <c r="E1682" t="s">
        <v>26</v>
      </c>
      <c r="F1682" t="s">
        <v>37</v>
      </c>
      <c r="G1682" t="s">
        <v>224</v>
      </c>
      <c r="H1682">
        <v>3</v>
      </c>
      <c r="I1682">
        <v>31030</v>
      </c>
      <c r="J1682">
        <v>0</v>
      </c>
      <c r="K1682">
        <v>0</v>
      </c>
      <c r="L1682">
        <v>93090</v>
      </c>
      <c r="M1682">
        <v>73476.649999999994</v>
      </c>
      <c r="N1682">
        <v>19613.349999999999</v>
      </c>
      <c r="O1682" t="s">
        <v>49</v>
      </c>
      <c r="P1682">
        <v>60.12</v>
      </c>
      <c r="Q1682" t="s">
        <v>68</v>
      </c>
      <c r="R1682" t="s">
        <v>41</v>
      </c>
      <c r="S1682">
        <v>2</v>
      </c>
      <c r="T1682">
        <v>2</v>
      </c>
      <c r="U1682" t="s">
        <v>32</v>
      </c>
      <c r="V1682" t="s">
        <v>33</v>
      </c>
      <c r="W1682">
        <v>5</v>
      </c>
    </row>
    <row r="1683" spans="1:23" x14ac:dyDescent="0.25">
      <c r="A1683" t="s">
        <v>2329</v>
      </c>
      <c r="B1683" s="1">
        <v>45912</v>
      </c>
      <c r="C1683" t="s">
        <v>52</v>
      </c>
      <c r="D1683" t="s">
        <v>63</v>
      </c>
      <c r="E1683" t="s">
        <v>26</v>
      </c>
      <c r="F1683" t="s">
        <v>47</v>
      </c>
      <c r="G1683" t="s">
        <v>48</v>
      </c>
      <c r="H1683">
        <v>1</v>
      </c>
      <c r="I1683">
        <v>27937</v>
      </c>
      <c r="J1683">
        <v>20</v>
      </c>
      <c r="K1683">
        <v>5587.4</v>
      </c>
      <c r="L1683">
        <v>22349.599999999999</v>
      </c>
      <c r="M1683">
        <v>16936.12</v>
      </c>
      <c r="N1683">
        <v>5413.48</v>
      </c>
      <c r="O1683" t="s">
        <v>55</v>
      </c>
      <c r="P1683">
        <v>649.79999999999995</v>
      </c>
      <c r="Q1683" t="s">
        <v>73</v>
      </c>
      <c r="R1683" t="s">
        <v>41</v>
      </c>
      <c r="S1683">
        <v>2</v>
      </c>
      <c r="T1683">
        <v>6</v>
      </c>
      <c r="U1683" t="s">
        <v>32</v>
      </c>
      <c r="V1683" t="s">
        <v>50</v>
      </c>
      <c r="W1683">
        <v>5</v>
      </c>
    </row>
    <row r="1684" spans="1:23" x14ac:dyDescent="0.25">
      <c r="A1684" t="s">
        <v>2330</v>
      </c>
      <c r="B1684" s="1">
        <v>45878</v>
      </c>
      <c r="C1684" t="s">
        <v>1392</v>
      </c>
      <c r="D1684" t="s">
        <v>25</v>
      </c>
      <c r="E1684" t="s">
        <v>26</v>
      </c>
      <c r="F1684" t="s">
        <v>27</v>
      </c>
      <c r="G1684" t="s">
        <v>28</v>
      </c>
      <c r="H1684">
        <v>2</v>
      </c>
      <c r="I1684">
        <v>12328</v>
      </c>
      <c r="J1684">
        <v>0</v>
      </c>
      <c r="K1684">
        <v>0</v>
      </c>
      <c r="L1684">
        <v>24656</v>
      </c>
      <c r="M1684">
        <v>13989.46</v>
      </c>
      <c r="N1684">
        <v>10666.54</v>
      </c>
      <c r="O1684" t="s">
        <v>55</v>
      </c>
      <c r="P1684">
        <v>227.25</v>
      </c>
      <c r="Q1684" t="s">
        <v>40</v>
      </c>
      <c r="R1684" t="s">
        <v>31</v>
      </c>
      <c r="S1684">
        <v>5</v>
      </c>
      <c r="T1684">
        <v>3</v>
      </c>
      <c r="U1684" t="s">
        <v>32</v>
      </c>
      <c r="V1684" t="s">
        <v>50</v>
      </c>
      <c r="W1684">
        <v>4</v>
      </c>
    </row>
    <row r="1685" spans="1:23" x14ac:dyDescent="0.25">
      <c r="A1685" t="s">
        <v>2331</v>
      </c>
      <c r="B1685" s="1">
        <v>45747</v>
      </c>
      <c r="C1685" t="s">
        <v>440</v>
      </c>
      <c r="D1685" t="s">
        <v>71</v>
      </c>
      <c r="E1685" t="s">
        <v>26</v>
      </c>
      <c r="F1685" t="s">
        <v>27</v>
      </c>
      <c r="G1685" t="s">
        <v>76</v>
      </c>
      <c r="H1685">
        <v>1</v>
      </c>
      <c r="I1685">
        <v>21706</v>
      </c>
      <c r="J1685">
        <v>0</v>
      </c>
      <c r="K1685">
        <v>0</v>
      </c>
      <c r="L1685">
        <v>21706</v>
      </c>
      <c r="M1685">
        <v>13141.4</v>
      </c>
      <c r="N1685">
        <v>8564.6</v>
      </c>
      <c r="O1685" t="s">
        <v>49</v>
      </c>
      <c r="P1685">
        <v>69.33</v>
      </c>
      <c r="Q1685" t="s">
        <v>30</v>
      </c>
      <c r="R1685" t="s">
        <v>31</v>
      </c>
      <c r="S1685">
        <v>5</v>
      </c>
      <c r="T1685">
        <v>5</v>
      </c>
      <c r="U1685" t="s">
        <v>32</v>
      </c>
      <c r="V1685" t="s">
        <v>33</v>
      </c>
      <c r="W1685">
        <v>5</v>
      </c>
    </row>
    <row r="1686" spans="1:23" x14ac:dyDescent="0.25">
      <c r="A1686" t="s">
        <v>2332</v>
      </c>
      <c r="B1686" s="1">
        <v>45724</v>
      </c>
      <c r="C1686" t="s">
        <v>52</v>
      </c>
      <c r="D1686" t="s">
        <v>154</v>
      </c>
      <c r="E1686" t="s">
        <v>36</v>
      </c>
      <c r="F1686" t="s">
        <v>47</v>
      </c>
      <c r="G1686" t="s">
        <v>138</v>
      </c>
      <c r="H1686">
        <v>2</v>
      </c>
      <c r="I1686">
        <v>43609</v>
      </c>
      <c r="J1686">
        <v>5</v>
      </c>
      <c r="K1686">
        <v>4360.8999999999996</v>
      </c>
      <c r="L1686">
        <v>82857.100000000006</v>
      </c>
      <c r="M1686">
        <v>67082.61</v>
      </c>
      <c r="N1686">
        <v>15774.49</v>
      </c>
      <c r="O1686" t="s">
        <v>29</v>
      </c>
      <c r="P1686">
        <v>2242.34</v>
      </c>
      <c r="Q1686" t="s">
        <v>40</v>
      </c>
      <c r="R1686" t="s">
        <v>31</v>
      </c>
      <c r="S1686">
        <v>5</v>
      </c>
      <c r="T1686">
        <v>2</v>
      </c>
      <c r="U1686" t="s">
        <v>32</v>
      </c>
      <c r="V1686" t="s">
        <v>33</v>
      </c>
      <c r="W1686">
        <v>1</v>
      </c>
    </row>
    <row r="1687" spans="1:23" x14ac:dyDescent="0.25">
      <c r="A1687" t="s">
        <v>2333</v>
      </c>
      <c r="B1687" s="1">
        <v>45852</v>
      </c>
      <c r="C1687" t="s">
        <v>622</v>
      </c>
      <c r="D1687" t="s">
        <v>154</v>
      </c>
      <c r="E1687" t="s">
        <v>46</v>
      </c>
      <c r="F1687" t="s">
        <v>37</v>
      </c>
      <c r="G1687" t="s">
        <v>161</v>
      </c>
      <c r="H1687">
        <v>2</v>
      </c>
      <c r="I1687">
        <v>13787</v>
      </c>
      <c r="J1687">
        <v>0</v>
      </c>
      <c r="K1687">
        <v>0</v>
      </c>
      <c r="L1687">
        <v>27574</v>
      </c>
      <c r="M1687">
        <v>15185.57</v>
      </c>
      <c r="N1687">
        <v>12388.43</v>
      </c>
      <c r="O1687" t="s">
        <v>49</v>
      </c>
      <c r="P1687">
        <v>327.73</v>
      </c>
      <c r="Q1687" t="s">
        <v>83</v>
      </c>
      <c r="R1687" t="s">
        <v>31</v>
      </c>
      <c r="S1687">
        <v>5</v>
      </c>
      <c r="T1687">
        <v>7</v>
      </c>
      <c r="U1687" t="s">
        <v>56</v>
      </c>
      <c r="V1687" t="s">
        <v>33</v>
      </c>
      <c r="W1687">
        <v>1</v>
      </c>
    </row>
    <row r="1688" spans="1:23" x14ac:dyDescent="0.25">
      <c r="A1688" t="s">
        <v>2334</v>
      </c>
      <c r="B1688" s="1">
        <v>45930</v>
      </c>
      <c r="C1688" t="s">
        <v>417</v>
      </c>
      <c r="D1688" t="s">
        <v>97</v>
      </c>
      <c r="E1688" t="s">
        <v>46</v>
      </c>
      <c r="F1688" t="s">
        <v>37</v>
      </c>
      <c r="G1688" t="s">
        <v>313</v>
      </c>
      <c r="H1688">
        <v>2</v>
      </c>
      <c r="I1688">
        <v>32172</v>
      </c>
      <c r="J1688">
        <v>5</v>
      </c>
      <c r="K1688">
        <v>3217.2</v>
      </c>
      <c r="L1688">
        <v>61126.8</v>
      </c>
      <c r="M1688">
        <v>44004.71</v>
      </c>
      <c r="N1688">
        <v>17122.09</v>
      </c>
      <c r="O1688" t="s">
        <v>60</v>
      </c>
      <c r="P1688">
        <v>1636.82</v>
      </c>
      <c r="Q1688" t="s">
        <v>73</v>
      </c>
      <c r="R1688" t="s">
        <v>31</v>
      </c>
      <c r="S1688">
        <v>5</v>
      </c>
      <c r="T1688">
        <v>4</v>
      </c>
      <c r="U1688" t="s">
        <v>32</v>
      </c>
      <c r="V1688" t="s">
        <v>33</v>
      </c>
      <c r="W1688">
        <v>2</v>
      </c>
    </row>
    <row r="1689" spans="1:23" x14ac:dyDescent="0.25">
      <c r="A1689" t="s">
        <v>2335</v>
      </c>
      <c r="B1689" s="1">
        <v>46018</v>
      </c>
      <c r="C1689" t="s">
        <v>1116</v>
      </c>
      <c r="D1689" t="s">
        <v>90</v>
      </c>
      <c r="E1689" t="s">
        <v>36</v>
      </c>
      <c r="F1689" t="s">
        <v>86</v>
      </c>
      <c r="G1689" t="s">
        <v>94</v>
      </c>
      <c r="H1689">
        <v>3</v>
      </c>
      <c r="I1689">
        <v>21050</v>
      </c>
      <c r="J1689">
        <v>25</v>
      </c>
      <c r="K1689">
        <v>15787.5</v>
      </c>
      <c r="L1689">
        <v>47362.5</v>
      </c>
      <c r="M1689">
        <v>35877.919999999998</v>
      </c>
      <c r="N1689">
        <v>11484.58</v>
      </c>
      <c r="O1689" t="s">
        <v>55</v>
      </c>
      <c r="P1689">
        <v>2217.36</v>
      </c>
      <c r="Q1689" t="s">
        <v>68</v>
      </c>
      <c r="R1689" t="s">
        <v>31</v>
      </c>
      <c r="S1689">
        <v>5</v>
      </c>
      <c r="T1689">
        <v>1</v>
      </c>
      <c r="U1689" t="s">
        <v>32</v>
      </c>
      <c r="V1689" t="s">
        <v>50</v>
      </c>
      <c r="W1689">
        <v>4</v>
      </c>
    </row>
    <row r="1690" spans="1:23" x14ac:dyDescent="0.25">
      <c r="A1690" t="s">
        <v>2336</v>
      </c>
      <c r="B1690" s="1">
        <v>45775</v>
      </c>
      <c r="C1690" t="s">
        <v>608</v>
      </c>
      <c r="D1690" t="s">
        <v>71</v>
      </c>
      <c r="E1690" t="s">
        <v>36</v>
      </c>
      <c r="F1690" t="s">
        <v>53</v>
      </c>
      <c r="G1690" t="s">
        <v>151</v>
      </c>
      <c r="H1690">
        <v>1</v>
      </c>
      <c r="I1690">
        <v>40539</v>
      </c>
      <c r="J1690">
        <v>5</v>
      </c>
      <c r="K1690">
        <v>2026.95</v>
      </c>
      <c r="L1690">
        <v>38512.050000000003</v>
      </c>
      <c r="M1690">
        <v>21210.959999999999</v>
      </c>
      <c r="N1690">
        <v>17301.09</v>
      </c>
      <c r="O1690" t="s">
        <v>55</v>
      </c>
      <c r="P1690">
        <v>527.39</v>
      </c>
      <c r="Q1690" t="s">
        <v>73</v>
      </c>
      <c r="R1690" t="s">
        <v>41</v>
      </c>
      <c r="S1690">
        <v>2</v>
      </c>
      <c r="T1690">
        <v>2</v>
      </c>
      <c r="U1690" t="s">
        <v>32</v>
      </c>
      <c r="V1690" t="s">
        <v>33</v>
      </c>
      <c r="W1690">
        <v>5</v>
      </c>
    </row>
    <row r="1691" spans="1:23" x14ac:dyDescent="0.25">
      <c r="A1691" t="s">
        <v>2337</v>
      </c>
      <c r="B1691" s="1">
        <v>45914</v>
      </c>
      <c r="C1691" t="s">
        <v>2095</v>
      </c>
      <c r="D1691" t="s">
        <v>124</v>
      </c>
      <c r="E1691" t="s">
        <v>46</v>
      </c>
      <c r="F1691" t="s">
        <v>47</v>
      </c>
      <c r="G1691" t="s">
        <v>105</v>
      </c>
      <c r="H1691">
        <v>1</v>
      </c>
      <c r="I1691">
        <v>16276</v>
      </c>
      <c r="J1691">
        <v>15</v>
      </c>
      <c r="K1691">
        <v>2441.4</v>
      </c>
      <c r="L1691">
        <v>13834.6</v>
      </c>
      <c r="M1691">
        <v>10259.120000000001</v>
      </c>
      <c r="N1691">
        <v>3575.48</v>
      </c>
      <c r="O1691" t="s">
        <v>29</v>
      </c>
      <c r="P1691">
        <v>2132.54</v>
      </c>
      <c r="Q1691" t="s">
        <v>30</v>
      </c>
      <c r="R1691" t="s">
        <v>31</v>
      </c>
      <c r="S1691">
        <v>5</v>
      </c>
      <c r="T1691">
        <v>4</v>
      </c>
      <c r="U1691" t="s">
        <v>32</v>
      </c>
      <c r="V1691" t="s">
        <v>33</v>
      </c>
      <c r="W1691">
        <v>4</v>
      </c>
    </row>
    <row r="1692" spans="1:23" x14ac:dyDescent="0.25">
      <c r="A1692" t="s">
        <v>2338</v>
      </c>
      <c r="B1692" s="1">
        <v>45944</v>
      </c>
      <c r="C1692" t="s">
        <v>472</v>
      </c>
      <c r="D1692" t="s">
        <v>67</v>
      </c>
      <c r="E1692" t="s">
        <v>26</v>
      </c>
      <c r="F1692" t="s">
        <v>37</v>
      </c>
      <c r="G1692" t="s">
        <v>100</v>
      </c>
      <c r="H1692">
        <v>1</v>
      </c>
      <c r="I1692">
        <v>22248</v>
      </c>
      <c r="J1692">
        <v>10</v>
      </c>
      <c r="K1692">
        <v>2224.8000000000002</v>
      </c>
      <c r="L1692">
        <v>20023.2</v>
      </c>
      <c r="M1692">
        <v>11360.26</v>
      </c>
      <c r="N1692">
        <v>8662.94</v>
      </c>
      <c r="O1692" t="s">
        <v>49</v>
      </c>
      <c r="P1692">
        <v>246.15</v>
      </c>
      <c r="Q1692" t="s">
        <v>73</v>
      </c>
      <c r="R1692" t="s">
        <v>41</v>
      </c>
      <c r="S1692">
        <v>2</v>
      </c>
      <c r="T1692">
        <v>3</v>
      </c>
      <c r="U1692" t="s">
        <v>56</v>
      </c>
      <c r="V1692" t="s">
        <v>33</v>
      </c>
      <c r="W1692">
        <v>1</v>
      </c>
    </row>
    <row r="1693" spans="1:23" x14ac:dyDescent="0.25">
      <c r="A1693" t="s">
        <v>2339</v>
      </c>
      <c r="B1693" s="1">
        <v>46000</v>
      </c>
      <c r="C1693" t="s">
        <v>531</v>
      </c>
      <c r="D1693" t="s">
        <v>90</v>
      </c>
      <c r="E1693" t="s">
        <v>26</v>
      </c>
      <c r="F1693" t="s">
        <v>37</v>
      </c>
      <c r="G1693" t="s">
        <v>100</v>
      </c>
      <c r="H1693">
        <v>1</v>
      </c>
      <c r="I1693">
        <v>10543</v>
      </c>
      <c r="J1693">
        <v>10</v>
      </c>
      <c r="K1693">
        <v>1054.3</v>
      </c>
      <c r="L1693">
        <v>9488.7000000000007</v>
      </c>
      <c r="M1693">
        <v>7086.11</v>
      </c>
      <c r="N1693">
        <v>2402.59</v>
      </c>
      <c r="O1693" t="s">
        <v>49</v>
      </c>
      <c r="P1693">
        <v>184.7</v>
      </c>
      <c r="Q1693" t="s">
        <v>40</v>
      </c>
      <c r="R1693" t="s">
        <v>41</v>
      </c>
      <c r="S1693">
        <v>2</v>
      </c>
      <c r="T1693">
        <v>1</v>
      </c>
      <c r="U1693" t="s">
        <v>32</v>
      </c>
      <c r="V1693" t="s">
        <v>33</v>
      </c>
      <c r="W1693">
        <v>4</v>
      </c>
    </row>
    <row r="1694" spans="1:23" x14ac:dyDescent="0.25">
      <c r="A1694" t="s">
        <v>2340</v>
      </c>
      <c r="B1694" s="1">
        <v>45839</v>
      </c>
      <c r="C1694" t="s">
        <v>2051</v>
      </c>
      <c r="D1694" t="s">
        <v>90</v>
      </c>
      <c r="E1694" t="s">
        <v>46</v>
      </c>
      <c r="F1694" t="s">
        <v>27</v>
      </c>
      <c r="G1694" t="s">
        <v>76</v>
      </c>
      <c r="H1694">
        <v>1</v>
      </c>
      <c r="I1694">
        <v>4095</v>
      </c>
      <c r="J1694">
        <v>15</v>
      </c>
      <c r="K1694">
        <v>614.25</v>
      </c>
      <c r="L1694">
        <v>3480.75</v>
      </c>
      <c r="M1694">
        <v>2007.19</v>
      </c>
      <c r="N1694">
        <v>1473.56</v>
      </c>
      <c r="O1694" t="s">
        <v>29</v>
      </c>
      <c r="P1694">
        <v>2123.85</v>
      </c>
      <c r="Q1694" t="s">
        <v>73</v>
      </c>
      <c r="R1694" t="s">
        <v>31</v>
      </c>
      <c r="S1694">
        <v>5</v>
      </c>
      <c r="T1694">
        <v>0</v>
      </c>
      <c r="U1694" t="s">
        <v>32</v>
      </c>
      <c r="V1694" t="s">
        <v>50</v>
      </c>
      <c r="W1694">
        <v>3</v>
      </c>
    </row>
    <row r="1695" spans="1:23" x14ac:dyDescent="0.25">
      <c r="A1695" t="s">
        <v>2341</v>
      </c>
      <c r="B1695" s="1">
        <v>45694</v>
      </c>
      <c r="C1695" t="s">
        <v>1094</v>
      </c>
      <c r="D1695" t="s">
        <v>154</v>
      </c>
      <c r="E1695" t="s">
        <v>26</v>
      </c>
      <c r="F1695" t="s">
        <v>86</v>
      </c>
      <c r="G1695" t="s">
        <v>87</v>
      </c>
      <c r="H1695">
        <v>4</v>
      </c>
      <c r="I1695">
        <v>71957</v>
      </c>
      <c r="J1695">
        <v>20</v>
      </c>
      <c r="K1695">
        <v>57565.599999999999</v>
      </c>
      <c r="L1695">
        <v>230262.39999999999</v>
      </c>
      <c r="M1695">
        <v>166926.16</v>
      </c>
      <c r="N1695">
        <v>63336.24</v>
      </c>
      <c r="O1695" t="s">
        <v>91</v>
      </c>
      <c r="P1695">
        <v>2318.84</v>
      </c>
      <c r="Q1695" t="s">
        <v>83</v>
      </c>
      <c r="R1695" t="s">
        <v>41</v>
      </c>
      <c r="S1695">
        <v>2</v>
      </c>
      <c r="T1695">
        <v>1</v>
      </c>
      <c r="U1695" t="s">
        <v>32</v>
      </c>
      <c r="V1695" t="s">
        <v>50</v>
      </c>
      <c r="W1695">
        <v>3</v>
      </c>
    </row>
    <row r="1696" spans="1:23" x14ac:dyDescent="0.25">
      <c r="A1696" t="s">
        <v>2342</v>
      </c>
      <c r="B1696" s="1">
        <v>45861</v>
      </c>
      <c r="C1696" t="s">
        <v>648</v>
      </c>
      <c r="D1696" t="s">
        <v>154</v>
      </c>
      <c r="E1696" t="s">
        <v>26</v>
      </c>
      <c r="F1696" t="s">
        <v>86</v>
      </c>
      <c r="G1696" t="s">
        <v>127</v>
      </c>
      <c r="H1696">
        <v>2</v>
      </c>
      <c r="I1696">
        <v>12124</v>
      </c>
      <c r="J1696">
        <v>0</v>
      </c>
      <c r="K1696">
        <v>0</v>
      </c>
      <c r="L1696">
        <v>24248</v>
      </c>
      <c r="M1696">
        <v>14094.61</v>
      </c>
      <c r="N1696">
        <v>10153.39</v>
      </c>
      <c r="O1696" t="s">
        <v>39</v>
      </c>
      <c r="P1696">
        <v>946.63</v>
      </c>
      <c r="Q1696" t="s">
        <v>40</v>
      </c>
      <c r="R1696" t="s">
        <v>31</v>
      </c>
      <c r="S1696">
        <v>5</v>
      </c>
      <c r="T1696">
        <v>5</v>
      </c>
      <c r="U1696" t="s">
        <v>32</v>
      </c>
      <c r="V1696" t="s">
        <v>33</v>
      </c>
      <c r="W1696">
        <v>5</v>
      </c>
    </row>
    <row r="1697" spans="1:23" x14ac:dyDescent="0.25">
      <c r="A1697" t="s">
        <v>2343</v>
      </c>
      <c r="B1697" s="1">
        <v>45679</v>
      </c>
      <c r="C1697" t="s">
        <v>543</v>
      </c>
      <c r="D1697" t="s">
        <v>67</v>
      </c>
      <c r="E1697" t="s">
        <v>26</v>
      </c>
      <c r="F1697" t="s">
        <v>27</v>
      </c>
      <c r="G1697" t="s">
        <v>76</v>
      </c>
      <c r="H1697">
        <v>1</v>
      </c>
      <c r="I1697">
        <v>6201</v>
      </c>
      <c r="J1697">
        <v>10</v>
      </c>
      <c r="K1697">
        <v>620.1</v>
      </c>
      <c r="L1697">
        <v>5580.9</v>
      </c>
      <c r="M1697">
        <v>3870.42</v>
      </c>
      <c r="N1697">
        <v>1710.48</v>
      </c>
      <c r="O1697" t="s">
        <v>49</v>
      </c>
      <c r="P1697">
        <v>164.63</v>
      </c>
      <c r="Q1697" t="s">
        <v>73</v>
      </c>
      <c r="R1697" t="s">
        <v>31</v>
      </c>
      <c r="S1697">
        <v>5</v>
      </c>
      <c r="T1697">
        <v>8</v>
      </c>
      <c r="U1697" t="s">
        <v>56</v>
      </c>
      <c r="V1697" t="s">
        <v>33</v>
      </c>
      <c r="W1697">
        <v>1</v>
      </c>
    </row>
    <row r="1698" spans="1:23" x14ac:dyDescent="0.25">
      <c r="A1698" t="s">
        <v>2344</v>
      </c>
      <c r="B1698" s="1">
        <v>45881</v>
      </c>
      <c r="C1698" t="s">
        <v>587</v>
      </c>
      <c r="D1698" t="s">
        <v>45</v>
      </c>
      <c r="E1698" t="s">
        <v>46</v>
      </c>
      <c r="F1698" t="s">
        <v>37</v>
      </c>
      <c r="G1698" t="s">
        <v>38</v>
      </c>
      <c r="H1698">
        <v>1</v>
      </c>
      <c r="I1698">
        <v>18430</v>
      </c>
      <c r="J1698">
        <v>10</v>
      </c>
      <c r="K1698">
        <v>1843</v>
      </c>
      <c r="L1698">
        <v>16587</v>
      </c>
      <c r="M1698">
        <v>13410.01</v>
      </c>
      <c r="N1698">
        <v>3176.99</v>
      </c>
      <c r="O1698" t="s">
        <v>60</v>
      </c>
      <c r="P1698">
        <v>1880.93</v>
      </c>
      <c r="Q1698" t="s">
        <v>40</v>
      </c>
      <c r="R1698" t="s">
        <v>41</v>
      </c>
      <c r="S1698">
        <v>2</v>
      </c>
      <c r="T1698">
        <v>1</v>
      </c>
      <c r="U1698" t="s">
        <v>32</v>
      </c>
      <c r="V1698" t="s">
        <v>33</v>
      </c>
      <c r="W1698">
        <v>5</v>
      </c>
    </row>
    <row r="1699" spans="1:23" x14ac:dyDescent="0.25">
      <c r="A1699" t="s">
        <v>2345</v>
      </c>
      <c r="B1699" s="1">
        <v>45667</v>
      </c>
      <c r="C1699" t="s">
        <v>209</v>
      </c>
      <c r="D1699" t="s">
        <v>25</v>
      </c>
      <c r="E1699" t="s">
        <v>46</v>
      </c>
      <c r="F1699" t="s">
        <v>47</v>
      </c>
      <c r="G1699" t="s">
        <v>138</v>
      </c>
      <c r="H1699">
        <v>1</v>
      </c>
      <c r="I1699">
        <v>46294</v>
      </c>
      <c r="J1699">
        <v>20</v>
      </c>
      <c r="K1699">
        <v>9258.7999999999993</v>
      </c>
      <c r="L1699">
        <v>37035.199999999997</v>
      </c>
      <c r="M1699">
        <v>30263.26</v>
      </c>
      <c r="N1699">
        <v>6771.94</v>
      </c>
      <c r="O1699" t="s">
        <v>29</v>
      </c>
      <c r="P1699">
        <v>1829.87</v>
      </c>
      <c r="Q1699" t="s">
        <v>73</v>
      </c>
      <c r="R1699" t="s">
        <v>31</v>
      </c>
      <c r="S1699">
        <v>5</v>
      </c>
      <c r="T1699">
        <v>0</v>
      </c>
      <c r="U1699" t="s">
        <v>32</v>
      </c>
      <c r="V1699" t="s">
        <v>42</v>
      </c>
    </row>
    <row r="1700" spans="1:23" x14ac:dyDescent="0.25">
      <c r="A1700" t="s">
        <v>2346</v>
      </c>
      <c r="B1700" s="1">
        <v>45893</v>
      </c>
      <c r="C1700" t="s">
        <v>2026</v>
      </c>
      <c r="D1700" t="s">
        <v>67</v>
      </c>
      <c r="E1700" t="s">
        <v>46</v>
      </c>
      <c r="F1700" t="s">
        <v>27</v>
      </c>
      <c r="G1700" t="s">
        <v>113</v>
      </c>
      <c r="H1700">
        <v>3</v>
      </c>
      <c r="I1700">
        <v>3518</v>
      </c>
      <c r="J1700">
        <v>25</v>
      </c>
      <c r="K1700">
        <v>2638.5</v>
      </c>
      <c r="L1700">
        <v>7915.5</v>
      </c>
      <c r="M1700">
        <v>5572.66</v>
      </c>
      <c r="N1700">
        <v>2342.84</v>
      </c>
      <c r="O1700" t="s">
        <v>39</v>
      </c>
      <c r="P1700">
        <v>1716.38</v>
      </c>
      <c r="Q1700" t="s">
        <v>68</v>
      </c>
      <c r="R1700" t="s">
        <v>31</v>
      </c>
      <c r="S1700">
        <v>5</v>
      </c>
      <c r="T1700">
        <v>6</v>
      </c>
      <c r="U1700" t="s">
        <v>56</v>
      </c>
      <c r="V1700" t="s">
        <v>33</v>
      </c>
      <c r="W1700">
        <v>3</v>
      </c>
    </row>
    <row r="1701" spans="1:23" x14ac:dyDescent="0.25">
      <c r="A1701" t="s">
        <v>2347</v>
      </c>
      <c r="B1701" s="1">
        <v>45697</v>
      </c>
      <c r="C1701" t="s">
        <v>163</v>
      </c>
      <c r="D1701" t="s">
        <v>124</v>
      </c>
      <c r="E1701" t="s">
        <v>26</v>
      </c>
      <c r="F1701" t="s">
        <v>47</v>
      </c>
      <c r="G1701" t="s">
        <v>138</v>
      </c>
      <c r="H1701">
        <v>2</v>
      </c>
      <c r="I1701">
        <v>10983</v>
      </c>
      <c r="J1701">
        <v>10</v>
      </c>
      <c r="K1701">
        <v>2196.6</v>
      </c>
      <c r="L1701">
        <v>19769.400000000001</v>
      </c>
      <c r="M1701">
        <v>13320.56</v>
      </c>
      <c r="N1701">
        <v>6448.84</v>
      </c>
      <c r="O1701" t="s">
        <v>60</v>
      </c>
      <c r="P1701">
        <v>1367.45</v>
      </c>
      <c r="Q1701" t="s">
        <v>40</v>
      </c>
      <c r="R1701" t="s">
        <v>31</v>
      </c>
      <c r="S1701">
        <v>5</v>
      </c>
      <c r="T1701">
        <v>1</v>
      </c>
      <c r="U1701" t="s">
        <v>32</v>
      </c>
      <c r="V1701" t="s">
        <v>50</v>
      </c>
      <c r="W1701">
        <v>5</v>
      </c>
    </row>
    <row r="1702" spans="1:23" x14ac:dyDescent="0.25">
      <c r="A1702" t="s">
        <v>2348</v>
      </c>
      <c r="B1702" s="1">
        <v>45818</v>
      </c>
      <c r="C1702" t="s">
        <v>1324</v>
      </c>
      <c r="D1702" t="s">
        <v>90</v>
      </c>
      <c r="E1702" t="s">
        <v>36</v>
      </c>
      <c r="F1702" t="s">
        <v>37</v>
      </c>
      <c r="G1702" t="s">
        <v>38</v>
      </c>
      <c r="H1702">
        <v>1</v>
      </c>
      <c r="I1702">
        <v>20149</v>
      </c>
      <c r="J1702">
        <v>20</v>
      </c>
      <c r="K1702">
        <v>4029.8</v>
      </c>
      <c r="L1702">
        <v>16119.2</v>
      </c>
      <c r="M1702">
        <v>11378.15</v>
      </c>
      <c r="N1702">
        <v>4741.05</v>
      </c>
      <c r="O1702" t="s">
        <v>49</v>
      </c>
      <c r="P1702">
        <v>97.31</v>
      </c>
      <c r="Q1702" t="s">
        <v>73</v>
      </c>
      <c r="R1702" t="s">
        <v>31</v>
      </c>
      <c r="S1702">
        <v>5</v>
      </c>
      <c r="T1702">
        <v>3</v>
      </c>
      <c r="U1702" t="s">
        <v>32</v>
      </c>
      <c r="V1702" t="s">
        <v>42</v>
      </c>
    </row>
    <row r="1703" spans="1:23" x14ac:dyDescent="0.25">
      <c r="A1703" t="s">
        <v>2349</v>
      </c>
      <c r="B1703" s="1">
        <v>45952</v>
      </c>
      <c r="C1703" t="s">
        <v>584</v>
      </c>
      <c r="D1703" t="s">
        <v>124</v>
      </c>
      <c r="E1703" t="s">
        <v>26</v>
      </c>
      <c r="F1703" t="s">
        <v>27</v>
      </c>
      <c r="G1703" t="s">
        <v>164</v>
      </c>
      <c r="H1703">
        <v>2</v>
      </c>
      <c r="I1703">
        <v>8268</v>
      </c>
      <c r="J1703">
        <v>10</v>
      </c>
      <c r="K1703">
        <v>1653.6</v>
      </c>
      <c r="L1703">
        <v>14882.4</v>
      </c>
      <c r="M1703">
        <v>11134.23</v>
      </c>
      <c r="N1703">
        <v>3748.17</v>
      </c>
      <c r="O1703" t="s">
        <v>29</v>
      </c>
      <c r="P1703">
        <v>1699.51</v>
      </c>
      <c r="Q1703" t="s">
        <v>40</v>
      </c>
      <c r="R1703" t="s">
        <v>41</v>
      </c>
      <c r="S1703">
        <v>2</v>
      </c>
      <c r="T1703">
        <v>4</v>
      </c>
      <c r="U1703" t="s">
        <v>32</v>
      </c>
      <c r="V1703" t="s">
        <v>42</v>
      </c>
    </row>
    <row r="1704" spans="1:23" x14ac:dyDescent="0.25">
      <c r="A1704" t="s">
        <v>2350</v>
      </c>
      <c r="B1704" s="1">
        <v>45877</v>
      </c>
      <c r="C1704" t="s">
        <v>1028</v>
      </c>
      <c r="D1704" t="s">
        <v>67</v>
      </c>
      <c r="E1704" t="s">
        <v>26</v>
      </c>
      <c r="F1704" t="s">
        <v>86</v>
      </c>
      <c r="G1704" t="s">
        <v>87</v>
      </c>
      <c r="H1704">
        <v>1</v>
      </c>
      <c r="I1704">
        <v>6533</v>
      </c>
      <c r="J1704">
        <v>20</v>
      </c>
      <c r="K1704">
        <v>1306.5999999999999</v>
      </c>
      <c r="L1704">
        <v>5226.3999999999996</v>
      </c>
      <c r="M1704">
        <v>3703.4</v>
      </c>
      <c r="N1704">
        <v>1523</v>
      </c>
      <c r="O1704" t="s">
        <v>60</v>
      </c>
      <c r="P1704">
        <v>836.39</v>
      </c>
      <c r="Q1704" t="s">
        <v>30</v>
      </c>
      <c r="R1704" t="s">
        <v>41</v>
      </c>
      <c r="S1704">
        <v>2</v>
      </c>
      <c r="T1704">
        <v>6</v>
      </c>
      <c r="U1704" t="s">
        <v>32</v>
      </c>
      <c r="V1704" t="s">
        <v>42</v>
      </c>
    </row>
    <row r="1705" spans="1:23" x14ac:dyDescent="0.25">
      <c r="A1705" t="s">
        <v>2351</v>
      </c>
      <c r="B1705" s="1">
        <v>45951</v>
      </c>
      <c r="C1705" t="s">
        <v>1485</v>
      </c>
      <c r="D1705" t="s">
        <v>79</v>
      </c>
      <c r="E1705" t="s">
        <v>26</v>
      </c>
      <c r="F1705" t="s">
        <v>86</v>
      </c>
      <c r="G1705" t="s">
        <v>94</v>
      </c>
      <c r="H1705">
        <v>2</v>
      </c>
      <c r="I1705">
        <v>61842</v>
      </c>
      <c r="J1705">
        <v>10</v>
      </c>
      <c r="K1705">
        <v>12368.4</v>
      </c>
      <c r="L1705">
        <v>111315.6</v>
      </c>
      <c r="M1705">
        <v>69783.58</v>
      </c>
      <c r="N1705">
        <v>41532.019999999997</v>
      </c>
      <c r="O1705" t="s">
        <v>55</v>
      </c>
      <c r="P1705">
        <v>1239.43</v>
      </c>
      <c r="Q1705" t="s">
        <v>73</v>
      </c>
      <c r="R1705" t="s">
        <v>41</v>
      </c>
      <c r="S1705">
        <v>2</v>
      </c>
      <c r="T1705">
        <v>4</v>
      </c>
      <c r="U1705" t="s">
        <v>56</v>
      </c>
      <c r="V1705" t="s">
        <v>33</v>
      </c>
      <c r="W1705">
        <v>5</v>
      </c>
    </row>
    <row r="1706" spans="1:23" x14ac:dyDescent="0.25">
      <c r="A1706" t="s">
        <v>2352</v>
      </c>
      <c r="B1706" s="1">
        <v>45865</v>
      </c>
      <c r="C1706" t="s">
        <v>655</v>
      </c>
      <c r="D1706" t="s">
        <v>90</v>
      </c>
      <c r="E1706" t="s">
        <v>46</v>
      </c>
      <c r="F1706" t="s">
        <v>37</v>
      </c>
      <c r="G1706" t="s">
        <v>224</v>
      </c>
      <c r="H1706">
        <v>1</v>
      </c>
      <c r="I1706">
        <v>37798</v>
      </c>
      <c r="J1706">
        <v>10</v>
      </c>
      <c r="K1706">
        <v>3779.8</v>
      </c>
      <c r="L1706">
        <v>34018.199999999997</v>
      </c>
      <c r="M1706">
        <v>27479.81</v>
      </c>
      <c r="N1706">
        <v>6538.39</v>
      </c>
      <c r="O1706" t="s">
        <v>49</v>
      </c>
      <c r="P1706">
        <v>322.69</v>
      </c>
      <c r="Q1706" t="s">
        <v>40</v>
      </c>
      <c r="R1706" t="s">
        <v>31</v>
      </c>
      <c r="S1706">
        <v>5</v>
      </c>
      <c r="T1706">
        <v>3</v>
      </c>
      <c r="U1706" t="s">
        <v>32</v>
      </c>
      <c r="V1706" t="s">
        <v>50</v>
      </c>
      <c r="W1706">
        <v>5</v>
      </c>
    </row>
    <row r="1707" spans="1:23" x14ac:dyDescent="0.25">
      <c r="A1707" t="s">
        <v>2353</v>
      </c>
      <c r="B1707" s="1">
        <v>46021</v>
      </c>
      <c r="C1707" t="s">
        <v>1790</v>
      </c>
      <c r="D1707" t="s">
        <v>25</v>
      </c>
      <c r="E1707" t="s">
        <v>26</v>
      </c>
      <c r="F1707" t="s">
        <v>27</v>
      </c>
      <c r="G1707" t="s">
        <v>72</v>
      </c>
      <c r="H1707">
        <v>1</v>
      </c>
      <c r="I1707">
        <v>17152</v>
      </c>
      <c r="J1707">
        <v>15</v>
      </c>
      <c r="K1707">
        <v>2572.8000000000002</v>
      </c>
      <c r="L1707">
        <v>14579.2</v>
      </c>
      <c r="M1707">
        <v>9896.02</v>
      </c>
      <c r="N1707">
        <v>4683.18</v>
      </c>
      <c r="O1707" t="s">
        <v>60</v>
      </c>
      <c r="P1707">
        <v>1757.54</v>
      </c>
      <c r="Q1707" t="s">
        <v>30</v>
      </c>
      <c r="R1707" t="s">
        <v>31</v>
      </c>
      <c r="S1707">
        <v>5</v>
      </c>
      <c r="T1707">
        <v>4</v>
      </c>
      <c r="U1707" t="s">
        <v>32</v>
      </c>
      <c r="V1707" t="s">
        <v>33</v>
      </c>
      <c r="W1707">
        <v>3</v>
      </c>
    </row>
    <row r="1708" spans="1:23" x14ac:dyDescent="0.25">
      <c r="A1708" t="s">
        <v>2354</v>
      </c>
      <c r="B1708" s="1">
        <v>45985</v>
      </c>
      <c r="C1708" t="s">
        <v>474</v>
      </c>
      <c r="D1708" t="s">
        <v>79</v>
      </c>
      <c r="E1708" t="s">
        <v>36</v>
      </c>
      <c r="F1708" t="s">
        <v>47</v>
      </c>
      <c r="G1708" t="s">
        <v>138</v>
      </c>
      <c r="H1708">
        <v>1</v>
      </c>
      <c r="I1708">
        <v>13155</v>
      </c>
      <c r="J1708">
        <v>0</v>
      </c>
      <c r="K1708">
        <v>0</v>
      </c>
      <c r="L1708">
        <v>13155</v>
      </c>
      <c r="M1708">
        <v>8982.51</v>
      </c>
      <c r="N1708">
        <v>4172.49</v>
      </c>
      <c r="O1708" t="s">
        <v>49</v>
      </c>
      <c r="P1708">
        <v>312.74</v>
      </c>
      <c r="Q1708" t="s">
        <v>68</v>
      </c>
      <c r="R1708" t="s">
        <v>31</v>
      </c>
      <c r="S1708">
        <v>5</v>
      </c>
      <c r="T1708">
        <v>3</v>
      </c>
      <c r="U1708" t="s">
        <v>32</v>
      </c>
      <c r="V1708" t="s">
        <v>42</v>
      </c>
    </row>
    <row r="1709" spans="1:23" x14ac:dyDescent="0.25">
      <c r="A1709" t="s">
        <v>2355</v>
      </c>
      <c r="B1709" s="1">
        <v>45871</v>
      </c>
      <c r="C1709" t="s">
        <v>1136</v>
      </c>
      <c r="D1709" t="s">
        <v>25</v>
      </c>
      <c r="E1709" t="s">
        <v>46</v>
      </c>
      <c r="F1709" t="s">
        <v>47</v>
      </c>
      <c r="G1709" t="s">
        <v>146</v>
      </c>
      <c r="H1709">
        <v>3</v>
      </c>
      <c r="I1709">
        <v>45118</v>
      </c>
      <c r="J1709">
        <v>0</v>
      </c>
      <c r="K1709">
        <v>0</v>
      </c>
      <c r="L1709">
        <v>135354</v>
      </c>
      <c r="M1709">
        <v>109306.82</v>
      </c>
      <c r="N1709">
        <v>26047.18</v>
      </c>
      <c r="O1709" t="s">
        <v>39</v>
      </c>
      <c r="P1709">
        <v>630.76</v>
      </c>
      <c r="Q1709" t="s">
        <v>83</v>
      </c>
      <c r="R1709" t="s">
        <v>31</v>
      </c>
      <c r="S1709">
        <v>5</v>
      </c>
      <c r="T1709">
        <v>8</v>
      </c>
      <c r="U1709" t="s">
        <v>56</v>
      </c>
      <c r="V1709" t="s">
        <v>33</v>
      </c>
      <c r="W1709">
        <v>5</v>
      </c>
    </row>
    <row r="1710" spans="1:23" x14ac:dyDescent="0.25">
      <c r="A1710" t="s">
        <v>2356</v>
      </c>
      <c r="B1710" s="1">
        <v>45806</v>
      </c>
      <c r="C1710" t="s">
        <v>1041</v>
      </c>
      <c r="D1710" t="s">
        <v>124</v>
      </c>
      <c r="E1710" t="s">
        <v>26</v>
      </c>
      <c r="F1710" t="s">
        <v>47</v>
      </c>
      <c r="G1710" t="s">
        <v>105</v>
      </c>
      <c r="H1710">
        <v>1</v>
      </c>
      <c r="I1710">
        <v>53591</v>
      </c>
      <c r="J1710">
        <v>20</v>
      </c>
      <c r="K1710">
        <v>10718.2</v>
      </c>
      <c r="L1710">
        <v>42872.800000000003</v>
      </c>
      <c r="M1710">
        <v>25384.400000000001</v>
      </c>
      <c r="N1710">
        <v>17488.400000000001</v>
      </c>
      <c r="O1710" t="s">
        <v>91</v>
      </c>
      <c r="P1710">
        <v>521.20000000000005</v>
      </c>
      <c r="Q1710" t="s">
        <v>68</v>
      </c>
      <c r="R1710" t="s">
        <v>31</v>
      </c>
      <c r="S1710">
        <v>5</v>
      </c>
      <c r="T1710">
        <v>1</v>
      </c>
      <c r="U1710" t="s">
        <v>32</v>
      </c>
      <c r="V1710" t="s">
        <v>42</v>
      </c>
    </row>
    <row r="1711" spans="1:23" x14ac:dyDescent="0.25">
      <c r="A1711" t="s">
        <v>2357</v>
      </c>
      <c r="B1711" s="1">
        <v>45716</v>
      </c>
      <c r="C1711" t="s">
        <v>943</v>
      </c>
      <c r="D1711" t="s">
        <v>67</v>
      </c>
      <c r="E1711" t="s">
        <v>46</v>
      </c>
      <c r="F1711" t="s">
        <v>47</v>
      </c>
      <c r="G1711" t="s">
        <v>48</v>
      </c>
      <c r="H1711">
        <v>2</v>
      </c>
      <c r="I1711">
        <v>9187</v>
      </c>
      <c r="J1711">
        <v>10</v>
      </c>
      <c r="K1711">
        <v>1837.4</v>
      </c>
      <c r="L1711">
        <v>16536.599999999999</v>
      </c>
      <c r="M1711">
        <v>10738.85</v>
      </c>
      <c r="N1711">
        <v>5797.75</v>
      </c>
      <c r="O1711" t="s">
        <v>55</v>
      </c>
      <c r="P1711">
        <v>284.52</v>
      </c>
      <c r="Q1711" t="s">
        <v>30</v>
      </c>
      <c r="R1711" t="s">
        <v>41</v>
      </c>
      <c r="S1711">
        <v>2</v>
      </c>
      <c r="T1711">
        <v>0</v>
      </c>
      <c r="U1711" t="s">
        <v>32</v>
      </c>
      <c r="V1711" t="s">
        <v>50</v>
      </c>
      <c r="W1711">
        <v>2</v>
      </c>
    </row>
    <row r="1712" spans="1:23" x14ac:dyDescent="0.25">
      <c r="A1712" t="s">
        <v>2358</v>
      </c>
      <c r="B1712" s="1">
        <v>45865</v>
      </c>
      <c r="C1712" t="s">
        <v>1065</v>
      </c>
      <c r="D1712" t="s">
        <v>79</v>
      </c>
      <c r="E1712" t="s">
        <v>46</v>
      </c>
      <c r="F1712" t="s">
        <v>53</v>
      </c>
      <c r="G1712" t="s">
        <v>54</v>
      </c>
      <c r="H1712">
        <v>1</v>
      </c>
      <c r="I1712">
        <v>112935</v>
      </c>
      <c r="J1712">
        <v>15</v>
      </c>
      <c r="K1712">
        <v>16940.25</v>
      </c>
      <c r="L1712">
        <v>95994.75</v>
      </c>
      <c r="M1712">
        <v>55678.15</v>
      </c>
      <c r="N1712">
        <v>40316.6</v>
      </c>
      <c r="O1712" t="s">
        <v>91</v>
      </c>
      <c r="P1712">
        <v>1496.55</v>
      </c>
      <c r="Q1712" t="s">
        <v>40</v>
      </c>
      <c r="R1712" t="s">
        <v>31</v>
      </c>
      <c r="S1712">
        <v>5</v>
      </c>
      <c r="T1712">
        <v>7</v>
      </c>
      <c r="U1712" t="s">
        <v>56</v>
      </c>
      <c r="V1712" t="s">
        <v>33</v>
      </c>
      <c r="W1712">
        <v>5</v>
      </c>
    </row>
    <row r="1713" spans="1:23" x14ac:dyDescent="0.25">
      <c r="A1713" t="s">
        <v>2359</v>
      </c>
      <c r="B1713" s="1">
        <v>45668</v>
      </c>
      <c r="C1713" t="s">
        <v>1162</v>
      </c>
      <c r="D1713" t="s">
        <v>90</v>
      </c>
      <c r="E1713" t="s">
        <v>46</v>
      </c>
      <c r="F1713" t="s">
        <v>53</v>
      </c>
      <c r="G1713" t="s">
        <v>268</v>
      </c>
      <c r="H1713">
        <v>1</v>
      </c>
      <c r="I1713">
        <v>62113</v>
      </c>
      <c r="J1713">
        <v>25</v>
      </c>
      <c r="K1713">
        <v>15528.25</v>
      </c>
      <c r="L1713">
        <v>46584.75</v>
      </c>
      <c r="M1713">
        <v>33786.01</v>
      </c>
      <c r="N1713">
        <v>12798.74</v>
      </c>
      <c r="O1713" t="s">
        <v>60</v>
      </c>
      <c r="P1713">
        <v>880.89</v>
      </c>
      <c r="Q1713" t="s">
        <v>30</v>
      </c>
      <c r="R1713" t="s">
        <v>31</v>
      </c>
      <c r="S1713">
        <v>5</v>
      </c>
      <c r="T1713">
        <v>2</v>
      </c>
      <c r="U1713" t="s">
        <v>32</v>
      </c>
      <c r="V1713" t="s">
        <v>50</v>
      </c>
      <c r="W1713">
        <v>4</v>
      </c>
    </row>
    <row r="1714" spans="1:23" x14ac:dyDescent="0.25">
      <c r="A1714" t="s">
        <v>2360</v>
      </c>
      <c r="B1714" s="1">
        <v>45824</v>
      </c>
      <c r="C1714" t="s">
        <v>156</v>
      </c>
      <c r="D1714" t="s">
        <v>90</v>
      </c>
      <c r="E1714" t="s">
        <v>46</v>
      </c>
      <c r="F1714" t="s">
        <v>37</v>
      </c>
      <c r="G1714" t="s">
        <v>313</v>
      </c>
      <c r="H1714">
        <v>1</v>
      </c>
      <c r="I1714">
        <v>12262</v>
      </c>
      <c r="J1714">
        <v>15</v>
      </c>
      <c r="K1714">
        <v>1839.3</v>
      </c>
      <c r="L1714">
        <v>10422.700000000001</v>
      </c>
      <c r="M1714">
        <v>6329.77</v>
      </c>
      <c r="N1714">
        <v>4092.93</v>
      </c>
      <c r="O1714" t="s">
        <v>39</v>
      </c>
      <c r="P1714">
        <v>1349.36</v>
      </c>
      <c r="Q1714" t="s">
        <v>30</v>
      </c>
      <c r="R1714" t="s">
        <v>41</v>
      </c>
      <c r="S1714">
        <v>2</v>
      </c>
      <c r="T1714">
        <v>1</v>
      </c>
      <c r="U1714" t="s">
        <v>32</v>
      </c>
      <c r="V1714" t="s">
        <v>33</v>
      </c>
      <c r="W1714">
        <v>1</v>
      </c>
    </row>
    <row r="1715" spans="1:23" x14ac:dyDescent="0.25">
      <c r="A1715" t="s">
        <v>2361</v>
      </c>
      <c r="B1715" s="1">
        <v>45745</v>
      </c>
      <c r="C1715" t="s">
        <v>555</v>
      </c>
      <c r="D1715" t="s">
        <v>124</v>
      </c>
      <c r="E1715" t="s">
        <v>26</v>
      </c>
      <c r="F1715" t="s">
        <v>37</v>
      </c>
      <c r="G1715" t="s">
        <v>38</v>
      </c>
      <c r="H1715">
        <v>1</v>
      </c>
      <c r="I1715">
        <v>21226</v>
      </c>
      <c r="J1715">
        <v>15</v>
      </c>
      <c r="K1715">
        <v>3183.9</v>
      </c>
      <c r="L1715">
        <v>18042.099999999999</v>
      </c>
      <c r="M1715">
        <v>10095.43</v>
      </c>
      <c r="N1715">
        <v>7946.67</v>
      </c>
      <c r="O1715" t="s">
        <v>91</v>
      </c>
      <c r="P1715">
        <v>1906.21</v>
      </c>
      <c r="Q1715" t="s">
        <v>68</v>
      </c>
      <c r="R1715" t="s">
        <v>31</v>
      </c>
      <c r="S1715">
        <v>5</v>
      </c>
      <c r="T1715">
        <v>5</v>
      </c>
      <c r="U1715" t="s">
        <v>32</v>
      </c>
      <c r="V1715" t="s">
        <v>42</v>
      </c>
    </row>
    <row r="1716" spans="1:23" x14ac:dyDescent="0.25">
      <c r="A1716" t="s">
        <v>2362</v>
      </c>
      <c r="B1716" s="1">
        <v>45974</v>
      </c>
      <c r="C1716" t="s">
        <v>427</v>
      </c>
      <c r="D1716" t="s">
        <v>154</v>
      </c>
      <c r="E1716" t="s">
        <v>36</v>
      </c>
      <c r="F1716" t="s">
        <v>27</v>
      </c>
      <c r="G1716" t="s">
        <v>28</v>
      </c>
      <c r="H1716">
        <v>2</v>
      </c>
      <c r="I1716">
        <v>8404</v>
      </c>
      <c r="J1716">
        <v>20</v>
      </c>
      <c r="K1716">
        <v>3361.6</v>
      </c>
      <c r="L1716">
        <v>13446.4</v>
      </c>
      <c r="M1716">
        <v>8755.24</v>
      </c>
      <c r="N1716">
        <v>4691.16</v>
      </c>
      <c r="O1716" t="s">
        <v>60</v>
      </c>
      <c r="P1716">
        <v>439.62</v>
      </c>
      <c r="Q1716" t="s">
        <v>40</v>
      </c>
      <c r="R1716" t="s">
        <v>31</v>
      </c>
      <c r="S1716">
        <v>5</v>
      </c>
      <c r="T1716">
        <v>3</v>
      </c>
      <c r="U1716" t="s">
        <v>32</v>
      </c>
      <c r="V1716" t="s">
        <v>33</v>
      </c>
      <c r="W1716">
        <v>4</v>
      </c>
    </row>
    <row r="1717" spans="1:23" x14ac:dyDescent="0.25">
      <c r="A1717" t="s">
        <v>2363</v>
      </c>
      <c r="B1717" s="1">
        <v>45893</v>
      </c>
      <c r="C1717" t="s">
        <v>2057</v>
      </c>
      <c r="D1717" t="s">
        <v>90</v>
      </c>
      <c r="E1717" t="s">
        <v>46</v>
      </c>
      <c r="F1717" t="s">
        <v>53</v>
      </c>
      <c r="G1717" t="s">
        <v>54</v>
      </c>
      <c r="H1717">
        <v>1</v>
      </c>
      <c r="I1717">
        <v>23131</v>
      </c>
      <c r="J1717">
        <v>5</v>
      </c>
      <c r="K1717">
        <v>1156.55</v>
      </c>
      <c r="L1717">
        <v>21974.45</v>
      </c>
      <c r="M1717">
        <v>13586.14</v>
      </c>
      <c r="N1717">
        <v>8388.31</v>
      </c>
      <c r="O1717" t="s">
        <v>49</v>
      </c>
      <c r="P1717">
        <v>246.39</v>
      </c>
      <c r="Q1717" t="s">
        <v>30</v>
      </c>
      <c r="R1717" t="s">
        <v>31</v>
      </c>
      <c r="S1717">
        <v>5</v>
      </c>
      <c r="T1717">
        <v>3</v>
      </c>
      <c r="U1717" t="s">
        <v>32</v>
      </c>
      <c r="V1717" t="s">
        <v>42</v>
      </c>
    </row>
    <row r="1718" spans="1:23" x14ac:dyDescent="0.25">
      <c r="A1718" t="s">
        <v>2364</v>
      </c>
      <c r="B1718" s="1">
        <v>46011</v>
      </c>
      <c r="C1718" t="s">
        <v>779</v>
      </c>
      <c r="D1718" t="s">
        <v>154</v>
      </c>
      <c r="E1718" t="s">
        <v>46</v>
      </c>
      <c r="F1718" t="s">
        <v>47</v>
      </c>
      <c r="G1718" t="s">
        <v>138</v>
      </c>
      <c r="H1718">
        <v>2</v>
      </c>
      <c r="I1718">
        <v>22575</v>
      </c>
      <c r="J1718">
        <v>0</v>
      </c>
      <c r="K1718">
        <v>0</v>
      </c>
      <c r="L1718">
        <v>45150</v>
      </c>
      <c r="M1718">
        <v>31878.5</v>
      </c>
      <c r="N1718">
        <v>13271.5</v>
      </c>
      <c r="O1718" t="s">
        <v>49</v>
      </c>
      <c r="P1718">
        <v>51.1</v>
      </c>
      <c r="Q1718" t="s">
        <v>73</v>
      </c>
      <c r="R1718" t="s">
        <v>31</v>
      </c>
      <c r="S1718">
        <v>5</v>
      </c>
      <c r="T1718">
        <v>5</v>
      </c>
      <c r="U1718" t="s">
        <v>32</v>
      </c>
      <c r="V1718" t="s">
        <v>33</v>
      </c>
      <c r="W1718">
        <v>1</v>
      </c>
    </row>
    <row r="1719" spans="1:23" x14ac:dyDescent="0.25">
      <c r="A1719" t="s">
        <v>2365</v>
      </c>
      <c r="B1719" s="1">
        <v>45843</v>
      </c>
      <c r="C1719" t="s">
        <v>1202</v>
      </c>
      <c r="D1719" t="s">
        <v>79</v>
      </c>
      <c r="E1719" t="s">
        <v>46</v>
      </c>
      <c r="F1719" t="s">
        <v>47</v>
      </c>
      <c r="G1719" t="s">
        <v>138</v>
      </c>
      <c r="H1719">
        <v>1</v>
      </c>
      <c r="I1719">
        <v>43649</v>
      </c>
      <c r="J1719">
        <v>5</v>
      </c>
      <c r="K1719">
        <v>2182.4499999999998</v>
      </c>
      <c r="L1719">
        <v>41466.550000000003</v>
      </c>
      <c r="M1719">
        <v>30110.49</v>
      </c>
      <c r="N1719">
        <v>11356.06</v>
      </c>
      <c r="O1719" t="s">
        <v>91</v>
      </c>
      <c r="P1719">
        <v>1244.27</v>
      </c>
      <c r="Q1719" t="s">
        <v>83</v>
      </c>
      <c r="R1719" t="s">
        <v>41</v>
      </c>
      <c r="S1719">
        <v>2</v>
      </c>
      <c r="T1719">
        <v>2</v>
      </c>
      <c r="U1719" t="s">
        <v>32</v>
      </c>
      <c r="V1719" t="s">
        <v>33</v>
      </c>
      <c r="W1719">
        <v>2</v>
      </c>
    </row>
    <row r="1720" spans="1:23" x14ac:dyDescent="0.25">
      <c r="A1720" t="s">
        <v>2366</v>
      </c>
      <c r="B1720" s="1">
        <v>45703</v>
      </c>
      <c r="C1720" t="s">
        <v>1183</v>
      </c>
      <c r="D1720" t="s">
        <v>25</v>
      </c>
      <c r="E1720" t="s">
        <v>26</v>
      </c>
      <c r="F1720" t="s">
        <v>86</v>
      </c>
      <c r="G1720" t="s">
        <v>94</v>
      </c>
      <c r="H1720">
        <v>1</v>
      </c>
      <c r="I1720">
        <v>77762</v>
      </c>
      <c r="J1720">
        <v>15</v>
      </c>
      <c r="K1720">
        <v>11664.3</v>
      </c>
      <c r="L1720">
        <v>66097.7</v>
      </c>
      <c r="M1720">
        <v>39807.29</v>
      </c>
      <c r="N1720">
        <v>26290.41</v>
      </c>
      <c r="O1720" t="s">
        <v>60</v>
      </c>
      <c r="P1720">
        <v>2455.96</v>
      </c>
      <c r="Q1720" t="s">
        <v>68</v>
      </c>
      <c r="R1720" t="s">
        <v>31</v>
      </c>
      <c r="S1720">
        <v>5</v>
      </c>
      <c r="T1720">
        <v>6</v>
      </c>
      <c r="U1720" t="s">
        <v>56</v>
      </c>
      <c r="V1720" t="s">
        <v>33</v>
      </c>
      <c r="W1720">
        <v>1</v>
      </c>
    </row>
    <row r="1721" spans="1:23" x14ac:dyDescent="0.25">
      <c r="A1721" t="s">
        <v>2367</v>
      </c>
      <c r="B1721" s="1">
        <v>45881</v>
      </c>
      <c r="C1721" t="s">
        <v>265</v>
      </c>
      <c r="D1721" t="s">
        <v>90</v>
      </c>
      <c r="E1721" t="s">
        <v>46</v>
      </c>
      <c r="F1721" t="s">
        <v>27</v>
      </c>
      <c r="G1721" t="s">
        <v>28</v>
      </c>
      <c r="H1721">
        <v>2</v>
      </c>
      <c r="I1721">
        <v>14118</v>
      </c>
      <c r="J1721">
        <v>10</v>
      </c>
      <c r="K1721">
        <v>2823.6</v>
      </c>
      <c r="L1721">
        <v>25412.400000000001</v>
      </c>
      <c r="M1721">
        <v>17346.22</v>
      </c>
      <c r="N1721">
        <v>8066.18</v>
      </c>
      <c r="O1721" t="s">
        <v>39</v>
      </c>
      <c r="P1721">
        <v>1793</v>
      </c>
      <c r="Q1721" t="s">
        <v>83</v>
      </c>
      <c r="R1721" t="s">
        <v>41</v>
      </c>
      <c r="S1721">
        <v>2</v>
      </c>
      <c r="T1721">
        <v>1</v>
      </c>
      <c r="U1721" t="s">
        <v>32</v>
      </c>
      <c r="V1721" t="s">
        <v>33</v>
      </c>
      <c r="W1721">
        <v>5</v>
      </c>
    </row>
    <row r="1722" spans="1:23" x14ac:dyDescent="0.25">
      <c r="A1722" t="s">
        <v>2368</v>
      </c>
      <c r="B1722" s="1">
        <v>45712</v>
      </c>
      <c r="C1722" t="s">
        <v>207</v>
      </c>
      <c r="D1722" t="s">
        <v>154</v>
      </c>
      <c r="E1722" t="s">
        <v>26</v>
      </c>
      <c r="F1722" t="s">
        <v>27</v>
      </c>
      <c r="G1722" t="s">
        <v>72</v>
      </c>
      <c r="H1722">
        <v>3</v>
      </c>
      <c r="I1722">
        <v>18607</v>
      </c>
      <c r="J1722">
        <v>20</v>
      </c>
      <c r="K1722">
        <v>11164.2</v>
      </c>
      <c r="L1722">
        <v>44656.800000000003</v>
      </c>
      <c r="M1722">
        <v>31194.13</v>
      </c>
      <c r="N1722">
        <v>13462.67</v>
      </c>
      <c r="O1722" t="s">
        <v>49</v>
      </c>
      <c r="P1722">
        <v>296.35000000000002</v>
      </c>
      <c r="Q1722" t="s">
        <v>40</v>
      </c>
      <c r="R1722" t="s">
        <v>41</v>
      </c>
      <c r="S1722">
        <v>2</v>
      </c>
      <c r="T1722">
        <v>3</v>
      </c>
      <c r="U1722" t="s">
        <v>32</v>
      </c>
      <c r="V1722" t="s">
        <v>50</v>
      </c>
      <c r="W1722">
        <v>4</v>
      </c>
    </row>
    <row r="1723" spans="1:23" x14ac:dyDescent="0.25">
      <c r="A1723" t="s">
        <v>2369</v>
      </c>
      <c r="B1723" s="1">
        <v>45782</v>
      </c>
      <c r="C1723" t="s">
        <v>514</v>
      </c>
      <c r="D1723" t="s">
        <v>90</v>
      </c>
      <c r="E1723" t="s">
        <v>26</v>
      </c>
      <c r="F1723" t="s">
        <v>86</v>
      </c>
      <c r="G1723" t="s">
        <v>180</v>
      </c>
      <c r="H1723">
        <v>1</v>
      </c>
      <c r="I1723">
        <v>67355</v>
      </c>
      <c r="J1723">
        <v>15</v>
      </c>
      <c r="K1723">
        <v>10103.25</v>
      </c>
      <c r="L1723">
        <v>57251.75</v>
      </c>
      <c r="M1723">
        <v>32824.199999999997</v>
      </c>
      <c r="N1723">
        <v>24427.55</v>
      </c>
      <c r="O1723" t="s">
        <v>49</v>
      </c>
      <c r="P1723">
        <v>295.58999999999997</v>
      </c>
      <c r="Q1723" t="s">
        <v>68</v>
      </c>
      <c r="R1723" t="s">
        <v>41</v>
      </c>
      <c r="S1723">
        <v>2</v>
      </c>
      <c r="T1723">
        <v>1</v>
      </c>
      <c r="U1723" t="s">
        <v>32</v>
      </c>
      <c r="V1723" t="s">
        <v>42</v>
      </c>
    </row>
    <row r="1724" spans="1:23" x14ac:dyDescent="0.25">
      <c r="A1724" t="s">
        <v>2370</v>
      </c>
      <c r="B1724" s="1">
        <v>45881</v>
      </c>
      <c r="C1724" t="s">
        <v>1238</v>
      </c>
      <c r="D1724" t="s">
        <v>45</v>
      </c>
      <c r="E1724" t="s">
        <v>26</v>
      </c>
      <c r="F1724" t="s">
        <v>27</v>
      </c>
      <c r="G1724" t="s">
        <v>28</v>
      </c>
      <c r="H1724">
        <v>4</v>
      </c>
      <c r="I1724">
        <v>26681</v>
      </c>
      <c r="J1724">
        <v>10</v>
      </c>
      <c r="K1724">
        <v>10672.4</v>
      </c>
      <c r="L1724">
        <v>96051.6</v>
      </c>
      <c r="M1724">
        <v>55928.17</v>
      </c>
      <c r="N1724">
        <v>40123.43</v>
      </c>
      <c r="O1724" t="s">
        <v>91</v>
      </c>
      <c r="P1724">
        <v>650.51</v>
      </c>
      <c r="Q1724" t="s">
        <v>30</v>
      </c>
      <c r="R1724" t="s">
        <v>31</v>
      </c>
      <c r="S1724">
        <v>5</v>
      </c>
      <c r="T1724">
        <v>6</v>
      </c>
      <c r="U1724" t="s">
        <v>56</v>
      </c>
      <c r="V1724" t="s">
        <v>33</v>
      </c>
      <c r="W1724">
        <v>3</v>
      </c>
    </row>
    <row r="1725" spans="1:23" x14ac:dyDescent="0.25">
      <c r="A1725" t="s">
        <v>2371</v>
      </c>
      <c r="B1725" s="1">
        <v>45959</v>
      </c>
      <c r="C1725" t="s">
        <v>817</v>
      </c>
      <c r="D1725" t="s">
        <v>90</v>
      </c>
      <c r="E1725" t="s">
        <v>46</v>
      </c>
      <c r="F1725" t="s">
        <v>53</v>
      </c>
      <c r="G1725" t="s">
        <v>82</v>
      </c>
      <c r="H1725">
        <v>2</v>
      </c>
      <c r="I1725">
        <v>80139</v>
      </c>
      <c r="J1725">
        <v>0</v>
      </c>
      <c r="K1725">
        <v>0</v>
      </c>
      <c r="L1725">
        <v>160278</v>
      </c>
      <c r="M1725">
        <v>118011.55</v>
      </c>
      <c r="N1725">
        <v>42266.45</v>
      </c>
      <c r="O1725" t="s">
        <v>39</v>
      </c>
      <c r="P1725">
        <v>2498.75</v>
      </c>
      <c r="Q1725" t="s">
        <v>40</v>
      </c>
      <c r="R1725" t="s">
        <v>41</v>
      </c>
      <c r="S1725">
        <v>2</v>
      </c>
      <c r="T1725">
        <v>3</v>
      </c>
      <c r="U1725" t="s">
        <v>32</v>
      </c>
      <c r="V1725" t="s">
        <v>50</v>
      </c>
      <c r="W1725">
        <v>3</v>
      </c>
    </row>
    <row r="1726" spans="1:23" x14ac:dyDescent="0.25">
      <c r="A1726" t="s">
        <v>2372</v>
      </c>
      <c r="B1726" s="1">
        <v>45863</v>
      </c>
      <c r="C1726" t="s">
        <v>2036</v>
      </c>
      <c r="D1726" t="s">
        <v>67</v>
      </c>
      <c r="E1726" t="s">
        <v>26</v>
      </c>
      <c r="F1726" t="s">
        <v>86</v>
      </c>
      <c r="G1726" t="s">
        <v>180</v>
      </c>
      <c r="H1726">
        <v>3</v>
      </c>
      <c r="I1726">
        <v>23502</v>
      </c>
      <c r="J1726">
        <v>5</v>
      </c>
      <c r="K1726">
        <v>3525.3</v>
      </c>
      <c r="L1726">
        <v>66980.7</v>
      </c>
      <c r="M1726">
        <v>54616.4</v>
      </c>
      <c r="N1726">
        <v>12364.3</v>
      </c>
      <c r="O1726" t="s">
        <v>29</v>
      </c>
      <c r="P1726">
        <v>1117.49</v>
      </c>
      <c r="Q1726" t="s">
        <v>83</v>
      </c>
      <c r="R1726" t="s">
        <v>41</v>
      </c>
      <c r="S1726">
        <v>2</v>
      </c>
      <c r="T1726">
        <v>0</v>
      </c>
      <c r="U1726" t="s">
        <v>32</v>
      </c>
      <c r="V1726" t="s">
        <v>50</v>
      </c>
      <c r="W1726">
        <v>5</v>
      </c>
    </row>
    <row r="1727" spans="1:23" x14ac:dyDescent="0.25">
      <c r="A1727" t="s">
        <v>2373</v>
      </c>
      <c r="B1727" s="1">
        <v>45926</v>
      </c>
      <c r="C1727" t="s">
        <v>758</v>
      </c>
      <c r="D1727" t="s">
        <v>45</v>
      </c>
      <c r="E1727" t="s">
        <v>26</v>
      </c>
      <c r="F1727" t="s">
        <v>53</v>
      </c>
      <c r="G1727" t="s">
        <v>82</v>
      </c>
      <c r="H1727">
        <v>2</v>
      </c>
      <c r="I1727">
        <v>77458</v>
      </c>
      <c r="J1727">
        <v>20</v>
      </c>
      <c r="K1727">
        <v>30983.200000000001</v>
      </c>
      <c r="L1727">
        <v>123932.8</v>
      </c>
      <c r="M1727">
        <v>68202.350000000006</v>
      </c>
      <c r="N1727">
        <v>55730.45</v>
      </c>
      <c r="O1727" t="s">
        <v>29</v>
      </c>
      <c r="P1727">
        <v>2206.11</v>
      </c>
      <c r="Q1727" t="s">
        <v>83</v>
      </c>
      <c r="R1727" t="s">
        <v>41</v>
      </c>
      <c r="S1727">
        <v>2</v>
      </c>
      <c r="T1727">
        <v>3</v>
      </c>
      <c r="U1727" t="s">
        <v>32</v>
      </c>
      <c r="V1727" t="s">
        <v>42</v>
      </c>
    </row>
    <row r="1728" spans="1:23" x14ac:dyDescent="0.25">
      <c r="A1728" t="s">
        <v>2374</v>
      </c>
      <c r="B1728" s="1">
        <v>45698</v>
      </c>
      <c r="C1728" t="s">
        <v>1037</v>
      </c>
      <c r="D1728" t="s">
        <v>67</v>
      </c>
      <c r="E1728" t="s">
        <v>26</v>
      </c>
      <c r="F1728" t="s">
        <v>86</v>
      </c>
      <c r="G1728" t="s">
        <v>87</v>
      </c>
      <c r="H1728">
        <v>2</v>
      </c>
      <c r="I1728">
        <v>43385</v>
      </c>
      <c r="J1728">
        <v>5</v>
      </c>
      <c r="K1728">
        <v>4338.5</v>
      </c>
      <c r="L1728">
        <v>82431.5</v>
      </c>
      <c r="M1728">
        <v>50343.6</v>
      </c>
      <c r="N1728">
        <v>32087.9</v>
      </c>
      <c r="O1728" t="s">
        <v>60</v>
      </c>
      <c r="P1728">
        <v>1218.06</v>
      </c>
      <c r="Q1728" t="s">
        <v>30</v>
      </c>
      <c r="R1728" t="s">
        <v>41</v>
      </c>
      <c r="S1728">
        <v>2</v>
      </c>
      <c r="T1728">
        <v>5</v>
      </c>
      <c r="U1728" t="s">
        <v>32</v>
      </c>
      <c r="V1728" t="s">
        <v>42</v>
      </c>
    </row>
    <row r="1729" spans="1:23" x14ac:dyDescent="0.25">
      <c r="A1729" t="s">
        <v>2375</v>
      </c>
      <c r="B1729" s="1">
        <v>45860</v>
      </c>
      <c r="C1729" t="s">
        <v>612</v>
      </c>
      <c r="D1729" t="s">
        <v>71</v>
      </c>
      <c r="E1729" t="s">
        <v>26</v>
      </c>
      <c r="F1729" t="s">
        <v>27</v>
      </c>
      <c r="G1729" t="s">
        <v>76</v>
      </c>
      <c r="H1729">
        <v>1</v>
      </c>
      <c r="I1729">
        <v>22199</v>
      </c>
      <c r="J1729">
        <v>0</v>
      </c>
      <c r="K1729">
        <v>0</v>
      </c>
      <c r="L1729">
        <v>22199</v>
      </c>
      <c r="M1729">
        <v>16262.92</v>
      </c>
      <c r="N1729">
        <v>5936.08</v>
      </c>
      <c r="P1729">
        <v>1477.11</v>
      </c>
      <c r="Q1729" t="s">
        <v>73</v>
      </c>
      <c r="R1729" t="s">
        <v>31</v>
      </c>
      <c r="S1729">
        <v>5</v>
      </c>
      <c r="T1729">
        <v>6</v>
      </c>
      <c r="U1729" t="s">
        <v>56</v>
      </c>
      <c r="V1729" t="s">
        <v>33</v>
      </c>
      <c r="W1729">
        <v>4</v>
      </c>
    </row>
    <row r="1730" spans="1:23" x14ac:dyDescent="0.25">
      <c r="A1730" t="s">
        <v>2376</v>
      </c>
      <c r="B1730" s="1">
        <v>45816</v>
      </c>
      <c r="C1730" t="s">
        <v>203</v>
      </c>
      <c r="D1730" t="s">
        <v>25</v>
      </c>
      <c r="E1730" t="s">
        <v>46</v>
      </c>
      <c r="F1730" t="s">
        <v>53</v>
      </c>
      <c r="G1730" t="s">
        <v>268</v>
      </c>
      <c r="H1730">
        <v>2</v>
      </c>
      <c r="I1730">
        <v>83101</v>
      </c>
      <c r="J1730">
        <v>0</v>
      </c>
      <c r="K1730">
        <v>0</v>
      </c>
      <c r="L1730">
        <v>166202</v>
      </c>
      <c r="M1730">
        <v>92881.73</v>
      </c>
      <c r="N1730">
        <v>73320.27</v>
      </c>
      <c r="O1730" t="s">
        <v>55</v>
      </c>
      <c r="P1730">
        <v>2272.81</v>
      </c>
      <c r="Q1730" t="s">
        <v>30</v>
      </c>
      <c r="R1730" t="s">
        <v>31</v>
      </c>
      <c r="S1730">
        <v>5</v>
      </c>
      <c r="T1730">
        <v>5</v>
      </c>
      <c r="U1730" t="s">
        <v>32</v>
      </c>
      <c r="V1730" t="s">
        <v>33</v>
      </c>
      <c r="W1730">
        <v>5</v>
      </c>
    </row>
    <row r="1731" spans="1:23" x14ac:dyDescent="0.25">
      <c r="A1731" t="s">
        <v>2377</v>
      </c>
      <c r="B1731" s="1">
        <v>45831</v>
      </c>
      <c r="C1731" t="s">
        <v>362</v>
      </c>
      <c r="D1731" t="s">
        <v>63</v>
      </c>
      <c r="E1731" t="s">
        <v>26</v>
      </c>
      <c r="F1731" t="s">
        <v>86</v>
      </c>
      <c r="G1731" t="s">
        <v>110</v>
      </c>
      <c r="H1731">
        <v>2</v>
      </c>
      <c r="I1731">
        <v>36155</v>
      </c>
      <c r="J1731">
        <v>10</v>
      </c>
      <c r="K1731">
        <v>7231</v>
      </c>
      <c r="L1731">
        <v>65079</v>
      </c>
      <c r="M1731">
        <v>46248.44</v>
      </c>
      <c r="N1731">
        <v>18830.560000000001</v>
      </c>
      <c r="O1731" t="s">
        <v>49</v>
      </c>
      <c r="P1731">
        <v>164.48</v>
      </c>
      <c r="Q1731" t="s">
        <v>68</v>
      </c>
      <c r="R1731" t="s">
        <v>41</v>
      </c>
      <c r="S1731">
        <v>2</v>
      </c>
      <c r="T1731">
        <v>5</v>
      </c>
      <c r="U1731" t="s">
        <v>32</v>
      </c>
      <c r="V1731" t="s">
        <v>50</v>
      </c>
      <c r="W1731">
        <v>3</v>
      </c>
    </row>
    <row r="1732" spans="1:23" x14ac:dyDescent="0.25">
      <c r="A1732" t="s">
        <v>2378</v>
      </c>
      <c r="B1732" s="1">
        <v>45771</v>
      </c>
      <c r="C1732" t="s">
        <v>606</v>
      </c>
      <c r="D1732" t="s">
        <v>45</v>
      </c>
      <c r="E1732" t="s">
        <v>46</v>
      </c>
      <c r="F1732" t="s">
        <v>86</v>
      </c>
      <c r="G1732" t="s">
        <v>87</v>
      </c>
      <c r="H1732">
        <v>2</v>
      </c>
      <c r="I1732">
        <v>16928</v>
      </c>
      <c r="J1732">
        <v>0</v>
      </c>
      <c r="K1732">
        <v>0</v>
      </c>
      <c r="L1732">
        <v>33856</v>
      </c>
      <c r="M1732">
        <v>21813.08</v>
      </c>
      <c r="N1732">
        <v>12042.92</v>
      </c>
      <c r="O1732" t="s">
        <v>49</v>
      </c>
      <c r="P1732">
        <v>67.709999999999994</v>
      </c>
      <c r="Q1732" t="s">
        <v>73</v>
      </c>
      <c r="R1732" t="s">
        <v>31</v>
      </c>
      <c r="S1732">
        <v>5</v>
      </c>
      <c r="T1732">
        <v>3</v>
      </c>
      <c r="U1732" t="s">
        <v>32</v>
      </c>
      <c r="V1732" t="s">
        <v>50</v>
      </c>
      <c r="W1732">
        <v>3</v>
      </c>
    </row>
    <row r="1733" spans="1:23" x14ac:dyDescent="0.25">
      <c r="A1733" t="s">
        <v>2379</v>
      </c>
      <c r="B1733" s="1">
        <v>45828</v>
      </c>
      <c r="C1733" t="s">
        <v>62</v>
      </c>
      <c r="D1733" t="s">
        <v>67</v>
      </c>
      <c r="E1733" t="s">
        <v>26</v>
      </c>
      <c r="F1733" t="s">
        <v>53</v>
      </c>
      <c r="G1733" t="s">
        <v>268</v>
      </c>
      <c r="H1733">
        <v>3</v>
      </c>
      <c r="I1733">
        <v>112470</v>
      </c>
      <c r="J1733">
        <v>15</v>
      </c>
      <c r="K1733">
        <v>50611.5</v>
      </c>
      <c r="L1733">
        <v>286798.5</v>
      </c>
      <c r="M1733">
        <v>199056.73</v>
      </c>
      <c r="N1733">
        <v>87741.77</v>
      </c>
      <c r="O1733" t="s">
        <v>29</v>
      </c>
      <c r="P1733">
        <v>2126.21</v>
      </c>
      <c r="Q1733" t="s">
        <v>73</v>
      </c>
      <c r="R1733" t="s">
        <v>41</v>
      </c>
      <c r="S1733">
        <v>2</v>
      </c>
      <c r="T1733">
        <v>6</v>
      </c>
      <c r="U1733" t="s">
        <v>32</v>
      </c>
      <c r="V1733" t="s">
        <v>50</v>
      </c>
      <c r="W1733">
        <v>1</v>
      </c>
    </row>
    <row r="1734" spans="1:23" x14ac:dyDescent="0.25">
      <c r="A1734" t="s">
        <v>2380</v>
      </c>
      <c r="B1734" s="1">
        <v>45744</v>
      </c>
      <c r="C1734" t="s">
        <v>1940</v>
      </c>
      <c r="D1734" t="s">
        <v>67</v>
      </c>
      <c r="E1734" t="s">
        <v>26</v>
      </c>
      <c r="F1734" t="s">
        <v>86</v>
      </c>
      <c r="G1734" t="s">
        <v>127</v>
      </c>
      <c r="H1734">
        <v>1</v>
      </c>
      <c r="I1734">
        <v>45095</v>
      </c>
      <c r="J1734">
        <v>25</v>
      </c>
      <c r="K1734">
        <v>11273.75</v>
      </c>
      <c r="L1734">
        <v>33821.25</v>
      </c>
      <c r="M1734">
        <v>23251.02</v>
      </c>
      <c r="N1734">
        <v>10570.23</v>
      </c>
      <c r="O1734" t="s">
        <v>39</v>
      </c>
      <c r="P1734">
        <v>1608.23</v>
      </c>
      <c r="Q1734" t="s">
        <v>40</v>
      </c>
      <c r="R1734" t="s">
        <v>41</v>
      </c>
      <c r="S1734">
        <v>2</v>
      </c>
      <c r="T1734">
        <v>1</v>
      </c>
      <c r="U1734" t="s">
        <v>32</v>
      </c>
      <c r="V1734" t="s">
        <v>33</v>
      </c>
      <c r="W1734">
        <v>5</v>
      </c>
    </row>
    <row r="1735" spans="1:23" x14ac:dyDescent="0.25">
      <c r="A1735" t="s">
        <v>2381</v>
      </c>
      <c r="B1735" s="1">
        <v>45697</v>
      </c>
      <c r="C1735" t="s">
        <v>117</v>
      </c>
      <c r="D1735" t="s">
        <v>97</v>
      </c>
      <c r="E1735" t="s">
        <v>46</v>
      </c>
      <c r="F1735" t="s">
        <v>53</v>
      </c>
      <c r="G1735" t="s">
        <v>268</v>
      </c>
      <c r="H1735">
        <v>2</v>
      </c>
      <c r="I1735">
        <v>97321</v>
      </c>
      <c r="J1735">
        <v>10</v>
      </c>
      <c r="K1735">
        <v>19464.2</v>
      </c>
      <c r="L1735">
        <v>175177.8</v>
      </c>
      <c r="M1735">
        <v>97615.81</v>
      </c>
      <c r="N1735">
        <v>77561.990000000005</v>
      </c>
      <c r="O1735" t="s">
        <v>60</v>
      </c>
      <c r="P1735">
        <v>620.11</v>
      </c>
      <c r="Q1735" t="s">
        <v>73</v>
      </c>
      <c r="R1735" t="s">
        <v>41</v>
      </c>
      <c r="S1735">
        <v>2</v>
      </c>
      <c r="T1735">
        <v>1</v>
      </c>
      <c r="U1735" t="s">
        <v>32</v>
      </c>
      <c r="V1735" t="s">
        <v>42</v>
      </c>
    </row>
    <row r="1736" spans="1:23" x14ac:dyDescent="0.25">
      <c r="A1736" t="s">
        <v>2382</v>
      </c>
      <c r="B1736" s="1">
        <v>45919</v>
      </c>
      <c r="C1736" t="s">
        <v>500</v>
      </c>
      <c r="D1736" t="s">
        <v>67</v>
      </c>
      <c r="E1736" t="s">
        <v>26</v>
      </c>
      <c r="F1736" t="s">
        <v>47</v>
      </c>
      <c r="G1736" t="s">
        <v>48</v>
      </c>
      <c r="H1736">
        <v>1</v>
      </c>
      <c r="I1736">
        <v>12932</v>
      </c>
      <c r="J1736">
        <v>10</v>
      </c>
      <c r="K1736">
        <v>1293.2</v>
      </c>
      <c r="L1736">
        <v>11638.8</v>
      </c>
      <c r="M1736">
        <v>8917.4599999999991</v>
      </c>
      <c r="N1736">
        <v>2721.34</v>
      </c>
      <c r="O1736" t="s">
        <v>49</v>
      </c>
      <c r="P1736">
        <v>354.84</v>
      </c>
      <c r="Q1736" t="s">
        <v>40</v>
      </c>
      <c r="R1736" t="s">
        <v>41</v>
      </c>
      <c r="S1736">
        <v>2</v>
      </c>
      <c r="T1736">
        <v>3</v>
      </c>
      <c r="U1736" t="s">
        <v>56</v>
      </c>
      <c r="V1736" t="s">
        <v>33</v>
      </c>
      <c r="W1736">
        <v>4</v>
      </c>
    </row>
    <row r="1737" spans="1:23" x14ac:dyDescent="0.25">
      <c r="A1737" t="s">
        <v>2383</v>
      </c>
      <c r="B1737" s="1">
        <v>45982</v>
      </c>
      <c r="C1737" t="s">
        <v>337</v>
      </c>
      <c r="D1737" t="s">
        <v>45</v>
      </c>
      <c r="E1737" t="s">
        <v>36</v>
      </c>
      <c r="F1737" t="s">
        <v>37</v>
      </c>
      <c r="G1737" t="s">
        <v>38</v>
      </c>
      <c r="H1737">
        <v>1</v>
      </c>
      <c r="I1737">
        <v>36773</v>
      </c>
      <c r="J1737">
        <v>5</v>
      </c>
      <c r="K1737">
        <v>1838.65</v>
      </c>
      <c r="L1737">
        <v>34934.35</v>
      </c>
      <c r="M1737">
        <v>19707.34</v>
      </c>
      <c r="N1737">
        <v>15227.01</v>
      </c>
      <c r="O1737" t="s">
        <v>91</v>
      </c>
      <c r="P1737">
        <v>656.69</v>
      </c>
      <c r="Q1737" t="s">
        <v>73</v>
      </c>
      <c r="R1737" t="s">
        <v>41</v>
      </c>
      <c r="S1737">
        <v>2</v>
      </c>
      <c r="T1737">
        <v>5</v>
      </c>
      <c r="U1737" t="s">
        <v>32</v>
      </c>
      <c r="V1737" t="s">
        <v>50</v>
      </c>
      <c r="W1737">
        <v>5</v>
      </c>
    </row>
    <row r="1738" spans="1:23" x14ac:dyDescent="0.25">
      <c r="A1738" t="s">
        <v>2384</v>
      </c>
      <c r="B1738" s="1">
        <v>45716</v>
      </c>
      <c r="C1738" t="s">
        <v>1037</v>
      </c>
      <c r="D1738" t="s">
        <v>154</v>
      </c>
      <c r="E1738" t="s">
        <v>26</v>
      </c>
      <c r="F1738" t="s">
        <v>37</v>
      </c>
      <c r="G1738" t="s">
        <v>224</v>
      </c>
      <c r="H1738">
        <v>1</v>
      </c>
      <c r="I1738">
        <v>12798</v>
      </c>
      <c r="J1738">
        <v>0</v>
      </c>
      <c r="K1738">
        <v>0</v>
      </c>
      <c r="L1738">
        <v>12798</v>
      </c>
      <c r="M1738">
        <v>8196.2900000000009</v>
      </c>
      <c r="N1738">
        <v>4601.71</v>
      </c>
      <c r="O1738" t="s">
        <v>91</v>
      </c>
      <c r="P1738">
        <v>2100.34</v>
      </c>
      <c r="Q1738" t="s">
        <v>40</v>
      </c>
      <c r="R1738" t="s">
        <v>41</v>
      </c>
      <c r="S1738">
        <v>2</v>
      </c>
      <c r="T1738">
        <v>1</v>
      </c>
      <c r="U1738" t="s">
        <v>32</v>
      </c>
      <c r="V1738" t="s">
        <v>33</v>
      </c>
      <c r="W1738">
        <v>5</v>
      </c>
    </row>
    <row r="1739" spans="1:23" x14ac:dyDescent="0.25">
      <c r="A1739" t="s">
        <v>2385</v>
      </c>
      <c r="B1739" s="1">
        <v>45929</v>
      </c>
      <c r="C1739" t="s">
        <v>2131</v>
      </c>
      <c r="D1739" t="s">
        <v>79</v>
      </c>
      <c r="E1739" t="s">
        <v>26</v>
      </c>
      <c r="F1739" t="s">
        <v>37</v>
      </c>
      <c r="G1739" t="s">
        <v>100</v>
      </c>
      <c r="H1739">
        <v>3</v>
      </c>
      <c r="I1739">
        <v>20736</v>
      </c>
      <c r="J1739">
        <v>25</v>
      </c>
      <c r="K1739">
        <v>15552</v>
      </c>
      <c r="L1739">
        <v>46656</v>
      </c>
      <c r="M1739">
        <v>29188.51</v>
      </c>
      <c r="N1739">
        <v>17467.490000000002</v>
      </c>
      <c r="O1739" t="s">
        <v>49</v>
      </c>
      <c r="P1739">
        <v>182.61</v>
      </c>
      <c r="Q1739" t="s">
        <v>40</v>
      </c>
      <c r="R1739" t="s">
        <v>41</v>
      </c>
      <c r="S1739">
        <v>2</v>
      </c>
      <c r="T1739">
        <v>1</v>
      </c>
      <c r="U1739" t="s">
        <v>32</v>
      </c>
      <c r="V1739" t="s">
        <v>33</v>
      </c>
      <c r="W1739">
        <v>1</v>
      </c>
    </row>
    <row r="1740" spans="1:23" x14ac:dyDescent="0.25">
      <c r="A1740" t="s">
        <v>2386</v>
      </c>
      <c r="B1740" s="1">
        <v>45919</v>
      </c>
      <c r="C1740" t="s">
        <v>85</v>
      </c>
      <c r="D1740" t="s">
        <v>67</v>
      </c>
      <c r="E1740" t="s">
        <v>26</v>
      </c>
      <c r="F1740" t="s">
        <v>47</v>
      </c>
      <c r="G1740" t="s">
        <v>105</v>
      </c>
      <c r="H1740">
        <v>1</v>
      </c>
      <c r="I1740">
        <v>18812</v>
      </c>
      <c r="J1740">
        <v>0</v>
      </c>
      <c r="K1740">
        <v>0</v>
      </c>
      <c r="L1740">
        <v>18812</v>
      </c>
      <c r="M1740">
        <v>12672.95</v>
      </c>
      <c r="N1740">
        <v>6139.05</v>
      </c>
      <c r="O1740" t="s">
        <v>49</v>
      </c>
      <c r="P1740">
        <v>71.34</v>
      </c>
      <c r="Q1740" t="s">
        <v>73</v>
      </c>
      <c r="R1740" t="s">
        <v>41</v>
      </c>
      <c r="S1740">
        <v>2</v>
      </c>
      <c r="T1740">
        <v>3</v>
      </c>
      <c r="U1740" t="s">
        <v>56</v>
      </c>
      <c r="V1740" t="s">
        <v>33</v>
      </c>
      <c r="W1740">
        <v>5</v>
      </c>
    </row>
    <row r="1741" spans="1:23" x14ac:dyDescent="0.25">
      <c r="A1741" t="s">
        <v>2387</v>
      </c>
      <c r="B1741" s="1">
        <v>45757</v>
      </c>
      <c r="C1741" t="s">
        <v>1488</v>
      </c>
      <c r="D1741" t="s">
        <v>71</v>
      </c>
      <c r="E1741" t="s">
        <v>36</v>
      </c>
      <c r="F1741" t="s">
        <v>86</v>
      </c>
      <c r="G1741" t="s">
        <v>87</v>
      </c>
      <c r="H1741">
        <v>2</v>
      </c>
      <c r="I1741">
        <v>73956</v>
      </c>
      <c r="J1741">
        <v>25</v>
      </c>
      <c r="K1741">
        <v>36978</v>
      </c>
      <c r="L1741">
        <v>110934</v>
      </c>
      <c r="M1741">
        <v>76730.710000000006</v>
      </c>
      <c r="N1741">
        <v>34203.29</v>
      </c>
      <c r="O1741" t="s">
        <v>60</v>
      </c>
      <c r="P1741">
        <v>841.2</v>
      </c>
      <c r="Q1741" t="s">
        <v>40</v>
      </c>
      <c r="R1741" t="s">
        <v>41</v>
      </c>
      <c r="S1741">
        <v>2</v>
      </c>
      <c r="T1741">
        <v>5</v>
      </c>
      <c r="U1741" t="s">
        <v>56</v>
      </c>
      <c r="V1741" t="s">
        <v>33</v>
      </c>
      <c r="W1741">
        <v>3</v>
      </c>
    </row>
    <row r="1742" spans="1:23" x14ac:dyDescent="0.25">
      <c r="A1742" t="s">
        <v>2388</v>
      </c>
      <c r="B1742" s="1">
        <v>45836</v>
      </c>
      <c r="C1742" t="s">
        <v>305</v>
      </c>
      <c r="D1742" t="s">
        <v>79</v>
      </c>
      <c r="E1742" t="s">
        <v>46</v>
      </c>
      <c r="F1742" t="s">
        <v>86</v>
      </c>
      <c r="G1742" t="s">
        <v>127</v>
      </c>
      <c r="H1742">
        <v>1</v>
      </c>
      <c r="I1742">
        <v>82184</v>
      </c>
      <c r="J1742">
        <v>15</v>
      </c>
      <c r="K1742">
        <v>12327.6</v>
      </c>
      <c r="L1742">
        <v>69856.399999999994</v>
      </c>
      <c r="M1742">
        <v>57182.68</v>
      </c>
      <c r="N1742">
        <v>12673.72</v>
      </c>
      <c r="O1742" t="s">
        <v>91</v>
      </c>
      <c r="P1742">
        <v>1200.42</v>
      </c>
      <c r="Q1742" t="s">
        <v>30</v>
      </c>
      <c r="R1742" t="s">
        <v>41</v>
      </c>
      <c r="S1742">
        <v>2</v>
      </c>
      <c r="T1742">
        <v>1</v>
      </c>
      <c r="U1742" t="s">
        <v>32</v>
      </c>
      <c r="V1742" t="s">
        <v>33</v>
      </c>
      <c r="W1742">
        <v>5</v>
      </c>
    </row>
    <row r="1743" spans="1:23" x14ac:dyDescent="0.25">
      <c r="A1743" t="s">
        <v>2389</v>
      </c>
      <c r="B1743" s="1">
        <v>45837</v>
      </c>
      <c r="C1743" t="s">
        <v>460</v>
      </c>
      <c r="D1743" t="s">
        <v>124</v>
      </c>
      <c r="E1743" t="s">
        <v>46</v>
      </c>
      <c r="F1743" t="s">
        <v>86</v>
      </c>
      <c r="G1743" t="s">
        <v>180</v>
      </c>
      <c r="H1743">
        <v>1</v>
      </c>
      <c r="I1743">
        <v>20533</v>
      </c>
      <c r="J1743">
        <v>25</v>
      </c>
      <c r="K1743">
        <v>5133.25</v>
      </c>
      <c r="L1743">
        <v>15399.75</v>
      </c>
      <c r="M1743">
        <v>9660.4599999999991</v>
      </c>
      <c r="N1743">
        <v>5739.29</v>
      </c>
      <c r="O1743" t="s">
        <v>39</v>
      </c>
      <c r="P1743">
        <v>757.52</v>
      </c>
      <c r="Q1743" t="s">
        <v>73</v>
      </c>
      <c r="R1743" t="s">
        <v>41</v>
      </c>
      <c r="S1743">
        <v>2</v>
      </c>
      <c r="T1743">
        <v>1</v>
      </c>
      <c r="U1743" t="s">
        <v>32</v>
      </c>
      <c r="V1743" t="s">
        <v>33</v>
      </c>
      <c r="W1743">
        <v>5</v>
      </c>
    </row>
    <row r="1744" spans="1:23" x14ac:dyDescent="0.25">
      <c r="A1744" t="s">
        <v>2390</v>
      </c>
      <c r="B1744" s="1">
        <v>45988</v>
      </c>
      <c r="C1744" t="s">
        <v>1119</v>
      </c>
      <c r="D1744" t="s">
        <v>25</v>
      </c>
      <c r="E1744" t="s">
        <v>26</v>
      </c>
      <c r="F1744" t="s">
        <v>27</v>
      </c>
      <c r="G1744" t="s">
        <v>164</v>
      </c>
      <c r="H1744">
        <v>1</v>
      </c>
      <c r="I1744">
        <v>5534</v>
      </c>
      <c r="J1744">
        <v>0</v>
      </c>
      <c r="K1744">
        <v>0</v>
      </c>
      <c r="L1744">
        <v>5534</v>
      </c>
      <c r="M1744">
        <v>4025.72</v>
      </c>
      <c r="N1744">
        <v>1508.28</v>
      </c>
      <c r="O1744" t="s">
        <v>60</v>
      </c>
      <c r="P1744">
        <v>269.58999999999997</v>
      </c>
      <c r="Q1744" t="s">
        <v>73</v>
      </c>
      <c r="R1744" t="s">
        <v>41</v>
      </c>
      <c r="S1744">
        <v>2</v>
      </c>
      <c r="T1744">
        <v>2</v>
      </c>
      <c r="U1744" t="s">
        <v>32</v>
      </c>
      <c r="V1744" t="s">
        <v>33</v>
      </c>
      <c r="W1744">
        <v>5</v>
      </c>
    </row>
    <row r="1745" spans="1:23" x14ac:dyDescent="0.25">
      <c r="A1745" t="s">
        <v>2391</v>
      </c>
      <c r="B1745" s="1">
        <v>45733</v>
      </c>
      <c r="C1745" t="s">
        <v>511</v>
      </c>
      <c r="D1745" t="s">
        <v>90</v>
      </c>
      <c r="E1745" t="s">
        <v>26</v>
      </c>
      <c r="F1745" t="s">
        <v>47</v>
      </c>
      <c r="G1745" t="s">
        <v>138</v>
      </c>
      <c r="H1745">
        <v>1</v>
      </c>
      <c r="I1745">
        <v>22812</v>
      </c>
      <c r="J1745">
        <v>20</v>
      </c>
      <c r="K1745">
        <v>4562.3999999999996</v>
      </c>
      <c r="L1745">
        <v>18249.599999999999</v>
      </c>
      <c r="M1745">
        <v>14768.67</v>
      </c>
      <c r="N1745">
        <v>3480.93</v>
      </c>
      <c r="O1745" t="s">
        <v>91</v>
      </c>
      <c r="P1745">
        <v>1434.86</v>
      </c>
      <c r="Q1745" t="s">
        <v>68</v>
      </c>
      <c r="R1745" t="s">
        <v>41</v>
      </c>
      <c r="S1745">
        <v>2</v>
      </c>
      <c r="T1745">
        <v>4</v>
      </c>
      <c r="U1745" t="s">
        <v>56</v>
      </c>
      <c r="V1745" t="s">
        <v>33</v>
      </c>
      <c r="W1745">
        <v>1</v>
      </c>
    </row>
    <row r="1746" spans="1:23" x14ac:dyDescent="0.25">
      <c r="A1746" t="s">
        <v>2392</v>
      </c>
      <c r="B1746" s="1">
        <v>45778</v>
      </c>
      <c r="C1746" t="s">
        <v>792</v>
      </c>
      <c r="D1746" t="s">
        <v>25</v>
      </c>
      <c r="E1746" t="s">
        <v>46</v>
      </c>
      <c r="F1746" t="s">
        <v>86</v>
      </c>
      <c r="G1746" t="s">
        <v>94</v>
      </c>
      <c r="H1746">
        <v>1</v>
      </c>
      <c r="I1746">
        <v>23047</v>
      </c>
      <c r="J1746">
        <v>5</v>
      </c>
      <c r="K1746">
        <v>1152.3499999999999</v>
      </c>
      <c r="L1746">
        <v>21894.65</v>
      </c>
      <c r="M1746">
        <v>15255.62</v>
      </c>
      <c r="N1746">
        <v>6639.03</v>
      </c>
      <c r="O1746" t="s">
        <v>60</v>
      </c>
      <c r="P1746">
        <v>2149.1</v>
      </c>
      <c r="Q1746" t="s">
        <v>40</v>
      </c>
      <c r="R1746" t="s">
        <v>41</v>
      </c>
      <c r="S1746">
        <v>2</v>
      </c>
      <c r="T1746">
        <v>1</v>
      </c>
      <c r="U1746" t="s">
        <v>32</v>
      </c>
      <c r="V1746" t="s">
        <v>33</v>
      </c>
      <c r="W1746">
        <v>5</v>
      </c>
    </row>
    <row r="1747" spans="1:23" x14ac:dyDescent="0.25">
      <c r="A1747" t="s">
        <v>2393</v>
      </c>
      <c r="B1747" s="1">
        <v>45710</v>
      </c>
      <c r="C1747" t="s">
        <v>615</v>
      </c>
      <c r="D1747" t="s">
        <v>71</v>
      </c>
      <c r="E1747" t="s">
        <v>46</v>
      </c>
      <c r="F1747" t="s">
        <v>27</v>
      </c>
      <c r="G1747" t="s">
        <v>28</v>
      </c>
      <c r="H1747">
        <v>2</v>
      </c>
      <c r="I1747">
        <v>14356</v>
      </c>
      <c r="J1747">
        <v>15</v>
      </c>
      <c r="K1747">
        <v>4306.8</v>
      </c>
      <c r="L1747">
        <v>24405.200000000001</v>
      </c>
      <c r="M1747">
        <v>15905.15</v>
      </c>
      <c r="N1747">
        <v>8500.0499999999993</v>
      </c>
      <c r="O1747" t="s">
        <v>60</v>
      </c>
      <c r="P1747">
        <v>1829.9</v>
      </c>
      <c r="Q1747" t="s">
        <v>73</v>
      </c>
      <c r="R1747" t="s">
        <v>41</v>
      </c>
      <c r="S1747">
        <v>2</v>
      </c>
      <c r="T1747">
        <v>2</v>
      </c>
      <c r="U1747" t="s">
        <v>32</v>
      </c>
      <c r="V1747" t="s">
        <v>33</v>
      </c>
      <c r="W1747">
        <v>3</v>
      </c>
    </row>
    <row r="1748" spans="1:23" x14ac:dyDescent="0.25">
      <c r="A1748" t="s">
        <v>2394</v>
      </c>
      <c r="B1748" s="1">
        <v>45732</v>
      </c>
      <c r="C1748" t="s">
        <v>1158</v>
      </c>
      <c r="D1748" t="s">
        <v>154</v>
      </c>
      <c r="E1748" t="s">
        <v>36</v>
      </c>
      <c r="F1748" t="s">
        <v>53</v>
      </c>
      <c r="G1748" t="s">
        <v>82</v>
      </c>
      <c r="H1748">
        <v>2</v>
      </c>
      <c r="I1748">
        <v>32071</v>
      </c>
      <c r="J1748">
        <v>25</v>
      </c>
      <c r="K1748">
        <v>16035.5</v>
      </c>
      <c r="L1748">
        <v>48106.5</v>
      </c>
      <c r="M1748">
        <v>35614.26</v>
      </c>
      <c r="N1748">
        <v>12492.24</v>
      </c>
      <c r="O1748" t="s">
        <v>49</v>
      </c>
      <c r="P1748">
        <v>68.680000000000007</v>
      </c>
      <c r="Q1748" t="s">
        <v>73</v>
      </c>
      <c r="R1748" t="s">
        <v>41</v>
      </c>
      <c r="S1748">
        <v>2</v>
      </c>
      <c r="T1748">
        <v>3</v>
      </c>
      <c r="U1748" t="s">
        <v>56</v>
      </c>
      <c r="V1748" t="s">
        <v>33</v>
      </c>
      <c r="W1748">
        <v>5</v>
      </c>
    </row>
    <row r="1749" spans="1:23" x14ac:dyDescent="0.25">
      <c r="A1749" t="s">
        <v>2395</v>
      </c>
      <c r="B1749" s="1">
        <v>45789</v>
      </c>
      <c r="C1749" t="s">
        <v>668</v>
      </c>
      <c r="D1749" t="s">
        <v>45</v>
      </c>
      <c r="E1749" t="s">
        <v>26</v>
      </c>
      <c r="F1749" t="s">
        <v>37</v>
      </c>
      <c r="G1749" t="s">
        <v>313</v>
      </c>
      <c r="H1749">
        <v>2</v>
      </c>
      <c r="I1749">
        <v>38905</v>
      </c>
      <c r="J1749">
        <v>10</v>
      </c>
      <c r="K1749">
        <v>7781</v>
      </c>
      <c r="L1749">
        <v>70029</v>
      </c>
      <c r="M1749">
        <v>47005.71</v>
      </c>
      <c r="N1749">
        <v>23023.29</v>
      </c>
      <c r="O1749" t="s">
        <v>49</v>
      </c>
      <c r="P1749">
        <v>70.010000000000005</v>
      </c>
      <c r="Q1749" t="s">
        <v>83</v>
      </c>
      <c r="R1749" t="s">
        <v>41</v>
      </c>
      <c r="S1749">
        <v>2</v>
      </c>
      <c r="T1749">
        <v>3</v>
      </c>
      <c r="U1749" t="s">
        <v>56</v>
      </c>
      <c r="V1749" t="s">
        <v>33</v>
      </c>
      <c r="W1749">
        <v>2</v>
      </c>
    </row>
    <row r="1750" spans="1:23" x14ac:dyDescent="0.25">
      <c r="A1750" t="s">
        <v>2396</v>
      </c>
      <c r="B1750" s="1">
        <v>45759</v>
      </c>
      <c r="C1750" t="s">
        <v>1019</v>
      </c>
      <c r="D1750" t="s">
        <v>97</v>
      </c>
      <c r="E1750" t="s">
        <v>46</v>
      </c>
      <c r="F1750" t="s">
        <v>47</v>
      </c>
      <c r="G1750" t="s">
        <v>146</v>
      </c>
      <c r="H1750">
        <v>2</v>
      </c>
      <c r="I1750">
        <v>20736</v>
      </c>
      <c r="J1750">
        <v>15</v>
      </c>
      <c r="K1750">
        <v>6220.8</v>
      </c>
      <c r="L1750">
        <v>35251.199999999997</v>
      </c>
      <c r="M1750">
        <v>28379.13</v>
      </c>
      <c r="N1750">
        <v>6872.07</v>
      </c>
      <c r="O1750" t="s">
        <v>60</v>
      </c>
      <c r="P1750">
        <v>491.58</v>
      </c>
      <c r="Q1750" t="s">
        <v>30</v>
      </c>
      <c r="R1750" t="s">
        <v>41</v>
      </c>
      <c r="S1750">
        <v>2</v>
      </c>
      <c r="T1750">
        <v>2</v>
      </c>
      <c r="U1750" t="s">
        <v>32</v>
      </c>
      <c r="V1750" t="s">
        <v>42</v>
      </c>
    </row>
    <row r="1751" spans="1:23" x14ac:dyDescent="0.25">
      <c r="A1751" t="s">
        <v>2397</v>
      </c>
      <c r="B1751" s="1">
        <v>45746</v>
      </c>
      <c r="C1751" t="s">
        <v>1896</v>
      </c>
      <c r="D1751" t="s">
        <v>154</v>
      </c>
      <c r="E1751" t="s">
        <v>36</v>
      </c>
      <c r="F1751" t="s">
        <v>27</v>
      </c>
      <c r="G1751" t="s">
        <v>28</v>
      </c>
      <c r="H1751">
        <v>2</v>
      </c>
      <c r="I1751">
        <v>18940</v>
      </c>
      <c r="J1751">
        <v>25</v>
      </c>
      <c r="K1751">
        <v>9470</v>
      </c>
      <c r="L1751">
        <v>28410</v>
      </c>
      <c r="M1751">
        <v>19175.259999999998</v>
      </c>
      <c r="N1751">
        <v>9234.74</v>
      </c>
      <c r="O1751" t="s">
        <v>60</v>
      </c>
      <c r="P1751">
        <v>759.36</v>
      </c>
      <c r="Q1751" t="s">
        <v>83</v>
      </c>
      <c r="R1751" t="s">
        <v>31</v>
      </c>
      <c r="S1751">
        <v>5</v>
      </c>
      <c r="T1751">
        <v>7</v>
      </c>
      <c r="U1751" t="s">
        <v>56</v>
      </c>
      <c r="V1751" t="s">
        <v>33</v>
      </c>
      <c r="W1751">
        <v>5</v>
      </c>
    </row>
    <row r="1752" spans="1:23" x14ac:dyDescent="0.25">
      <c r="A1752" t="s">
        <v>2398</v>
      </c>
      <c r="B1752" s="1">
        <v>45966</v>
      </c>
      <c r="C1752" t="s">
        <v>168</v>
      </c>
      <c r="D1752" t="s">
        <v>97</v>
      </c>
      <c r="E1752" t="s">
        <v>36</v>
      </c>
      <c r="F1752" t="s">
        <v>37</v>
      </c>
      <c r="G1752" t="s">
        <v>100</v>
      </c>
      <c r="H1752">
        <v>1</v>
      </c>
      <c r="I1752">
        <v>39189</v>
      </c>
      <c r="J1752">
        <v>5</v>
      </c>
      <c r="K1752">
        <v>1959.45</v>
      </c>
      <c r="L1752">
        <v>37229.550000000003</v>
      </c>
      <c r="M1752">
        <v>28757.87</v>
      </c>
      <c r="N1752">
        <v>8471.68</v>
      </c>
      <c r="O1752" t="s">
        <v>91</v>
      </c>
      <c r="P1752">
        <v>2201.1999999999998</v>
      </c>
      <c r="Q1752" t="s">
        <v>73</v>
      </c>
      <c r="R1752" t="s">
        <v>41</v>
      </c>
      <c r="S1752">
        <v>2</v>
      </c>
      <c r="T1752">
        <v>1</v>
      </c>
      <c r="U1752" t="s">
        <v>32</v>
      </c>
      <c r="V1752" t="s">
        <v>33</v>
      </c>
      <c r="W1752">
        <v>5</v>
      </c>
    </row>
    <row r="1753" spans="1:23" x14ac:dyDescent="0.25">
      <c r="A1753" t="s">
        <v>2399</v>
      </c>
      <c r="B1753" s="1">
        <v>45736</v>
      </c>
      <c r="C1753" t="s">
        <v>2098</v>
      </c>
      <c r="D1753" t="s">
        <v>71</v>
      </c>
      <c r="E1753" t="s">
        <v>46</v>
      </c>
      <c r="F1753" t="s">
        <v>27</v>
      </c>
      <c r="G1753" t="s">
        <v>76</v>
      </c>
      <c r="H1753">
        <v>2</v>
      </c>
      <c r="I1753">
        <v>24612</v>
      </c>
      <c r="J1753">
        <v>0</v>
      </c>
      <c r="K1753">
        <v>0</v>
      </c>
      <c r="L1753">
        <v>49224</v>
      </c>
      <c r="M1753">
        <v>30458.15</v>
      </c>
      <c r="N1753">
        <v>18765.849999999999</v>
      </c>
      <c r="O1753" t="s">
        <v>91</v>
      </c>
      <c r="P1753">
        <v>1019.84</v>
      </c>
      <c r="Q1753" t="s">
        <v>40</v>
      </c>
      <c r="R1753" t="s">
        <v>41</v>
      </c>
      <c r="S1753">
        <v>2</v>
      </c>
      <c r="T1753">
        <v>3</v>
      </c>
      <c r="U1753" t="s">
        <v>56</v>
      </c>
      <c r="V1753" t="s">
        <v>33</v>
      </c>
      <c r="W1753">
        <v>5</v>
      </c>
    </row>
    <row r="1754" spans="1:23" x14ac:dyDescent="0.25">
      <c r="A1754" t="s">
        <v>2400</v>
      </c>
      <c r="B1754" s="1">
        <v>45993</v>
      </c>
      <c r="C1754" t="s">
        <v>1238</v>
      </c>
      <c r="D1754" t="s">
        <v>154</v>
      </c>
      <c r="E1754" t="s">
        <v>46</v>
      </c>
      <c r="F1754" t="s">
        <v>27</v>
      </c>
      <c r="G1754" t="s">
        <v>76</v>
      </c>
      <c r="H1754">
        <v>2</v>
      </c>
      <c r="I1754">
        <v>21547</v>
      </c>
      <c r="J1754">
        <v>20</v>
      </c>
      <c r="K1754">
        <v>8618.7999999999993</v>
      </c>
      <c r="L1754">
        <v>34475.199999999997</v>
      </c>
      <c r="M1754">
        <v>27550.89</v>
      </c>
      <c r="N1754">
        <v>6924.31</v>
      </c>
      <c r="O1754" t="s">
        <v>60</v>
      </c>
      <c r="P1754">
        <v>575.4</v>
      </c>
      <c r="Q1754" t="s">
        <v>73</v>
      </c>
      <c r="R1754" t="s">
        <v>41</v>
      </c>
      <c r="S1754">
        <v>2</v>
      </c>
      <c r="T1754">
        <v>1</v>
      </c>
      <c r="U1754" t="s">
        <v>32</v>
      </c>
      <c r="V1754" t="s">
        <v>33</v>
      </c>
      <c r="W1754">
        <v>5</v>
      </c>
    </row>
    <row r="1755" spans="1:23" x14ac:dyDescent="0.25">
      <c r="A1755" t="s">
        <v>2401</v>
      </c>
      <c r="B1755" s="1">
        <v>45696</v>
      </c>
      <c r="C1755" t="s">
        <v>316</v>
      </c>
      <c r="D1755" t="s">
        <v>25</v>
      </c>
      <c r="E1755" t="s">
        <v>46</v>
      </c>
      <c r="F1755" t="s">
        <v>53</v>
      </c>
      <c r="G1755" t="s">
        <v>268</v>
      </c>
      <c r="H1755">
        <v>1</v>
      </c>
      <c r="I1755">
        <v>88119</v>
      </c>
      <c r="J1755">
        <v>20</v>
      </c>
      <c r="K1755">
        <v>17623.8</v>
      </c>
      <c r="L1755">
        <v>70495.199999999997</v>
      </c>
      <c r="M1755">
        <v>51129.78</v>
      </c>
      <c r="N1755">
        <v>19365.419999999998</v>
      </c>
      <c r="O1755" t="s">
        <v>39</v>
      </c>
      <c r="P1755">
        <v>1155.81</v>
      </c>
      <c r="Q1755" t="s">
        <v>40</v>
      </c>
      <c r="R1755" t="s">
        <v>31</v>
      </c>
      <c r="S1755">
        <v>5</v>
      </c>
      <c r="T1755">
        <v>1</v>
      </c>
      <c r="U1755" t="s">
        <v>32</v>
      </c>
      <c r="V1755" t="s">
        <v>33</v>
      </c>
      <c r="W1755">
        <v>1</v>
      </c>
    </row>
    <row r="1756" spans="1:23" x14ac:dyDescent="0.25">
      <c r="A1756" t="s">
        <v>2402</v>
      </c>
      <c r="B1756" s="1">
        <v>45748</v>
      </c>
      <c r="C1756" t="s">
        <v>1257</v>
      </c>
      <c r="D1756" t="s">
        <v>45</v>
      </c>
      <c r="E1756" t="s">
        <v>26</v>
      </c>
      <c r="F1756" t="s">
        <v>37</v>
      </c>
      <c r="G1756" t="s">
        <v>224</v>
      </c>
      <c r="H1756">
        <v>3</v>
      </c>
      <c r="I1756">
        <v>38579</v>
      </c>
      <c r="J1756">
        <v>15</v>
      </c>
      <c r="K1756">
        <v>17360.55</v>
      </c>
      <c r="L1756">
        <v>98376.45</v>
      </c>
      <c r="M1756">
        <v>76456.25</v>
      </c>
      <c r="N1756">
        <v>21920.2</v>
      </c>
      <c r="O1756" t="s">
        <v>60</v>
      </c>
      <c r="P1756">
        <v>223.37</v>
      </c>
      <c r="Q1756" t="s">
        <v>73</v>
      </c>
      <c r="R1756" t="s">
        <v>41</v>
      </c>
      <c r="S1756">
        <v>2</v>
      </c>
      <c r="T1756">
        <v>3</v>
      </c>
      <c r="U1756" t="s">
        <v>56</v>
      </c>
      <c r="V1756" t="s">
        <v>33</v>
      </c>
      <c r="W1756">
        <v>5</v>
      </c>
    </row>
    <row r="1757" spans="1:23" x14ac:dyDescent="0.25">
      <c r="A1757" t="s">
        <v>2403</v>
      </c>
      <c r="B1757" s="1">
        <v>45979</v>
      </c>
      <c r="C1757" t="s">
        <v>914</v>
      </c>
      <c r="D1757" t="s">
        <v>67</v>
      </c>
      <c r="E1757" t="s">
        <v>46</v>
      </c>
      <c r="F1757" t="s">
        <v>37</v>
      </c>
      <c r="G1757" t="s">
        <v>313</v>
      </c>
      <c r="H1757">
        <v>1</v>
      </c>
      <c r="I1757">
        <v>14684</v>
      </c>
      <c r="J1757">
        <v>10</v>
      </c>
      <c r="K1757">
        <v>1468.4</v>
      </c>
      <c r="L1757">
        <v>13215.6</v>
      </c>
      <c r="M1757">
        <v>9210.98</v>
      </c>
      <c r="N1757">
        <v>4004.62</v>
      </c>
      <c r="O1757" t="s">
        <v>49</v>
      </c>
      <c r="P1757">
        <v>259.36</v>
      </c>
      <c r="Q1757" t="s">
        <v>30</v>
      </c>
      <c r="R1757" t="s">
        <v>41</v>
      </c>
      <c r="S1757">
        <v>2</v>
      </c>
      <c r="T1757">
        <v>4</v>
      </c>
      <c r="U1757" t="s">
        <v>56</v>
      </c>
      <c r="V1757" t="s">
        <v>33</v>
      </c>
      <c r="W1757">
        <v>5</v>
      </c>
    </row>
    <row r="1758" spans="1:23" x14ac:dyDescent="0.25">
      <c r="A1758" t="s">
        <v>2404</v>
      </c>
      <c r="B1758" s="1">
        <v>45910</v>
      </c>
      <c r="C1758" t="s">
        <v>905</v>
      </c>
      <c r="D1758" t="s">
        <v>154</v>
      </c>
      <c r="E1758" t="s">
        <v>26</v>
      </c>
      <c r="F1758" t="s">
        <v>53</v>
      </c>
      <c r="G1758" t="s">
        <v>151</v>
      </c>
      <c r="H1758">
        <v>1</v>
      </c>
      <c r="I1758">
        <v>49997</v>
      </c>
      <c r="J1758">
        <v>0</v>
      </c>
      <c r="K1758">
        <v>0</v>
      </c>
      <c r="L1758">
        <v>49997</v>
      </c>
      <c r="M1758">
        <v>33191.58</v>
      </c>
      <c r="N1758">
        <v>16805.419999999998</v>
      </c>
      <c r="O1758" t="s">
        <v>91</v>
      </c>
      <c r="P1758">
        <v>255.27</v>
      </c>
      <c r="Q1758" t="s">
        <v>40</v>
      </c>
      <c r="R1758" t="s">
        <v>41</v>
      </c>
      <c r="S1758">
        <v>2</v>
      </c>
      <c r="T1758">
        <v>1</v>
      </c>
      <c r="U1758" t="s">
        <v>32</v>
      </c>
      <c r="V1758" t="s">
        <v>33</v>
      </c>
      <c r="W1758">
        <v>4</v>
      </c>
    </row>
    <row r="1759" spans="1:23" x14ac:dyDescent="0.25">
      <c r="A1759" t="s">
        <v>2405</v>
      </c>
      <c r="B1759" s="1">
        <v>45895</v>
      </c>
      <c r="C1759" t="s">
        <v>2406</v>
      </c>
      <c r="D1759" t="s">
        <v>90</v>
      </c>
      <c r="E1759" t="s">
        <v>46</v>
      </c>
      <c r="F1759" t="s">
        <v>37</v>
      </c>
      <c r="G1759" t="s">
        <v>313</v>
      </c>
      <c r="H1759">
        <v>2</v>
      </c>
      <c r="I1759">
        <v>5896</v>
      </c>
      <c r="J1759">
        <v>0</v>
      </c>
      <c r="K1759">
        <v>0</v>
      </c>
      <c r="L1759">
        <v>11792</v>
      </c>
      <c r="M1759">
        <v>7253.94</v>
      </c>
      <c r="N1759">
        <v>4538.0600000000004</v>
      </c>
      <c r="O1759" t="s">
        <v>55</v>
      </c>
      <c r="P1759">
        <v>2194.4299999999998</v>
      </c>
      <c r="Q1759" t="s">
        <v>30</v>
      </c>
      <c r="R1759" t="s">
        <v>41</v>
      </c>
      <c r="S1759">
        <v>2</v>
      </c>
      <c r="T1759">
        <v>0</v>
      </c>
      <c r="U1759" t="s">
        <v>32</v>
      </c>
      <c r="V1759" t="s">
        <v>42</v>
      </c>
    </row>
    <row r="1760" spans="1:23" x14ac:dyDescent="0.25">
      <c r="A1760" t="s">
        <v>2407</v>
      </c>
      <c r="B1760" s="1">
        <v>45946</v>
      </c>
      <c r="C1760" t="s">
        <v>538</v>
      </c>
      <c r="D1760" t="s">
        <v>124</v>
      </c>
      <c r="E1760" t="s">
        <v>46</v>
      </c>
      <c r="F1760" t="s">
        <v>47</v>
      </c>
      <c r="G1760" t="s">
        <v>64</v>
      </c>
      <c r="H1760">
        <v>2</v>
      </c>
      <c r="I1760">
        <v>42921</v>
      </c>
      <c r="J1760">
        <v>0</v>
      </c>
      <c r="K1760">
        <v>0</v>
      </c>
      <c r="L1760">
        <v>85842</v>
      </c>
      <c r="M1760">
        <v>69153.83</v>
      </c>
      <c r="N1760">
        <v>16688.169999999998</v>
      </c>
      <c r="P1760">
        <v>1251.18</v>
      </c>
      <c r="Q1760" t="s">
        <v>68</v>
      </c>
      <c r="R1760" t="s">
        <v>31</v>
      </c>
      <c r="S1760">
        <v>5</v>
      </c>
      <c r="T1760">
        <v>8</v>
      </c>
      <c r="U1760" t="s">
        <v>56</v>
      </c>
      <c r="V1760" t="s">
        <v>33</v>
      </c>
      <c r="W1760">
        <v>2</v>
      </c>
    </row>
    <row r="1761" spans="1:23" x14ac:dyDescent="0.25">
      <c r="A1761" t="s">
        <v>2408</v>
      </c>
      <c r="B1761" s="1">
        <v>45954</v>
      </c>
      <c r="C1761" t="s">
        <v>618</v>
      </c>
      <c r="D1761" t="s">
        <v>90</v>
      </c>
      <c r="E1761" t="s">
        <v>26</v>
      </c>
      <c r="F1761" t="s">
        <v>86</v>
      </c>
      <c r="G1761" t="s">
        <v>127</v>
      </c>
      <c r="H1761">
        <v>1</v>
      </c>
      <c r="I1761">
        <v>66398</v>
      </c>
      <c r="J1761">
        <v>15</v>
      </c>
      <c r="K1761">
        <v>9959.7000000000007</v>
      </c>
      <c r="L1761">
        <v>56438.3</v>
      </c>
      <c r="M1761">
        <v>36615.47</v>
      </c>
      <c r="N1761">
        <v>19822.830000000002</v>
      </c>
      <c r="O1761" t="s">
        <v>91</v>
      </c>
      <c r="P1761">
        <v>1802.73</v>
      </c>
      <c r="Q1761" t="s">
        <v>40</v>
      </c>
      <c r="R1761" t="s">
        <v>41</v>
      </c>
      <c r="S1761">
        <v>2</v>
      </c>
      <c r="T1761">
        <v>4</v>
      </c>
      <c r="U1761" t="s">
        <v>56</v>
      </c>
      <c r="V1761" t="s">
        <v>33</v>
      </c>
      <c r="W1761">
        <v>4</v>
      </c>
    </row>
    <row r="1762" spans="1:23" x14ac:dyDescent="0.25">
      <c r="A1762" t="s">
        <v>2409</v>
      </c>
      <c r="B1762" s="1">
        <v>45887</v>
      </c>
      <c r="C1762" t="s">
        <v>1230</v>
      </c>
      <c r="D1762" t="s">
        <v>25</v>
      </c>
      <c r="E1762" t="s">
        <v>46</v>
      </c>
      <c r="F1762" t="s">
        <v>86</v>
      </c>
      <c r="G1762" t="s">
        <v>94</v>
      </c>
      <c r="H1762">
        <v>2</v>
      </c>
      <c r="I1762">
        <v>50905</v>
      </c>
      <c r="J1762">
        <v>15</v>
      </c>
      <c r="K1762">
        <v>15271.5</v>
      </c>
      <c r="L1762">
        <v>86538.5</v>
      </c>
      <c r="M1762">
        <v>50727.23</v>
      </c>
      <c r="N1762">
        <v>35811.269999999997</v>
      </c>
      <c r="O1762" t="s">
        <v>29</v>
      </c>
      <c r="P1762">
        <v>890.83</v>
      </c>
      <c r="Q1762" t="s">
        <v>73</v>
      </c>
      <c r="R1762" t="s">
        <v>31</v>
      </c>
      <c r="S1762">
        <v>5</v>
      </c>
      <c r="T1762">
        <v>3</v>
      </c>
      <c r="U1762" t="s">
        <v>32</v>
      </c>
      <c r="V1762" t="s">
        <v>50</v>
      </c>
      <c r="W1762">
        <v>1</v>
      </c>
    </row>
    <row r="1763" spans="1:23" x14ac:dyDescent="0.25">
      <c r="A1763" t="s">
        <v>2410</v>
      </c>
      <c r="B1763" s="1">
        <v>46006</v>
      </c>
      <c r="C1763" t="s">
        <v>1903</v>
      </c>
      <c r="D1763" t="s">
        <v>124</v>
      </c>
      <c r="E1763" t="s">
        <v>46</v>
      </c>
      <c r="F1763" t="s">
        <v>86</v>
      </c>
      <c r="G1763" t="s">
        <v>180</v>
      </c>
      <c r="H1763">
        <v>1</v>
      </c>
      <c r="I1763">
        <v>54099</v>
      </c>
      <c r="J1763">
        <v>20</v>
      </c>
      <c r="K1763">
        <v>10819.8</v>
      </c>
      <c r="L1763">
        <v>43279.199999999997</v>
      </c>
      <c r="M1763">
        <v>34252.86</v>
      </c>
      <c r="N1763">
        <v>9026.34</v>
      </c>
      <c r="O1763" t="s">
        <v>29</v>
      </c>
      <c r="P1763">
        <v>1946.41</v>
      </c>
      <c r="Q1763" t="s">
        <v>30</v>
      </c>
      <c r="R1763" t="s">
        <v>31</v>
      </c>
      <c r="S1763">
        <v>5</v>
      </c>
      <c r="T1763">
        <v>6</v>
      </c>
      <c r="U1763" t="s">
        <v>32</v>
      </c>
      <c r="V1763" t="s">
        <v>42</v>
      </c>
    </row>
    <row r="1764" spans="1:23" x14ac:dyDescent="0.25">
      <c r="A1764" t="s">
        <v>2411</v>
      </c>
      <c r="B1764" s="1">
        <v>45947</v>
      </c>
      <c r="C1764" t="s">
        <v>172</v>
      </c>
      <c r="D1764" t="s">
        <v>45</v>
      </c>
      <c r="E1764" t="s">
        <v>26</v>
      </c>
      <c r="F1764" t="s">
        <v>86</v>
      </c>
      <c r="G1764" t="s">
        <v>180</v>
      </c>
      <c r="H1764">
        <v>1</v>
      </c>
      <c r="I1764">
        <v>70412</v>
      </c>
      <c r="J1764">
        <v>10</v>
      </c>
      <c r="K1764">
        <v>7041.2</v>
      </c>
      <c r="L1764">
        <v>63370.8</v>
      </c>
      <c r="M1764">
        <v>37402.28</v>
      </c>
      <c r="N1764">
        <v>25968.52</v>
      </c>
      <c r="O1764" t="s">
        <v>49</v>
      </c>
      <c r="P1764">
        <v>413.07</v>
      </c>
      <c r="Q1764" t="s">
        <v>68</v>
      </c>
      <c r="R1764" t="s">
        <v>31</v>
      </c>
      <c r="S1764">
        <v>5</v>
      </c>
      <c r="T1764">
        <v>5</v>
      </c>
      <c r="U1764" t="s">
        <v>32</v>
      </c>
      <c r="V1764" t="s">
        <v>33</v>
      </c>
      <c r="W1764">
        <v>5</v>
      </c>
    </row>
    <row r="1765" spans="1:23" x14ac:dyDescent="0.25">
      <c r="A1765" t="s">
        <v>2412</v>
      </c>
      <c r="B1765" s="1">
        <v>45987</v>
      </c>
      <c r="C1765" t="s">
        <v>1012</v>
      </c>
      <c r="D1765" t="s">
        <v>67</v>
      </c>
      <c r="E1765" t="s">
        <v>46</v>
      </c>
      <c r="F1765" t="s">
        <v>27</v>
      </c>
      <c r="G1765" t="s">
        <v>113</v>
      </c>
      <c r="H1765">
        <v>2</v>
      </c>
      <c r="I1765">
        <v>5357</v>
      </c>
      <c r="J1765">
        <v>10</v>
      </c>
      <c r="K1765">
        <v>1071.4000000000001</v>
      </c>
      <c r="L1765">
        <v>9642.6</v>
      </c>
      <c r="M1765">
        <v>7082.15</v>
      </c>
      <c r="N1765">
        <v>2560.4499999999998</v>
      </c>
      <c r="O1765" t="s">
        <v>91</v>
      </c>
      <c r="P1765">
        <v>2355.54</v>
      </c>
      <c r="Q1765" t="s">
        <v>68</v>
      </c>
      <c r="R1765" t="s">
        <v>31</v>
      </c>
      <c r="S1765">
        <v>5</v>
      </c>
      <c r="T1765">
        <v>1</v>
      </c>
      <c r="U1765" t="s">
        <v>32</v>
      </c>
      <c r="V1765" t="s">
        <v>33</v>
      </c>
      <c r="W1765">
        <v>5</v>
      </c>
    </row>
    <row r="1766" spans="1:23" x14ac:dyDescent="0.25">
      <c r="A1766" t="s">
        <v>2413</v>
      </c>
      <c r="B1766" s="1">
        <v>45983</v>
      </c>
      <c r="C1766" t="s">
        <v>1063</v>
      </c>
      <c r="D1766" t="s">
        <v>154</v>
      </c>
      <c r="E1766" t="s">
        <v>46</v>
      </c>
      <c r="F1766" t="s">
        <v>86</v>
      </c>
      <c r="G1766" t="s">
        <v>94</v>
      </c>
      <c r="H1766">
        <v>2</v>
      </c>
      <c r="I1766">
        <v>8890</v>
      </c>
      <c r="J1766">
        <v>0</v>
      </c>
      <c r="K1766">
        <v>0</v>
      </c>
      <c r="L1766">
        <v>17780</v>
      </c>
      <c r="M1766">
        <v>10624.04</v>
      </c>
      <c r="N1766">
        <v>7155.96</v>
      </c>
      <c r="O1766" t="s">
        <v>29</v>
      </c>
      <c r="P1766">
        <v>2272.71</v>
      </c>
      <c r="Q1766" t="s">
        <v>73</v>
      </c>
      <c r="R1766" t="s">
        <v>31</v>
      </c>
      <c r="S1766">
        <v>5</v>
      </c>
      <c r="T1766">
        <v>6</v>
      </c>
      <c r="U1766" t="s">
        <v>32</v>
      </c>
      <c r="V1766" t="s">
        <v>50</v>
      </c>
      <c r="W1766">
        <v>5</v>
      </c>
    </row>
    <row r="1767" spans="1:23" x14ac:dyDescent="0.25">
      <c r="A1767" t="s">
        <v>2414</v>
      </c>
      <c r="B1767" s="1">
        <v>45977</v>
      </c>
      <c r="C1767" t="s">
        <v>1162</v>
      </c>
      <c r="D1767" t="s">
        <v>45</v>
      </c>
      <c r="E1767" t="s">
        <v>26</v>
      </c>
      <c r="F1767" t="s">
        <v>47</v>
      </c>
      <c r="G1767" t="s">
        <v>48</v>
      </c>
      <c r="H1767">
        <v>1</v>
      </c>
      <c r="I1767">
        <v>25501</v>
      </c>
      <c r="J1767">
        <v>0</v>
      </c>
      <c r="K1767">
        <v>0</v>
      </c>
      <c r="L1767">
        <v>25501</v>
      </c>
      <c r="M1767">
        <v>14963.98</v>
      </c>
      <c r="N1767">
        <v>10537.02</v>
      </c>
      <c r="O1767" t="s">
        <v>39</v>
      </c>
      <c r="P1767">
        <v>895.72</v>
      </c>
      <c r="Q1767" t="s">
        <v>83</v>
      </c>
      <c r="R1767" t="s">
        <v>31</v>
      </c>
      <c r="S1767">
        <v>5</v>
      </c>
      <c r="T1767">
        <v>1</v>
      </c>
      <c r="U1767" t="s">
        <v>32</v>
      </c>
      <c r="V1767" t="s">
        <v>50</v>
      </c>
      <c r="W1767">
        <v>3</v>
      </c>
    </row>
    <row r="1768" spans="1:23" x14ac:dyDescent="0.25">
      <c r="A1768" t="s">
        <v>2415</v>
      </c>
      <c r="B1768" s="1">
        <v>45823</v>
      </c>
      <c r="C1768" t="s">
        <v>1288</v>
      </c>
      <c r="D1768" t="s">
        <v>79</v>
      </c>
      <c r="E1768" t="s">
        <v>26</v>
      </c>
      <c r="F1768" t="s">
        <v>53</v>
      </c>
      <c r="G1768" t="s">
        <v>82</v>
      </c>
      <c r="H1768">
        <v>2</v>
      </c>
      <c r="I1768">
        <v>104664</v>
      </c>
      <c r="J1768">
        <v>10</v>
      </c>
      <c r="K1768">
        <v>20932.8</v>
      </c>
      <c r="L1768">
        <v>188395.2</v>
      </c>
      <c r="M1768">
        <v>127676.88</v>
      </c>
      <c r="N1768">
        <v>60718.32</v>
      </c>
      <c r="O1768" t="s">
        <v>91</v>
      </c>
      <c r="P1768">
        <v>1964.42</v>
      </c>
      <c r="Q1768" t="s">
        <v>40</v>
      </c>
      <c r="R1768" t="s">
        <v>31</v>
      </c>
      <c r="S1768">
        <v>5</v>
      </c>
      <c r="T1768">
        <v>9</v>
      </c>
      <c r="U1768" t="s">
        <v>56</v>
      </c>
      <c r="V1768" t="s">
        <v>33</v>
      </c>
      <c r="W1768">
        <v>5</v>
      </c>
    </row>
    <row r="1769" spans="1:23" x14ac:dyDescent="0.25">
      <c r="A1769" t="s">
        <v>2416</v>
      </c>
      <c r="B1769" s="1">
        <v>45979</v>
      </c>
      <c r="C1769" t="s">
        <v>961</v>
      </c>
      <c r="D1769" t="s">
        <v>71</v>
      </c>
      <c r="E1769" t="s">
        <v>46</v>
      </c>
      <c r="F1769" t="s">
        <v>27</v>
      </c>
      <c r="G1769" t="s">
        <v>76</v>
      </c>
      <c r="H1769">
        <v>1</v>
      </c>
      <c r="I1769">
        <v>7300</v>
      </c>
      <c r="J1769">
        <v>0</v>
      </c>
      <c r="K1769">
        <v>0</v>
      </c>
      <c r="L1769">
        <v>7300</v>
      </c>
      <c r="M1769">
        <v>4066.09</v>
      </c>
      <c r="N1769">
        <v>3233.91</v>
      </c>
      <c r="O1769" t="s">
        <v>29</v>
      </c>
      <c r="P1769">
        <v>1827.82</v>
      </c>
      <c r="Q1769" t="s">
        <v>40</v>
      </c>
      <c r="R1769" t="s">
        <v>31</v>
      </c>
      <c r="S1769">
        <v>5</v>
      </c>
      <c r="T1769">
        <v>4</v>
      </c>
      <c r="U1769" t="s">
        <v>32</v>
      </c>
      <c r="V1769" t="s">
        <v>33</v>
      </c>
      <c r="W1769">
        <v>5</v>
      </c>
    </row>
    <row r="1770" spans="1:23" x14ac:dyDescent="0.25">
      <c r="A1770" t="s">
        <v>2417</v>
      </c>
      <c r="B1770" s="1">
        <v>45819</v>
      </c>
      <c r="C1770" t="s">
        <v>1037</v>
      </c>
      <c r="D1770" t="s">
        <v>79</v>
      </c>
      <c r="E1770" t="s">
        <v>26</v>
      </c>
      <c r="F1770" t="s">
        <v>53</v>
      </c>
      <c r="G1770" t="s">
        <v>268</v>
      </c>
      <c r="H1770">
        <v>1</v>
      </c>
      <c r="I1770">
        <v>13504</v>
      </c>
      <c r="J1770">
        <v>25</v>
      </c>
      <c r="K1770">
        <v>3376</v>
      </c>
      <c r="L1770">
        <v>10128</v>
      </c>
      <c r="M1770">
        <v>7060.83</v>
      </c>
      <c r="N1770">
        <v>3067.17</v>
      </c>
      <c r="O1770" t="s">
        <v>39</v>
      </c>
      <c r="P1770">
        <v>1073.6500000000001</v>
      </c>
      <c r="Q1770" t="s">
        <v>30</v>
      </c>
      <c r="R1770" t="s">
        <v>31</v>
      </c>
      <c r="S1770">
        <v>5</v>
      </c>
      <c r="T1770">
        <v>4</v>
      </c>
      <c r="U1770" t="s">
        <v>32</v>
      </c>
      <c r="V1770" t="s">
        <v>42</v>
      </c>
    </row>
    <row r="1771" spans="1:23" x14ac:dyDescent="0.25">
      <c r="A1771" t="s">
        <v>2418</v>
      </c>
      <c r="B1771" s="1">
        <v>45735</v>
      </c>
      <c r="C1771" t="s">
        <v>2294</v>
      </c>
      <c r="D1771" t="s">
        <v>124</v>
      </c>
      <c r="E1771" t="s">
        <v>36</v>
      </c>
      <c r="F1771" t="s">
        <v>86</v>
      </c>
      <c r="G1771" t="s">
        <v>94</v>
      </c>
      <c r="H1771">
        <v>1</v>
      </c>
      <c r="I1771">
        <v>10731</v>
      </c>
      <c r="J1771">
        <v>0</v>
      </c>
      <c r="K1771">
        <v>0</v>
      </c>
      <c r="L1771">
        <v>10731</v>
      </c>
      <c r="M1771">
        <v>7845.32</v>
      </c>
      <c r="N1771">
        <v>2885.68</v>
      </c>
      <c r="O1771" t="s">
        <v>55</v>
      </c>
      <c r="P1771">
        <v>2417.7199999999998</v>
      </c>
      <c r="Q1771" t="s">
        <v>68</v>
      </c>
      <c r="R1771" t="s">
        <v>41</v>
      </c>
      <c r="S1771">
        <v>2</v>
      </c>
      <c r="T1771">
        <v>3</v>
      </c>
      <c r="U1771" t="s">
        <v>56</v>
      </c>
      <c r="V1771" t="s">
        <v>33</v>
      </c>
      <c r="W1771">
        <v>4</v>
      </c>
    </row>
    <row r="1772" spans="1:23" x14ac:dyDescent="0.25">
      <c r="A1772" t="s">
        <v>2419</v>
      </c>
      <c r="B1772" s="1">
        <v>45883</v>
      </c>
      <c r="C1772" t="s">
        <v>1033</v>
      </c>
      <c r="D1772" t="s">
        <v>124</v>
      </c>
      <c r="E1772" t="s">
        <v>36</v>
      </c>
      <c r="F1772" t="s">
        <v>53</v>
      </c>
      <c r="G1772" t="s">
        <v>54</v>
      </c>
      <c r="H1772">
        <v>2</v>
      </c>
      <c r="I1772">
        <v>73101</v>
      </c>
      <c r="J1772">
        <v>20</v>
      </c>
      <c r="K1772">
        <v>29240.400000000001</v>
      </c>
      <c r="L1772">
        <v>116961.60000000001</v>
      </c>
      <c r="M1772">
        <v>67015.55</v>
      </c>
      <c r="N1772">
        <v>49946.05</v>
      </c>
      <c r="O1772" t="s">
        <v>60</v>
      </c>
      <c r="P1772">
        <v>2274.4</v>
      </c>
      <c r="Q1772" t="s">
        <v>83</v>
      </c>
      <c r="R1772" t="s">
        <v>31</v>
      </c>
      <c r="S1772">
        <v>5</v>
      </c>
      <c r="T1772">
        <v>5</v>
      </c>
      <c r="U1772" t="s">
        <v>32</v>
      </c>
      <c r="V1772" t="s">
        <v>50</v>
      </c>
      <c r="W1772">
        <v>5</v>
      </c>
    </row>
    <row r="1773" spans="1:23" x14ac:dyDescent="0.25">
      <c r="A1773" t="s">
        <v>2420</v>
      </c>
      <c r="B1773" s="1">
        <v>45692</v>
      </c>
      <c r="C1773" t="s">
        <v>1790</v>
      </c>
      <c r="D1773" t="s">
        <v>67</v>
      </c>
      <c r="E1773" t="s">
        <v>46</v>
      </c>
      <c r="F1773" t="s">
        <v>37</v>
      </c>
      <c r="G1773" t="s">
        <v>224</v>
      </c>
      <c r="H1773">
        <v>2</v>
      </c>
      <c r="I1773">
        <v>17496</v>
      </c>
      <c r="J1773">
        <v>0</v>
      </c>
      <c r="K1773">
        <v>0</v>
      </c>
      <c r="L1773">
        <v>34992</v>
      </c>
      <c r="M1773">
        <v>19462.2</v>
      </c>
      <c r="N1773">
        <v>15529.8</v>
      </c>
      <c r="O1773" t="s">
        <v>39</v>
      </c>
      <c r="P1773">
        <v>806.04</v>
      </c>
      <c r="Q1773" t="s">
        <v>73</v>
      </c>
      <c r="R1773" t="s">
        <v>41</v>
      </c>
      <c r="S1773">
        <v>2</v>
      </c>
      <c r="T1773">
        <v>5</v>
      </c>
      <c r="U1773" t="s">
        <v>56</v>
      </c>
      <c r="V1773" t="s">
        <v>33</v>
      </c>
      <c r="W1773">
        <v>5</v>
      </c>
    </row>
    <row r="1774" spans="1:23" x14ac:dyDescent="0.25">
      <c r="A1774" t="s">
        <v>2421</v>
      </c>
      <c r="B1774" s="1">
        <v>45898</v>
      </c>
      <c r="C1774" t="s">
        <v>1133</v>
      </c>
      <c r="D1774" t="s">
        <v>79</v>
      </c>
      <c r="E1774" t="s">
        <v>36</v>
      </c>
      <c r="F1774" t="s">
        <v>27</v>
      </c>
      <c r="G1774" t="s">
        <v>164</v>
      </c>
      <c r="H1774">
        <v>1</v>
      </c>
      <c r="I1774">
        <v>26947</v>
      </c>
      <c r="J1774">
        <v>20</v>
      </c>
      <c r="K1774">
        <v>5389.4</v>
      </c>
      <c r="L1774">
        <v>21557.599999999999</v>
      </c>
      <c r="M1774">
        <v>13874.97</v>
      </c>
      <c r="N1774">
        <v>7682.63</v>
      </c>
      <c r="O1774" t="s">
        <v>39</v>
      </c>
      <c r="P1774">
        <v>2177.23</v>
      </c>
      <c r="Q1774" t="s">
        <v>30</v>
      </c>
      <c r="R1774" t="s">
        <v>31</v>
      </c>
      <c r="S1774">
        <v>5</v>
      </c>
      <c r="T1774">
        <v>2</v>
      </c>
      <c r="U1774" t="s">
        <v>32</v>
      </c>
      <c r="V1774" t="s">
        <v>50</v>
      </c>
      <c r="W1774">
        <v>5</v>
      </c>
    </row>
    <row r="1775" spans="1:23" x14ac:dyDescent="0.25">
      <c r="A1775" t="s">
        <v>2422</v>
      </c>
      <c r="B1775" s="1">
        <v>45884</v>
      </c>
      <c r="C1775" t="s">
        <v>2423</v>
      </c>
      <c r="D1775" t="s">
        <v>71</v>
      </c>
      <c r="E1775" t="s">
        <v>46</v>
      </c>
      <c r="F1775" t="s">
        <v>47</v>
      </c>
      <c r="G1775" t="s">
        <v>146</v>
      </c>
      <c r="H1775">
        <v>1</v>
      </c>
      <c r="I1775">
        <v>19834</v>
      </c>
      <c r="J1775">
        <v>0</v>
      </c>
      <c r="K1775">
        <v>0</v>
      </c>
      <c r="L1775">
        <v>19834</v>
      </c>
      <c r="M1775">
        <v>11405.78</v>
      </c>
      <c r="N1775">
        <v>8428.2199999999993</v>
      </c>
      <c r="O1775" t="s">
        <v>49</v>
      </c>
      <c r="P1775">
        <v>449.97</v>
      </c>
      <c r="Q1775" t="s">
        <v>30</v>
      </c>
      <c r="R1775" t="s">
        <v>31</v>
      </c>
      <c r="S1775">
        <v>5</v>
      </c>
      <c r="T1775">
        <v>2</v>
      </c>
      <c r="U1775" t="s">
        <v>32</v>
      </c>
      <c r="V1775" t="s">
        <v>50</v>
      </c>
      <c r="W1775">
        <v>5</v>
      </c>
    </row>
    <row r="1776" spans="1:23" x14ac:dyDescent="0.25">
      <c r="A1776" t="s">
        <v>2424</v>
      </c>
      <c r="B1776" s="1">
        <v>45981</v>
      </c>
      <c r="C1776" t="s">
        <v>993</v>
      </c>
      <c r="D1776" t="s">
        <v>45</v>
      </c>
      <c r="E1776" t="s">
        <v>36</v>
      </c>
      <c r="F1776" t="s">
        <v>53</v>
      </c>
      <c r="G1776" t="s">
        <v>268</v>
      </c>
      <c r="H1776">
        <v>1</v>
      </c>
      <c r="I1776">
        <v>64643</v>
      </c>
      <c r="J1776">
        <v>10</v>
      </c>
      <c r="K1776">
        <v>6464.3</v>
      </c>
      <c r="L1776">
        <v>58178.7</v>
      </c>
      <c r="M1776">
        <v>41325.97</v>
      </c>
      <c r="N1776">
        <v>16852.73</v>
      </c>
      <c r="O1776" t="s">
        <v>60</v>
      </c>
      <c r="P1776">
        <v>2184.12</v>
      </c>
      <c r="Q1776" t="s">
        <v>30</v>
      </c>
      <c r="R1776" t="s">
        <v>41</v>
      </c>
      <c r="S1776">
        <v>2</v>
      </c>
      <c r="T1776">
        <v>1</v>
      </c>
      <c r="U1776" t="s">
        <v>32</v>
      </c>
      <c r="V1776" t="s">
        <v>33</v>
      </c>
      <c r="W1776">
        <v>5</v>
      </c>
    </row>
    <row r="1777" spans="1:23" x14ac:dyDescent="0.25">
      <c r="A1777" t="s">
        <v>2425</v>
      </c>
      <c r="B1777" s="1">
        <v>45813</v>
      </c>
      <c r="C1777" t="s">
        <v>948</v>
      </c>
      <c r="D1777" t="s">
        <v>154</v>
      </c>
      <c r="E1777" t="s">
        <v>46</v>
      </c>
      <c r="F1777" t="s">
        <v>27</v>
      </c>
      <c r="G1777" t="s">
        <v>28</v>
      </c>
      <c r="H1777">
        <v>1</v>
      </c>
      <c r="I1777">
        <v>27820</v>
      </c>
      <c r="J1777">
        <v>25</v>
      </c>
      <c r="K1777">
        <v>6955</v>
      </c>
      <c r="L1777">
        <v>20865</v>
      </c>
      <c r="M1777">
        <v>16088.46</v>
      </c>
      <c r="N1777">
        <v>4776.54</v>
      </c>
      <c r="O1777" t="s">
        <v>91</v>
      </c>
      <c r="P1777">
        <v>2300.06</v>
      </c>
      <c r="Q1777" t="s">
        <v>73</v>
      </c>
      <c r="R1777" t="s">
        <v>41</v>
      </c>
      <c r="S1777">
        <v>2</v>
      </c>
      <c r="T1777">
        <v>1</v>
      </c>
      <c r="U1777" t="s">
        <v>32</v>
      </c>
      <c r="V1777" t="s">
        <v>33</v>
      </c>
      <c r="W1777">
        <v>5</v>
      </c>
    </row>
    <row r="1778" spans="1:23" x14ac:dyDescent="0.25">
      <c r="A1778" t="s">
        <v>2426</v>
      </c>
      <c r="B1778" s="1">
        <v>45798</v>
      </c>
      <c r="C1778" t="s">
        <v>332</v>
      </c>
      <c r="D1778" t="s">
        <v>124</v>
      </c>
      <c r="E1778" t="s">
        <v>46</v>
      </c>
      <c r="F1778" t="s">
        <v>53</v>
      </c>
      <c r="G1778" t="s">
        <v>82</v>
      </c>
      <c r="H1778">
        <v>1</v>
      </c>
      <c r="I1778">
        <v>119674</v>
      </c>
      <c r="J1778">
        <v>20</v>
      </c>
      <c r="K1778">
        <v>23934.799999999999</v>
      </c>
      <c r="L1778">
        <v>95739.199999999997</v>
      </c>
      <c r="M1778">
        <v>60234.43</v>
      </c>
      <c r="N1778">
        <v>35504.769999999997</v>
      </c>
      <c r="O1778" t="s">
        <v>91</v>
      </c>
      <c r="P1778">
        <v>593.53</v>
      </c>
      <c r="Q1778" t="s">
        <v>30</v>
      </c>
      <c r="R1778" t="s">
        <v>31</v>
      </c>
      <c r="S1778">
        <v>5</v>
      </c>
      <c r="T1778">
        <v>4</v>
      </c>
      <c r="U1778" t="s">
        <v>32</v>
      </c>
      <c r="V1778" t="s">
        <v>50</v>
      </c>
      <c r="W1778">
        <v>5</v>
      </c>
    </row>
    <row r="1779" spans="1:23" x14ac:dyDescent="0.25">
      <c r="A1779" t="s">
        <v>2427</v>
      </c>
      <c r="B1779" s="1">
        <v>45960</v>
      </c>
      <c r="C1779" t="s">
        <v>1060</v>
      </c>
      <c r="D1779" t="s">
        <v>45</v>
      </c>
      <c r="E1779" t="s">
        <v>46</v>
      </c>
      <c r="F1779" t="s">
        <v>86</v>
      </c>
      <c r="G1779" t="s">
        <v>110</v>
      </c>
      <c r="H1779">
        <v>1</v>
      </c>
      <c r="I1779">
        <v>24530</v>
      </c>
      <c r="J1779">
        <v>25</v>
      </c>
      <c r="K1779">
        <v>6132.5</v>
      </c>
      <c r="L1779">
        <v>18397.5</v>
      </c>
      <c r="M1779">
        <v>14815.48</v>
      </c>
      <c r="N1779">
        <v>3582.02</v>
      </c>
      <c r="O1779" t="s">
        <v>60</v>
      </c>
      <c r="P1779">
        <v>2497.5500000000002</v>
      </c>
      <c r="Q1779" t="s">
        <v>83</v>
      </c>
      <c r="R1779" t="s">
        <v>41</v>
      </c>
      <c r="S1779">
        <v>2</v>
      </c>
      <c r="T1779">
        <v>2</v>
      </c>
      <c r="U1779" t="s">
        <v>32</v>
      </c>
      <c r="V1779" t="s">
        <v>50</v>
      </c>
      <c r="W1779">
        <v>3</v>
      </c>
    </row>
    <row r="1780" spans="1:23" x14ac:dyDescent="0.25">
      <c r="A1780" t="s">
        <v>2428</v>
      </c>
      <c r="B1780" s="1">
        <v>45686</v>
      </c>
      <c r="C1780" t="s">
        <v>2429</v>
      </c>
      <c r="D1780" t="s">
        <v>45</v>
      </c>
      <c r="E1780" t="s">
        <v>26</v>
      </c>
      <c r="F1780" t="s">
        <v>47</v>
      </c>
      <c r="G1780" t="s">
        <v>64</v>
      </c>
      <c r="H1780">
        <v>3</v>
      </c>
      <c r="I1780">
        <v>41038</v>
      </c>
      <c r="J1780">
        <v>15</v>
      </c>
      <c r="K1780">
        <v>18467.099999999999</v>
      </c>
      <c r="L1780">
        <v>104646.9</v>
      </c>
      <c r="M1780">
        <v>71559.06</v>
      </c>
      <c r="N1780">
        <v>33087.839999999997</v>
      </c>
      <c r="O1780" t="s">
        <v>60</v>
      </c>
      <c r="P1780">
        <v>1834</v>
      </c>
      <c r="Q1780" t="s">
        <v>68</v>
      </c>
      <c r="R1780" t="s">
        <v>31</v>
      </c>
      <c r="S1780">
        <v>5</v>
      </c>
      <c r="T1780">
        <v>4</v>
      </c>
      <c r="U1780" t="s">
        <v>32</v>
      </c>
      <c r="V1780" t="s">
        <v>42</v>
      </c>
    </row>
    <row r="1781" spans="1:23" x14ac:dyDescent="0.25">
      <c r="A1781" t="s">
        <v>2430</v>
      </c>
      <c r="B1781" s="1">
        <v>45838</v>
      </c>
      <c r="C1781" t="s">
        <v>533</v>
      </c>
      <c r="D1781" t="s">
        <v>154</v>
      </c>
      <c r="E1781" t="s">
        <v>26</v>
      </c>
      <c r="F1781" t="s">
        <v>27</v>
      </c>
      <c r="G1781" t="s">
        <v>28</v>
      </c>
      <c r="H1781">
        <v>1</v>
      </c>
      <c r="I1781">
        <v>11866</v>
      </c>
      <c r="J1781">
        <v>10</v>
      </c>
      <c r="K1781">
        <v>1186.5999999999999</v>
      </c>
      <c r="L1781">
        <v>10679.4</v>
      </c>
      <c r="M1781">
        <v>7369.83</v>
      </c>
      <c r="N1781">
        <v>3309.57</v>
      </c>
      <c r="O1781" t="s">
        <v>91</v>
      </c>
      <c r="P1781">
        <v>828.98</v>
      </c>
      <c r="Q1781" t="s">
        <v>30</v>
      </c>
      <c r="R1781" t="s">
        <v>41</v>
      </c>
      <c r="S1781">
        <v>2</v>
      </c>
      <c r="T1781">
        <v>1</v>
      </c>
      <c r="U1781" t="s">
        <v>32</v>
      </c>
      <c r="V1781" t="s">
        <v>33</v>
      </c>
      <c r="W1781">
        <v>5</v>
      </c>
    </row>
    <row r="1782" spans="1:23" x14ac:dyDescent="0.25">
      <c r="A1782" t="s">
        <v>2431</v>
      </c>
      <c r="B1782" s="1">
        <v>45917</v>
      </c>
      <c r="C1782" t="s">
        <v>852</v>
      </c>
      <c r="D1782" t="s">
        <v>71</v>
      </c>
      <c r="E1782" t="s">
        <v>26</v>
      </c>
      <c r="F1782" t="s">
        <v>27</v>
      </c>
      <c r="G1782" t="s">
        <v>72</v>
      </c>
      <c r="H1782">
        <v>1</v>
      </c>
      <c r="I1782">
        <v>6961</v>
      </c>
      <c r="J1782">
        <v>10</v>
      </c>
      <c r="K1782">
        <v>696.1</v>
      </c>
      <c r="L1782">
        <v>6264.9</v>
      </c>
      <c r="M1782">
        <v>4029.62</v>
      </c>
      <c r="N1782">
        <v>2235.2800000000002</v>
      </c>
      <c r="O1782" t="s">
        <v>91</v>
      </c>
      <c r="P1782">
        <v>1119.1600000000001</v>
      </c>
      <c r="Q1782" t="s">
        <v>83</v>
      </c>
      <c r="R1782" t="s">
        <v>41</v>
      </c>
      <c r="S1782">
        <v>2</v>
      </c>
      <c r="T1782">
        <v>1</v>
      </c>
      <c r="U1782" t="s">
        <v>32</v>
      </c>
      <c r="V1782" t="s">
        <v>33</v>
      </c>
      <c r="W1782">
        <v>4</v>
      </c>
    </row>
    <row r="1783" spans="1:23" x14ac:dyDescent="0.25">
      <c r="A1783" t="s">
        <v>2432</v>
      </c>
      <c r="B1783" s="1">
        <v>45695</v>
      </c>
      <c r="C1783" t="s">
        <v>2433</v>
      </c>
      <c r="D1783" t="s">
        <v>63</v>
      </c>
      <c r="E1783" t="s">
        <v>26</v>
      </c>
      <c r="F1783" t="s">
        <v>86</v>
      </c>
      <c r="G1783" t="s">
        <v>94</v>
      </c>
      <c r="H1783">
        <v>1</v>
      </c>
      <c r="I1783">
        <v>39169</v>
      </c>
      <c r="J1783">
        <v>10</v>
      </c>
      <c r="K1783">
        <v>3916.9</v>
      </c>
      <c r="L1783">
        <v>35252.1</v>
      </c>
      <c r="M1783">
        <v>23571.01</v>
      </c>
      <c r="N1783">
        <v>11681.09</v>
      </c>
      <c r="O1783" t="s">
        <v>55</v>
      </c>
      <c r="P1783">
        <v>916.69</v>
      </c>
      <c r="Q1783" t="s">
        <v>68</v>
      </c>
      <c r="R1783" t="s">
        <v>31</v>
      </c>
      <c r="S1783">
        <v>5</v>
      </c>
      <c r="T1783">
        <v>5</v>
      </c>
      <c r="U1783" t="s">
        <v>32</v>
      </c>
      <c r="V1783" t="s">
        <v>42</v>
      </c>
    </row>
    <row r="1784" spans="1:23" x14ac:dyDescent="0.25">
      <c r="A1784" t="s">
        <v>2434</v>
      </c>
      <c r="B1784" s="1">
        <v>45816</v>
      </c>
      <c r="C1784" t="s">
        <v>386</v>
      </c>
      <c r="D1784" t="s">
        <v>71</v>
      </c>
      <c r="E1784" t="s">
        <v>46</v>
      </c>
      <c r="F1784" t="s">
        <v>27</v>
      </c>
      <c r="G1784" t="s">
        <v>164</v>
      </c>
      <c r="H1784">
        <v>1</v>
      </c>
      <c r="I1784">
        <v>15789</v>
      </c>
      <c r="J1784">
        <v>0</v>
      </c>
      <c r="K1784">
        <v>0</v>
      </c>
      <c r="L1784">
        <v>15789</v>
      </c>
      <c r="M1784">
        <v>10885.37</v>
      </c>
      <c r="N1784">
        <v>4903.63</v>
      </c>
      <c r="O1784" t="s">
        <v>29</v>
      </c>
      <c r="P1784">
        <v>1921.19</v>
      </c>
      <c r="Q1784" t="s">
        <v>73</v>
      </c>
      <c r="R1784" t="s">
        <v>41</v>
      </c>
      <c r="S1784">
        <v>2</v>
      </c>
      <c r="T1784">
        <v>1</v>
      </c>
      <c r="U1784" t="s">
        <v>32</v>
      </c>
      <c r="V1784" t="s">
        <v>33</v>
      </c>
      <c r="W1784">
        <v>5</v>
      </c>
    </row>
    <row r="1785" spans="1:23" x14ac:dyDescent="0.25">
      <c r="A1785" t="s">
        <v>2435</v>
      </c>
      <c r="B1785" s="1">
        <v>45894</v>
      </c>
      <c r="C1785" t="s">
        <v>908</v>
      </c>
      <c r="D1785" t="s">
        <v>71</v>
      </c>
      <c r="E1785" t="s">
        <v>36</v>
      </c>
      <c r="F1785" t="s">
        <v>86</v>
      </c>
      <c r="G1785" t="s">
        <v>94</v>
      </c>
      <c r="H1785">
        <v>1</v>
      </c>
      <c r="I1785">
        <v>38348</v>
      </c>
      <c r="J1785">
        <v>10</v>
      </c>
      <c r="K1785">
        <v>3834.8</v>
      </c>
      <c r="L1785">
        <v>34513.199999999997</v>
      </c>
      <c r="M1785">
        <v>27600.99</v>
      </c>
      <c r="N1785">
        <v>6912.21</v>
      </c>
      <c r="O1785" t="s">
        <v>39</v>
      </c>
      <c r="P1785">
        <v>405.86</v>
      </c>
      <c r="Q1785" t="s">
        <v>73</v>
      </c>
      <c r="R1785" t="s">
        <v>41</v>
      </c>
      <c r="S1785">
        <v>2</v>
      </c>
      <c r="T1785">
        <v>3</v>
      </c>
      <c r="U1785" t="s">
        <v>56</v>
      </c>
      <c r="V1785" t="s">
        <v>33</v>
      </c>
      <c r="W1785">
        <v>4</v>
      </c>
    </row>
    <row r="1786" spans="1:23" x14ac:dyDescent="0.25">
      <c r="A1786" t="s">
        <v>2436</v>
      </c>
      <c r="B1786" s="1">
        <v>45889</v>
      </c>
      <c r="C1786" t="s">
        <v>912</v>
      </c>
      <c r="D1786" t="s">
        <v>63</v>
      </c>
      <c r="E1786" t="s">
        <v>26</v>
      </c>
      <c r="F1786" t="s">
        <v>53</v>
      </c>
      <c r="G1786" t="s">
        <v>268</v>
      </c>
      <c r="H1786">
        <v>1</v>
      </c>
      <c r="I1786">
        <v>53297</v>
      </c>
      <c r="J1786">
        <v>15</v>
      </c>
      <c r="K1786">
        <v>7994.55</v>
      </c>
      <c r="L1786">
        <v>45302.45</v>
      </c>
      <c r="M1786">
        <v>25266.93</v>
      </c>
      <c r="N1786">
        <v>20035.52</v>
      </c>
      <c r="O1786" t="s">
        <v>49</v>
      </c>
      <c r="P1786">
        <v>88.8</v>
      </c>
      <c r="Q1786" t="s">
        <v>40</v>
      </c>
      <c r="R1786" t="s">
        <v>31</v>
      </c>
      <c r="S1786">
        <v>5</v>
      </c>
      <c r="T1786">
        <v>5</v>
      </c>
      <c r="U1786" t="s">
        <v>32</v>
      </c>
      <c r="V1786" t="s">
        <v>33</v>
      </c>
      <c r="W1786">
        <v>5</v>
      </c>
    </row>
    <row r="1787" spans="1:23" x14ac:dyDescent="0.25">
      <c r="A1787" t="s">
        <v>2437</v>
      </c>
      <c r="B1787" s="1">
        <v>45677</v>
      </c>
      <c r="C1787" t="s">
        <v>1033</v>
      </c>
      <c r="D1787" t="s">
        <v>67</v>
      </c>
      <c r="E1787" t="s">
        <v>36</v>
      </c>
      <c r="F1787" t="s">
        <v>27</v>
      </c>
      <c r="G1787" t="s">
        <v>76</v>
      </c>
      <c r="H1787">
        <v>3</v>
      </c>
      <c r="I1787">
        <v>12250</v>
      </c>
      <c r="J1787">
        <v>0</v>
      </c>
      <c r="K1787">
        <v>0</v>
      </c>
      <c r="L1787">
        <v>36750</v>
      </c>
      <c r="M1787">
        <v>26678.33</v>
      </c>
      <c r="N1787">
        <v>10071.67</v>
      </c>
      <c r="O1787" t="s">
        <v>91</v>
      </c>
      <c r="P1787">
        <v>2046.72</v>
      </c>
      <c r="Q1787" t="s">
        <v>30</v>
      </c>
      <c r="R1787" t="s">
        <v>41</v>
      </c>
      <c r="S1787">
        <v>2</v>
      </c>
      <c r="T1787">
        <v>5</v>
      </c>
      <c r="U1787" t="s">
        <v>32</v>
      </c>
      <c r="V1787" t="s">
        <v>50</v>
      </c>
      <c r="W1787">
        <v>5</v>
      </c>
    </row>
    <row r="1788" spans="1:23" x14ac:dyDescent="0.25">
      <c r="A1788" t="s">
        <v>2438</v>
      </c>
      <c r="B1788" s="1">
        <v>45687</v>
      </c>
      <c r="C1788" t="s">
        <v>1926</v>
      </c>
      <c r="D1788" t="s">
        <v>25</v>
      </c>
      <c r="E1788" t="s">
        <v>26</v>
      </c>
      <c r="F1788" t="s">
        <v>37</v>
      </c>
      <c r="G1788" t="s">
        <v>161</v>
      </c>
      <c r="H1788">
        <v>1</v>
      </c>
      <c r="I1788">
        <v>16692</v>
      </c>
      <c r="J1788">
        <v>10</v>
      </c>
      <c r="K1788">
        <v>1669.2</v>
      </c>
      <c r="L1788">
        <v>15022.8</v>
      </c>
      <c r="M1788">
        <v>8381.7000000000007</v>
      </c>
      <c r="N1788">
        <v>6641.1</v>
      </c>
      <c r="O1788" t="s">
        <v>49</v>
      </c>
      <c r="P1788">
        <v>463.42</v>
      </c>
      <c r="Q1788" t="s">
        <v>73</v>
      </c>
      <c r="R1788" t="s">
        <v>31</v>
      </c>
      <c r="S1788">
        <v>5</v>
      </c>
      <c r="T1788">
        <v>3</v>
      </c>
      <c r="U1788" t="s">
        <v>32</v>
      </c>
      <c r="V1788" t="s">
        <v>50</v>
      </c>
      <c r="W1788">
        <v>5</v>
      </c>
    </row>
    <row r="1789" spans="1:23" x14ac:dyDescent="0.25">
      <c r="A1789" t="s">
        <v>2439</v>
      </c>
      <c r="B1789" s="1">
        <v>45846</v>
      </c>
      <c r="C1789" t="s">
        <v>925</v>
      </c>
      <c r="D1789" t="s">
        <v>79</v>
      </c>
      <c r="E1789" t="s">
        <v>46</v>
      </c>
      <c r="F1789" t="s">
        <v>53</v>
      </c>
      <c r="G1789" t="s">
        <v>82</v>
      </c>
      <c r="H1789">
        <v>2</v>
      </c>
      <c r="I1789">
        <v>43029</v>
      </c>
      <c r="J1789">
        <v>10</v>
      </c>
      <c r="K1789">
        <v>8605.7999999999993</v>
      </c>
      <c r="L1789">
        <v>77452.2</v>
      </c>
      <c r="M1789">
        <v>54350.74</v>
      </c>
      <c r="N1789">
        <v>23101.46</v>
      </c>
      <c r="O1789" t="s">
        <v>91</v>
      </c>
      <c r="P1789">
        <v>1265.82</v>
      </c>
      <c r="Q1789" t="s">
        <v>83</v>
      </c>
      <c r="R1789" t="s">
        <v>41</v>
      </c>
      <c r="S1789">
        <v>2</v>
      </c>
      <c r="T1789">
        <v>1</v>
      </c>
      <c r="U1789" t="s">
        <v>32</v>
      </c>
      <c r="V1789" t="s">
        <v>33</v>
      </c>
      <c r="W1789">
        <v>5</v>
      </c>
    </row>
    <row r="1790" spans="1:23" x14ac:dyDescent="0.25">
      <c r="A1790" t="s">
        <v>2440</v>
      </c>
      <c r="B1790" s="1">
        <v>45804</v>
      </c>
      <c r="C1790" t="s">
        <v>2441</v>
      </c>
      <c r="D1790" t="s">
        <v>45</v>
      </c>
      <c r="E1790" t="s">
        <v>26</v>
      </c>
      <c r="F1790" t="s">
        <v>27</v>
      </c>
      <c r="G1790" t="s">
        <v>76</v>
      </c>
      <c r="H1790">
        <v>2</v>
      </c>
      <c r="I1790">
        <v>9438</v>
      </c>
      <c r="J1790">
        <v>10</v>
      </c>
      <c r="K1790">
        <v>1887.6</v>
      </c>
      <c r="L1790">
        <v>16988.400000000001</v>
      </c>
      <c r="M1790">
        <v>10651.26</v>
      </c>
      <c r="N1790">
        <v>6337.14</v>
      </c>
      <c r="O1790" t="s">
        <v>39</v>
      </c>
      <c r="P1790">
        <v>957.4</v>
      </c>
      <c r="Q1790" t="s">
        <v>68</v>
      </c>
      <c r="R1790" t="s">
        <v>41</v>
      </c>
      <c r="S1790">
        <v>2</v>
      </c>
      <c r="T1790">
        <v>3</v>
      </c>
      <c r="U1790" t="s">
        <v>32</v>
      </c>
      <c r="V1790" t="s">
        <v>50</v>
      </c>
      <c r="W1790">
        <v>5</v>
      </c>
    </row>
    <row r="1791" spans="1:23" x14ac:dyDescent="0.25">
      <c r="A1791" t="s">
        <v>2442</v>
      </c>
      <c r="B1791" s="1">
        <v>45697</v>
      </c>
      <c r="C1791" t="s">
        <v>526</v>
      </c>
      <c r="D1791" t="s">
        <v>71</v>
      </c>
      <c r="E1791" t="s">
        <v>26</v>
      </c>
      <c r="F1791" t="s">
        <v>53</v>
      </c>
      <c r="G1791" t="s">
        <v>54</v>
      </c>
      <c r="H1791">
        <v>1</v>
      </c>
      <c r="I1791">
        <v>10016</v>
      </c>
      <c r="J1791">
        <v>20</v>
      </c>
      <c r="K1791">
        <v>2003.2</v>
      </c>
      <c r="L1791">
        <v>8012.8</v>
      </c>
      <c r="M1791">
        <v>4849.8900000000003</v>
      </c>
      <c r="N1791">
        <v>3162.91</v>
      </c>
      <c r="O1791" t="s">
        <v>91</v>
      </c>
      <c r="P1791">
        <v>1723.21</v>
      </c>
      <c r="Q1791" t="s">
        <v>73</v>
      </c>
      <c r="R1791" t="s">
        <v>41</v>
      </c>
      <c r="S1791">
        <v>2</v>
      </c>
      <c r="T1791">
        <v>4</v>
      </c>
      <c r="U1791" t="s">
        <v>56</v>
      </c>
      <c r="V1791" t="s">
        <v>33</v>
      </c>
      <c r="W1791">
        <v>5</v>
      </c>
    </row>
    <row r="1792" spans="1:23" x14ac:dyDescent="0.25">
      <c r="A1792" t="s">
        <v>2443</v>
      </c>
      <c r="B1792" s="1">
        <v>45988</v>
      </c>
      <c r="C1792" t="s">
        <v>221</v>
      </c>
      <c r="D1792" t="s">
        <v>124</v>
      </c>
      <c r="E1792" t="s">
        <v>26</v>
      </c>
      <c r="F1792" t="s">
        <v>86</v>
      </c>
      <c r="G1792" t="s">
        <v>110</v>
      </c>
      <c r="H1792">
        <v>2</v>
      </c>
      <c r="I1792">
        <v>78194</v>
      </c>
      <c r="J1792">
        <v>15</v>
      </c>
      <c r="K1792">
        <v>23458.2</v>
      </c>
      <c r="L1792">
        <v>132929.79999999999</v>
      </c>
      <c r="M1792">
        <v>83106.97</v>
      </c>
      <c r="N1792">
        <v>49822.83</v>
      </c>
      <c r="O1792" t="s">
        <v>39</v>
      </c>
      <c r="P1792">
        <v>1779.76</v>
      </c>
      <c r="Q1792" t="s">
        <v>83</v>
      </c>
      <c r="R1792" t="s">
        <v>41</v>
      </c>
      <c r="S1792">
        <v>2</v>
      </c>
      <c r="T1792">
        <v>5</v>
      </c>
      <c r="U1792" t="s">
        <v>32</v>
      </c>
      <c r="V1792" t="s">
        <v>50</v>
      </c>
      <c r="W1792">
        <v>1</v>
      </c>
    </row>
    <row r="1793" spans="1:23" x14ac:dyDescent="0.25">
      <c r="A1793" t="s">
        <v>2444</v>
      </c>
      <c r="B1793" s="1">
        <v>45704</v>
      </c>
      <c r="C1793" t="s">
        <v>1227</v>
      </c>
      <c r="D1793" t="s">
        <v>90</v>
      </c>
      <c r="E1793" t="s">
        <v>26</v>
      </c>
      <c r="F1793" t="s">
        <v>53</v>
      </c>
      <c r="G1793" t="s">
        <v>151</v>
      </c>
      <c r="H1793">
        <v>3</v>
      </c>
      <c r="I1793">
        <v>25442</v>
      </c>
      <c r="J1793">
        <v>20</v>
      </c>
      <c r="K1793">
        <v>15265.2</v>
      </c>
      <c r="L1793">
        <v>61060.800000000003</v>
      </c>
      <c r="M1793">
        <v>40261.03</v>
      </c>
      <c r="N1793">
        <v>20799.77</v>
      </c>
      <c r="O1793" t="s">
        <v>60</v>
      </c>
      <c r="P1793">
        <v>2169.8000000000002</v>
      </c>
      <c r="Q1793" t="s">
        <v>40</v>
      </c>
      <c r="R1793" t="s">
        <v>31</v>
      </c>
      <c r="S1793">
        <v>5</v>
      </c>
      <c r="T1793">
        <v>5</v>
      </c>
      <c r="U1793" t="s">
        <v>32</v>
      </c>
      <c r="V1793" t="s">
        <v>33</v>
      </c>
      <c r="W1793">
        <v>1</v>
      </c>
    </row>
    <row r="1794" spans="1:23" x14ac:dyDescent="0.25">
      <c r="A1794" t="s">
        <v>2445</v>
      </c>
      <c r="B1794" s="1">
        <v>45972</v>
      </c>
      <c r="C1794" t="s">
        <v>1234</v>
      </c>
      <c r="D1794" t="s">
        <v>79</v>
      </c>
      <c r="E1794" t="s">
        <v>36</v>
      </c>
      <c r="F1794" t="s">
        <v>86</v>
      </c>
      <c r="G1794" t="s">
        <v>110</v>
      </c>
      <c r="H1794">
        <v>1</v>
      </c>
      <c r="I1794">
        <v>38141</v>
      </c>
      <c r="J1794">
        <v>0</v>
      </c>
      <c r="K1794">
        <v>0</v>
      </c>
      <c r="L1794">
        <v>38141</v>
      </c>
      <c r="M1794">
        <v>29083.94</v>
      </c>
      <c r="N1794">
        <v>9057.06</v>
      </c>
      <c r="O1794" t="s">
        <v>49</v>
      </c>
      <c r="P1794">
        <v>145.97</v>
      </c>
      <c r="Q1794" t="s">
        <v>68</v>
      </c>
      <c r="R1794" t="s">
        <v>31</v>
      </c>
      <c r="S1794">
        <v>5</v>
      </c>
      <c r="T1794">
        <v>5</v>
      </c>
      <c r="U1794" t="s">
        <v>32</v>
      </c>
      <c r="V1794" t="s">
        <v>42</v>
      </c>
    </row>
    <row r="1795" spans="1:23" x14ac:dyDescent="0.25">
      <c r="A1795" t="s">
        <v>2446</v>
      </c>
      <c r="B1795" s="1">
        <v>45962</v>
      </c>
      <c r="C1795" t="s">
        <v>578</v>
      </c>
      <c r="D1795" t="s">
        <v>71</v>
      </c>
      <c r="E1795" t="s">
        <v>26</v>
      </c>
      <c r="F1795" t="s">
        <v>37</v>
      </c>
      <c r="G1795" t="s">
        <v>100</v>
      </c>
      <c r="H1795">
        <v>4</v>
      </c>
      <c r="I1795">
        <v>13078</v>
      </c>
      <c r="J1795">
        <v>15</v>
      </c>
      <c r="K1795">
        <v>7846.8</v>
      </c>
      <c r="L1795">
        <v>44465.2</v>
      </c>
      <c r="M1795">
        <v>35083.94</v>
      </c>
      <c r="N1795">
        <v>9381.26</v>
      </c>
      <c r="O1795" t="s">
        <v>49</v>
      </c>
      <c r="P1795">
        <v>255.36</v>
      </c>
      <c r="Q1795" t="s">
        <v>30</v>
      </c>
      <c r="R1795" t="s">
        <v>41</v>
      </c>
      <c r="S1795">
        <v>2</v>
      </c>
      <c r="T1795">
        <v>3</v>
      </c>
      <c r="U1795" t="s">
        <v>56</v>
      </c>
      <c r="V1795" t="s">
        <v>33</v>
      </c>
      <c r="W1795">
        <v>5</v>
      </c>
    </row>
    <row r="1796" spans="1:23" x14ac:dyDescent="0.25">
      <c r="A1796" t="s">
        <v>2447</v>
      </c>
      <c r="B1796" s="1">
        <v>45917</v>
      </c>
      <c r="C1796" t="s">
        <v>1618</v>
      </c>
      <c r="D1796" t="s">
        <v>97</v>
      </c>
      <c r="E1796" t="s">
        <v>46</v>
      </c>
      <c r="F1796" t="s">
        <v>53</v>
      </c>
      <c r="G1796" t="s">
        <v>151</v>
      </c>
      <c r="H1796">
        <v>2</v>
      </c>
      <c r="I1796">
        <v>17486</v>
      </c>
      <c r="J1796">
        <v>10</v>
      </c>
      <c r="K1796">
        <v>3497.2</v>
      </c>
      <c r="L1796">
        <v>31474.799999999999</v>
      </c>
      <c r="M1796">
        <v>17931.38</v>
      </c>
      <c r="N1796">
        <v>13543.42</v>
      </c>
      <c r="O1796" t="s">
        <v>29</v>
      </c>
      <c r="P1796">
        <v>1526.77</v>
      </c>
      <c r="Q1796" t="s">
        <v>83</v>
      </c>
      <c r="R1796" t="s">
        <v>31</v>
      </c>
      <c r="S1796">
        <v>5</v>
      </c>
      <c r="T1796">
        <v>3</v>
      </c>
      <c r="U1796" t="s">
        <v>32</v>
      </c>
      <c r="V1796" t="s">
        <v>50</v>
      </c>
      <c r="W1796">
        <v>5</v>
      </c>
    </row>
    <row r="1797" spans="1:23" x14ac:dyDescent="0.25">
      <c r="A1797" t="s">
        <v>2448</v>
      </c>
      <c r="B1797" s="1">
        <v>45854</v>
      </c>
      <c r="C1797" t="s">
        <v>2423</v>
      </c>
      <c r="D1797" t="s">
        <v>63</v>
      </c>
      <c r="E1797" t="s">
        <v>46</v>
      </c>
      <c r="F1797" t="s">
        <v>27</v>
      </c>
      <c r="G1797" t="s">
        <v>164</v>
      </c>
      <c r="H1797">
        <v>1</v>
      </c>
      <c r="I1797">
        <v>22588</v>
      </c>
      <c r="J1797">
        <v>5</v>
      </c>
      <c r="K1797">
        <v>1129.4000000000001</v>
      </c>
      <c r="L1797">
        <v>21458.6</v>
      </c>
      <c r="M1797">
        <v>12151.89</v>
      </c>
      <c r="N1797">
        <v>9306.7099999999991</v>
      </c>
      <c r="O1797" t="s">
        <v>60</v>
      </c>
      <c r="P1797">
        <v>2040.56</v>
      </c>
      <c r="Q1797" t="s">
        <v>68</v>
      </c>
      <c r="R1797" t="s">
        <v>41</v>
      </c>
      <c r="S1797">
        <v>2</v>
      </c>
      <c r="T1797">
        <v>2</v>
      </c>
      <c r="U1797" t="s">
        <v>32</v>
      </c>
      <c r="V1797" t="s">
        <v>42</v>
      </c>
    </row>
    <row r="1798" spans="1:23" x14ac:dyDescent="0.25">
      <c r="A1798" t="s">
        <v>2449</v>
      </c>
      <c r="B1798" s="1">
        <v>45894</v>
      </c>
      <c r="C1798" t="s">
        <v>691</v>
      </c>
      <c r="D1798" t="s">
        <v>97</v>
      </c>
      <c r="E1798" t="s">
        <v>36</v>
      </c>
      <c r="F1798" t="s">
        <v>86</v>
      </c>
      <c r="G1798" t="s">
        <v>127</v>
      </c>
      <c r="H1798">
        <v>2</v>
      </c>
      <c r="I1798">
        <v>37611</v>
      </c>
      <c r="J1798">
        <v>10</v>
      </c>
      <c r="K1798">
        <v>7522.2</v>
      </c>
      <c r="L1798">
        <v>67699.8</v>
      </c>
      <c r="M1798">
        <v>47463.199999999997</v>
      </c>
      <c r="N1798">
        <v>20236.599999999999</v>
      </c>
      <c r="O1798" t="s">
        <v>29</v>
      </c>
      <c r="P1798">
        <v>329.96</v>
      </c>
      <c r="Q1798" t="s">
        <v>40</v>
      </c>
      <c r="R1798" t="s">
        <v>41</v>
      </c>
      <c r="S1798">
        <v>2</v>
      </c>
      <c r="T1798">
        <v>3</v>
      </c>
      <c r="U1798" t="s">
        <v>32</v>
      </c>
      <c r="V1798" t="s">
        <v>50</v>
      </c>
      <c r="W1798">
        <v>1</v>
      </c>
    </row>
    <row r="1799" spans="1:23" x14ac:dyDescent="0.25">
      <c r="A1799" t="s">
        <v>2450</v>
      </c>
      <c r="B1799" s="1">
        <v>45955</v>
      </c>
      <c r="C1799" t="s">
        <v>1017</v>
      </c>
      <c r="D1799" t="s">
        <v>25</v>
      </c>
      <c r="E1799" t="s">
        <v>46</v>
      </c>
      <c r="F1799" t="s">
        <v>37</v>
      </c>
      <c r="G1799" t="s">
        <v>224</v>
      </c>
      <c r="H1799">
        <v>3</v>
      </c>
      <c r="I1799">
        <v>14710</v>
      </c>
      <c r="J1799">
        <v>0</v>
      </c>
      <c r="K1799">
        <v>0</v>
      </c>
      <c r="L1799">
        <v>44130</v>
      </c>
      <c r="M1799">
        <v>29111.16</v>
      </c>
      <c r="N1799">
        <v>15018.84</v>
      </c>
      <c r="O1799" t="s">
        <v>91</v>
      </c>
      <c r="P1799">
        <v>1140.93</v>
      </c>
      <c r="Q1799" t="s">
        <v>30</v>
      </c>
      <c r="R1799" t="s">
        <v>31</v>
      </c>
      <c r="S1799">
        <v>5</v>
      </c>
      <c r="T1799">
        <v>4</v>
      </c>
      <c r="U1799" t="s">
        <v>32</v>
      </c>
      <c r="V1799" t="s">
        <v>42</v>
      </c>
    </row>
    <row r="1800" spans="1:23" x14ac:dyDescent="0.25">
      <c r="A1800" t="s">
        <v>2451</v>
      </c>
      <c r="B1800" s="1">
        <v>45941</v>
      </c>
      <c r="C1800" t="s">
        <v>895</v>
      </c>
      <c r="D1800" t="s">
        <v>97</v>
      </c>
      <c r="E1800" t="s">
        <v>46</v>
      </c>
      <c r="F1800" t="s">
        <v>27</v>
      </c>
      <c r="G1800" t="s">
        <v>164</v>
      </c>
      <c r="H1800">
        <v>2</v>
      </c>
      <c r="I1800">
        <v>22213</v>
      </c>
      <c r="J1800">
        <v>20</v>
      </c>
      <c r="K1800">
        <v>8885.2000000000007</v>
      </c>
      <c r="L1800">
        <v>35540.800000000003</v>
      </c>
      <c r="M1800">
        <v>20153.689999999999</v>
      </c>
      <c r="N1800">
        <v>15387.11</v>
      </c>
      <c r="O1800" t="s">
        <v>60</v>
      </c>
      <c r="P1800">
        <v>2098.13</v>
      </c>
      <c r="Q1800" t="s">
        <v>40</v>
      </c>
      <c r="R1800" t="s">
        <v>41</v>
      </c>
      <c r="S1800">
        <v>2</v>
      </c>
      <c r="T1800">
        <v>4</v>
      </c>
      <c r="U1800" t="s">
        <v>56</v>
      </c>
      <c r="V1800" t="s">
        <v>33</v>
      </c>
      <c r="W1800">
        <v>5</v>
      </c>
    </row>
    <row r="1801" spans="1:23" x14ac:dyDescent="0.25">
      <c r="A1801" t="s">
        <v>2452</v>
      </c>
      <c r="B1801" s="1">
        <v>45679</v>
      </c>
      <c r="C1801" t="s">
        <v>1492</v>
      </c>
      <c r="D1801" t="s">
        <v>90</v>
      </c>
      <c r="E1801" t="s">
        <v>26</v>
      </c>
      <c r="F1801" t="s">
        <v>47</v>
      </c>
      <c r="G1801" t="s">
        <v>138</v>
      </c>
      <c r="H1801">
        <v>2</v>
      </c>
      <c r="I1801">
        <v>45910</v>
      </c>
      <c r="J1801">
        <v>5</v>
      </c>
      <c r="K1801">
        <v>4591</v>
      </c>
      <c r="L1801">
        <v>87229</v>
      </c>
      <c r="M1801">
        <v>59455.54</v>
      </c>
      <c r="N1801">
        <v>27773.46</v>
      </c>
      <c r="O1801" t="s">
        <v>91</v>
      </c>
      <c r="P1801">
        <v>1821.61</v>
      </c>
      <c r="Q1801" t="s">
        <v>30</v>
      </c>
      <c r="R1801" t="s">
        <v>41</v>
      </c>
      <c r="S1801">
        <v>2</v>
      </c>
      <c r="T1801">
        <v>2</v>
      </c>
      <c r="U1801" t="s">
        <v>32</v>
      </c>
      <c r="V1801" t="s">
        <v>33</v>
      </c>
      <c r="W1801">
        <v>5</v>
      </c>
    </row>
    <row r="1802" spans="1:23" x14ac:dyDescent="0.25">
      <c r="A1802" t="s">
        <v>192</v>
      </c>
      <c r="B1802" s="1">
        <v>45843</v>
      </c>
      <c r="C1802" t="s">
        <v>193</v>
      </c>
      <c r="D1802" t="s">
        <v>25</v>
      </c>
      <c r="E1802" t="s">
        <v>36</v>
      </c>
      <c r="F1802" t="s">
        <v>53</v>
      </c>
      <c r="G1802" t="s">
        <v>54</v>
      </c>
      <c r="H1802">
        <v>4</v>
      </c>
      <c r="I1802">
        <v>78226</v>
      </c>
      <c r="J1802">
        <v>10</v>
      </c>
      <c r="K1802">
        <v>31290.400000000001</v>
      </c>
      <c r="L1802">
        <v>281613.59999999998</v>
      </c>
      <c r="M1802">
        <v>158427.85</v>
      </c>
      <c r="N1802">
        <v>123185.75</v>
      </c>
      <c r="O1802" t="s">
        <v>29</v>
      </c>
      <c r="P1802">
        <v>1496.07</v>
      </c>
      <c r="Q1802" t="s">
        <v>83</v>
      </c>
      <c r="R1802" t="s">
        <v>41</v>
      </c>
      <c r="S1802">
        <v>2</v>
      </c>
      <c r="T1802">
        <v>2</v>
      </c>
      <c r="U1802" t="s">
        <v>32</v>
      </c>
      <c r="V1802" t="s">
        <v>33</v>
      </c>
      <c r="W1802">
        <v>5</v>
      </c>
    </row>
    <row r="1803" spans="1:23" x14ac:dyDescent="0.25">
      <c r="A1803" t="s">
        <v>1548</v>
      </c>
      <c r="B1803" s="1">
        <v>45888</v>
      </c>
      <c r="C1803" t="s">
        <v>1549</v>
      </c>
      <c r="D1803" t="s">
        <v>124</v>
      </c>
      <c r="E1803" t="s">
        <v>36</v>
      </c>
      <c r="F1803" t="s">
        <v>47</v>
      </c>
      <c r="G1803" t="s">
        <v>48</v>
      </c>
      <c r="H1803">
        <v>3</v>
      </c>
      <c r="I1803">
        <v>42418</v>
      </c>
      <c r="J1803">
        <v>0</v>
      </c>
      <c r="K1803">
        <v>0</v>
      </c>
      <c r="L1803">
        <v>127254</v>
      </c>
      <c r="M1803">
        <v>79190.91</v>
      </c>
      <c r="N1803">
        <v>48063.09</v>
      </c>
      <c r="O1803" t="s">
        <v>55</v>
      </c>
      <c r="P1803">
        <v>1233.92</v>
      </c>
      <c r="Q1803" t="s">
        <v>40</v>
      </c>
      <c r="R1803" t="s">
        <v>31</v>
      </c>
      <c r="S1803">
        <v>5</v>
      </c>
      <c r="T1803">
        <v>1</v>
      </c>
      <c r="U1803" t="s">
        <v>32</v>
      </c>
      <c r="V1803" t="s">
        <v>33</v>
      </c>
      <c r="W1803">
        <v>5</v>
      </c>
    </row>
    <row r="1804" spans="1:23" x14ac:dyDescent="0.25">
      <c r="A1804" t="s">
        <v>2196</v>
      </c>
      <c r="B1804" s="1">
        <v>45692</v>
      </c>
      <c r="C1804" t="s">
        <v>620</v>
      </c>
      <c r="D1804" t="s">
        <v>124</v>
      </c>
      <c r="E1804" t="s">
        <v>36</v>
      </c>
      <c r="F1804" t="s">
        <v>86</v>
      </c>
      <c r="G1804" t="s">
        <v>94</v>
      </c>
      <c r="H1804">
        <v>2</v>
      </c>
      <c r="I1804">
        <v>81345</v>
      </c>
      <c r="J1804">
        <v>0</v>
      </c>
      <c r="K1804">
        <v>0</v>
      </c>
      <c r="L1804">
        <v>162690</v>
      </c>
      <c r="M1804">
        <v>92965.03</v>
      </c>
      <c r="N1804">
        <v>69724.97</v>
      </c>
      <c r="O1804" t="s">
        <v>60</v>
      </c>
      <c r="P1804">
        <v>2356.5500000000002</v>
      </c>
      <c r="Q1804" t="s">
        <v>73</v>
      </c>
      <c r="R1804" t="s">
        <v>31</v>
      </c>
      <c r="S1804">
        <v>5</v>
      </c>
      <c r="T1804">
        <v>3</v>
      </c>
      <c r="U1804" t="s">
        <v>32</v>
      </c>
      <c r="V1804" t="s">
        <v>33</v>
      </c>
      <c r="W1804">
        <v>1</v>
      </c>
    </row>
    <row r="1805" spans="1:23" x14ac:dyDescent="0.25">
      <c r="A1805" t="s">
        <v>1110</v>
      </c>
      <c r="B1805" s="1">
        <v>45901</v>
      </c>
      <c r="C1805" t="s">
        <v>770</v>
      </c>
      <c r="D1805" t="s">
        <v>154</v>
      </c>
      <c r="E1805" t="s">
        <v>26</v>
      </c>
      <c r="F1805" t="s">
        <v>27</v>
      </c>
      <c r="G1805" t="s">
        <v>113</v>
      </c>
      <c r="H1805">
        <v>2</v>
      </c>
      <c r="I1805">
        <v>28565</v>
      </c>
      <c r="J1805">
        <v>10</v>
      </c>
      <c r="K1805">
        <v>5713</v>
      </c>
      <c r="L1805">
        <v>51417</v>
      </c>
      <c r="M1805">
        <v>36004.17</v>
      </c>
      <c r="N1805">
        <v>15412.83</v>
      </c>
      <c r="O1805" t="s">
        <v>29</v>
      </c>
      <c r="P1805">
        <v>2318.71</v>
      </c>
      <c r="Q1805" t="s">
        <v>68</v>
      </c>
      <c r="R1805" t="s">
        <v>31</v>
      </c>
      <c r="S1805">
        <v>5</v>
      </c>
      <c r="T1805">
        <v>1</v>
      </c>
      <c r="U1805" t="s">
        <v>32</v>
      </c>
      <c r="V1805" t="s">
        <v>33</v>
      </c>
      <c r="W1805">
        <v>4</v>
      </c>
    </row>
    <row r="1806" spans="1:23" x14ac:dyDescent="0.25">
      <c r="A1806" t="s">
        <v>733</v>
      </c>
      <c r="B1806" s="1">
        <v>45767</v>
      </c>
      <c r="C1806" t="s">
        <v>341</v>
      </c>
      <c r="D1806" t="s">
        <v>67</v>
      </c>
      <c r="E1806" t="s">
        <v>26</v>
      </c>
      <c r="F1806" t="s">
        <v>47</v>
      </c>
      <c r="G1806" t="s">
        <v>146</v>
      </c>
      <c r="H1806">
        <v>1</v>
      </c>
      <c r="I1806">
        <v>28313</v>
      </c>
      <c r="J1806">
        <v>15</v>
      </c>
      <c r="K1806">
        <v>4246.95</v>
      </c>
      <c r="L1806">
        <v>24066.05</v>
      </c>
      <c r="M1806">
        <v>14749.17</v>
      </c>
      <c r="N1806">
        <v>9316.8799999999992</v>
      </c>
      <c r="O1806" t="s">
        <v>60</v>
      </c>
      <c r="P1806">
        <v>305.39</v>
      </c>
      <c r="Q1806" t="s">
        <v>30</v>
      </c>
      <c r="R1806" t="s">
        <v>41</v>
      </c>
      <c r="S1806">
        <v>2</v>
      </c>
      <c r="T1806">
        <v>4</v>
      </c>
      <c r="U1806" t="s">
        <v>56</v>
      </c>
      <c r="V1806" t="s">
        <v>33</v>
      </c>
      <c r="W1806">
        <v>5</v>
      </c>
    </row>
    <row r="1807" spans="1:23" x14ac:dyDescent="0.25">
      <c r="A1807" t="s">
        <v>2321</v>
      </c>
      <c r="B1807" s="1">
        <v>45812</v>
      </c>
      <c r="C1807" t="s">
        <v>882</v>
      </c>
      <c r="D1807" t="s">
        <v>97</v>
      </c>
      <c r="E1807" t="s">
        <v>26</v>
      </c>
      <c r="F1807" t="s">
        <v>27</v>
      </c>
      <c r="G1807" t="s">
        <v>28</v>
      </c>
      <c r="H1807">
        <v>1</v>
      </c>
      <c r="I1807">
        <v>12140</v>
      </c>
      <c r="J1807">
        <v>25</v>
      </c>
      <c r="K1807">
        <v>3035</v>
      </c>
      <c r="L1807">
        <v>9105</v>
      </c>
      <c r="M1807">
        <v>5314.72</v>
      </c>
      <c r="N1807">
        <v>3790.28</v>
      </c>
      <c r="O1807" t="s">
        <v>60</v>
      </c>
      <c r="P1807">
        <v>1644.7</v>
      </c>
      <c r="Q1807" t="s">
        <v>30</v>
      </c>
      <c r="R1807" t="s">
        <v>41</v>
      </c>
      <c r="S1807">
        <v>2</v>
      </c>
      <c r="T1807">
        <v>5</v>
      </c>
      <c r="U1807" t="s">
        <v>32</v>
      </c>
      <c r="V1807" t="s">
        <v>50</v>
      </c>
    </row>
    <row r="1808" spans="1:23" x14ac:dyDescent="0.25">
      <c r="A1808" t="s">
        <v>1878</v>
      </c>
      <c r="B1808" s="1">
        <v>45738</v>
      </c>
      <c r="C1808" t="s">
        <v>107</v>
      </c>
      <c r="D1808" t="s">
        <v>79</v>
      </c>
      <c r="E1808" t="s">
        <v>46</v>
      </c>
      <c r="F1808" t="s">
        <v>37</v>
      </c>
      <c r="G1808" t="s">
        <v>38</v>
      </c>
      <c r="H1808">
        <v>1</v>
      </c>
      <c r="I1808">
        <v>27200</v>
      </c>
      <c r="J1808">
        <v>25</v>
      </c>
      <c r="K1808">
        <v>6800</v>
      </c>
      <c r="L1808">
        <v>20400</v>
      </c>
      <c r="M1808">
        <v>11228.02</v>
      </c>
      <c r="N1808">
        <v>9171.98</v>
      </c>
      <c r="O1808" t="s">
        <v>39</v>
      </c>
      <c r="P1808">
        <v>1894.19</v>
      </c>
      <c r="Q1808" t="s">
        <v>83</v>
      </c>
      <c r="R1808" t="s">
        <v>31</v>
      </c>
      <c r="S1808">
        <v>5</v>
      </c>
      <c r="T1808">
        <v>3</v>
      </c>
      <c r="U1808" t="s">
        <v>32</v>
      </c>
      <c r="V1808" t="s">
        <v>33</v>
      </c>
      <c r="W1808">
        <v>5</v>
      </c>
    </row>
    <row r="1809" spans="1:23" x14ac:dyDescent="0.25">
      <c r="A1809" t="s">
        <v>790</v>
      </c>
      <c r="B1809" s="1">
        <v>45916</v>
      </c>
      <c r="C1809" t="s">
        <v>158</v>
      </c>
      <c r="D1809" t="s">
        <v>67</v>
      </c>
      <c r="E1809" t="s">
        <v>46</v>
      </c>
      <c r="F1809" t="s">
        <v>37</v>
      </c>
      <c r="G1809" t="s">
        <v>161</v>
      </c>
      <c r="H1809">
        <v>4</v>
      </c>
      <c r="I1809">
        <v>20176</v>
      </c>
      <c r="J1809">
        <v>25</v>
      </c>
      <c r="K1809">
        <v>20176</v>
      </c>
      <c r="L1809">
        <v>60528</v>
      </c>
      <c r="M1809">
        <v>38665.33</v>
      </c>
      <c r="N1809">
        <v>21862.67</v>
      </c>
      <c r="O1809" t="s">
        <v>39</v>
      </c>
      <c r="P1809">
        <v>1264.2</v>
      </c>
      <c r="Q1809" t="s">
        <v>83</v>
      </c>
      <c r="R1809" t="s">
        <v>41</v>
      </c>
      <c r="S1809">
        <v>2</v>
      </c>
      <c r="T1809">
        <v>3</v>
      </c>
      <c r="U1809" t="s">
        <v>32</v>
      </c>
      <c r="V1809" t="s">
        <v>42</v>
      </c>
    </row>
    <row r="1810" spans="1:23" x14ac:dyDescent="0.25">
      <c r="A1810" t="s">
        <v>1431</v>
      </c>
      <c r="B1810" s="1">
        <v>45719</v>
      </c>
      <c r="C1810" t="s">
        <v>538</v>
      </c>
      <c r="D1810" t="s">
        <v>90</v>
      </c>
      <c r="E1810" t="s">
        <v>26</v>
      </c>
      <c r="F1810" t="s">
        <v>47</v>
      </c>
      <c r="G1810" t="s">
        <v>105</v>
      </c>
      <c r="H1810">
        <v>1</v>
      </c>
      <c r="I1810">
        <v>32603</v>
      </c>
      <c r="J1810">
        <v>0</v>
      </c>
      <c r="K1810">
        <v>0</v>
      </c>
      <c r="L1810">
        <v>32603</v>
      </c>
      <c r="M1810">
        <v>25270.639999999999</v>
      </c>
      <c r="N1810">
        <v>7332.36</v>
      </c>
      <c r="O1810" t="s">
        <v>55</v>
      </c>
      <c r="P1810">
        <v>386.79</v>
      </c>
      <c r="Q1810" t="s">
        <v>68</v>
      </c>
      <c r="R1810" t="s">
        <v>31</v>
      </c>
      <c r="S1810">
        <v>5</v>
      </c>
      <c r="T1810">
        <v>4</v>
      </c>
      <c r="U1810" t="s">
        <v>32</v>
      </c>
      <c r="V1810" t="s">
        <v>33</v>
      </c>
      <c r="W1810">
        <v>1</v>
      </c>
    </row>
    <row r="1811" spans="1:23" x14ac:dyDescent="0.25">
      <c r="A1811" t="s">
        <v>2282</v>
      </c>
      <c r="B1811" s="1">
        <v>45737</v>
      </c>
      <c r="C1811" t="s">
        <v>1363</v>
      </c>
      <c r="D1811" t="s">
        <v>79</v>
      </c>
      <c r="E1811" t="s">
        <v>26</v>
      </c>
      <c r="F1811" t="s">
        <v>37</v>
      </c>
      <c r="G1811" t="s">
        <v>38</v>
      </c>
      <c r="H1811">
        <v>1</v>
      </c>
      <c r="I1811">
        <v>19930</v>
      </c>
      <c r="J1811">
        <v>25</v>
      </c>
      <c r="K1811">
        <v>4982.5</v>
      </c>
      <c r="L1811">
        <v>14947.5</v>
      </c>
      <c r="M1811">
        <v>10331.870000000001</v>
      </c>
      <c r="N1811">
        <v>4615.63</v>
      </c>
      <c r="O1811" t="s">
        <v>29</v>
      </c>
      <c r="P1811">
        <v>1432.01</v>
      </c>
      <c r="Q1811" t="s">
        <v>73</v>
      </c>
      <c r="R1811" t="s">
        <v>41</v>
      </c>
      <c r="S1811">
        <v>2</v>
      </c>
      <c r="T1811">
        <v>2</v>
      </c>
      <c r="U1811" t="s">
        <v>32</v>
      </c>
      <c r="V1811" t="s">
        <v>33</v>
      </c>
      <c r="W1811">
        <v>5</v>
      </c>
    </row>
    <row r="1812" spans="1:23" x14ac:dyDescent="0.25">
      <c r="A1812" t="s">
        <v>2409</v>
      </c>
      <c r="B1812" s="1">
        <v>45887</v>
      </c>
      <c r="C1812" t="s">
        <v>1230</v>
      </c>
      <c r="D1812" t="s">
        <v>25</v>
      </c>
      <c r="E1812" t="s">
        <v>46</v>
      </c>
      <c r="F1812" t="s">
        <v>86</v>
      </c>
      <c r="G1812" t="s">
        <v>94</v>
      </c>
      <c r="H1812">
        <v>2</v>
      </c>
      <c r="I1812">
        <v>50905</v>
      </c>
      <c r="J1812">
        <v>15</v>
      </c>
      <c r="K1812">
        <v>15271.5</v>
      </c>
      <c r="L1812">
        <v>86538.5</v>
      </c>
      <c r="M1812">
        <v>50727.23</v>
      </c>
      <c r="N1812">
        <v>35811.269999999997</v>
      </c>
      <c r="O1812" t="s">
        <v>29</v>
      </c>
      <c r="P1812">
        <v>890.83</v>
      </c>
      <c r="Q1812" t="s">
        <v>73</v>
      </c>
      <c r="R1812" t="s">
        <v>31</v>
      </c>
      <c r="S1812">
        <v>5</v>
      </c>
      <c r="T1812">
        <v>3</v>
      </c>
      <c r="U1812" t="s">
        <v>32</v>
      </c>
      <c r="V1812" t="s">
        <v>50</v>
      </c>
      <c r="W1812">
        <v>1</v>
      </c>
    </row>
    <row r="1813" spans="1:23" x14ac:dyDescent="0.25">
      <c r="A1813" t="s">
        <v>2369</v>
      </c>
      <c r="B1813" s="1">
        <v>45782</v>
      </c>
      <c r="C1813" t="s">
        <v>514</v>
      </c>
      <c r="D1813" t="s">
        <v>90</v>
      </c>
      <c r="E1813" t="s">
        <v>26</v>
      </c>
      <c r="F1813" t="s">
        <v>86</v>
      </c>
      <c r="G1813" t="s">
        <v>180</v>
      </c>
      <c r="H1813">
        <v>1</v>
      </c>
      <c r="I1813">
        <v>67355</v>
      </c>
      <c r="J1813">
        <v>15</v>
      </c>
      <c r="K1813">
        <v>10103.25</v>
      </c>
      <c r="L1813">
        <v>57251.75</v>
      </c>
      <c r="M1813">
        <v>32824.199999999997</v>
      </c>
      <c r="N1813">
        <v>24427.55</v>
      </c>
      <c r="O1813" t="s">
        <v>49</v>
      </c>
      <c r="P1813">
        <v>295.58999999999997</v>
      </c>
      <c r="Q1813" t="s">
        <v>68</v>
      </c>
      <c r="R1813" t="s">
        <v>41</v>
      </c>
      <c r="S1813">
        <v>2</v>
      </c>
      <c r="T1813">
        <v>1</v>
      </c>
      <c r="U1813" t="s">
        <v>32</v>
      </c>
      <c r="V1813" t="s">
        <v>42</v>
      </c>
    </row>
    <row r="1814" spans="1:23" x14ac:dyDescent="0.25">
      <c r="A1814" t="s">
        <v>2466</v>
      </c>
      <c r="L1814">
        <f>SUBTOTAL(109,DataSet[Revenue])</f>
        <v>95894557.000000134</v>
      </c>
      <c r="N1814">
        <f>SUBTOTAL(109,DataSet[Gross_Profit])</f>
        <v>30563209.479999978</v>
      </c>
      <c r="W1814">
        <f>SUBTOTAL(109,DataSet[Customer_Rating])</f>
        <v>5435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EB307-1FF3-46AE-AA24-49954BB50FBA}">
  <dimension ref="A1:W1801"/>
  <sheetViews>
    <sheetView workbookViewId="0">
      <selection activeCell="S15" sqref="S15"/>
    </sheetView>
  </sheetViews>
  <sheetFormatPr defaultRowHeight="15" x14ac:dyDescent="0.25"/>
  <cols>
    <col min="1" max="1" width="17.140625" customWidth="1"/>
    <col min="2" max="2" width="19.42578125" customWidth="1"/>
    <col min="3" max="3" width="19.85546875" customWidth="1"/>
    <col min="4" max="4" width="14.28515625" customWidth="1"/>
    <col min="5" max="5" width="17.28515625" customWidth="1"/>
    <col min="6" max="6" width="15.7109375" customWidth="1"/>
    <col min="7" max="8" width="16.85546875" customWidth="1"/>
    <col min="9" max="9" width="16.7109375" style="21" customWidth="1"/>
    <col min="10" max="10" width="13" customWidth="1"/>
    <col min="11" max="11" width="20.42578125" style="21" customWidth="1"/>
    <col min="12" max="12" width="13.28515625" style="21" customWidth="1"/>
    <col min="13" max="13" width="14.7109375" style="21" customWidth="1"/>
    <col min="14" max="14" width="18.28515625" style="21" customWidth="1"/>
    <col min="15" max="15" width="25.28515625" customWidth="1"/>
    <col min="16" max="16" width="15.7109375" style="21" customWidth="1"/>
    <col min="17" max="17" width="23.42578125" customWidth="1"/>
    <col min="18" max="18" width="22.85546875" customWidth="1"/>
    <col min="19" max="19" width="16.5703125" customWidth="1"/>
    <col min="20" max="20" width="19.28515625" customWidth="1"/>
    <col min="21" max="21" width="16.7109375" customWidth="1"/>
    <col min="22" max="22" width="15.42578125" customWidth="1"/>
  </cols>
  <sheetData>
    <row r="1" spans="1:23" x14ac:dyDescent="0.25">
      <c r="A1" t="s">
        <v>0</v>
      </c>
      <c r="B1" t="s">
        <v>1</v>
      </c>
      <c r="C1" t="s">
        <v>2</v>
      </c>
      <c r="D1" t="s">
        <v>3</v>
      </c>
      <c r="E1" t="s">
        <v>4</v>
      </c>
      <c r="F1" t="s">
        <v>5</v>
      </c>
      <c r="G1" t="s">
        <v>6</v>
      </c>
      <c r="H1" t="s">
        <v>7</v>
      </c>
      <c r="I1" s="21" t="s">
        <v>8</v>
      </c>
      <c r="J1" t="s">
        <v>9</v>
      </c>
      <c r="K1" s="21" t="s">
        <v>10</v>
      </c>
      <c r="L1" s="21" t="s">
        <v>11</v>
      </c>
      <c r="M1" s="21" t="s">
        <v>12</v>
      </c>
      <c r="N1" s="21" t="s">
        <v>13</v>
      </c>
      <c r="O1" t="s">
        <v>14</v>
      </c>
      <c r="P1" s="21" t="s">
        <v>15</v>
      </c>
      <c r="Q1" t="s">
        <v>16</v>
      </c>
      <c r="R1" t="s">
        <v>17</v>
      </c>
      <c r="S1" t="s">
        <v>18</v>
      </c>
      <c r="T1" t="s">
        <v>19</v>
      </c>
      <c r="U1" t="s">
        <v>20</v>
      </c>
      <c r="V1" t="s">
        <v>21</v>
      </c>
      <c r="W1" t="s">
        <v>22</v>
      </c>
    </row>
    <row r="2" spans="1:23" x14ac:dyDescent="0.25">
      <c r="A2" t="s">
        <v>23</v>
      </c>
      <c r="B2" s="1">
        <v>45985</v>
      </c>
      <c r="C2" t="s">
        <v>24</v>
      </c>
      <c r="D2" t="s">
        <v>25</v>
      </c>
      <c r="E2" t="s">
        <v>26</v>
      </c>
      <c r="F2" t="s">
        <v>27</v>
      </c>
      <c r="G2" t="s">
        <v>28</v>
      </c>
      <c r="H2">
        <v>1</v>
      </c>
      <c r="I2" s="21">
        <v>14753</v>
      </c>
      <c r="J2">
        <v>25</v>
      </c>
      <c r="K2" s="21">
        <v>3688.25</v>
      </c>
      <c r="L2" s="21">
        <v>11064.75</v>
      </c>
      <c r="M2" s="21">
        <v>8015.91</v>
      </c>
      <c r="N2" s="21">
        <v>3048.84</v>
      </c>
      <c r="O2" t="s">
        <v>29</v>
      </c>
      <c r="P2" s="21">
        <v>1206.8399999999999</v>
      </c>
      <c r="Q2" t="s">
        <v>30</v>
      </c>
      <c r="R2" t="s">
        <v>31</v>
      </c>
      <c r="S2">
        <v>5</v>
      </c>
      <c r="T2">
        <v>5</v>
      </c>
      <c r="U2" t="s">
        <v>32</v>
      </c>
      <c r="V2" t="s">
        <v>33</v>
      </c>
      <c r="W2">
        <v>5</v>
      </c>
    </row>
    <row r="3" spans="1:23" x14ac:dyDescent="0.25">
      <c r="A3" t="s">
        <v>34</v>
      </c>
      <c r="B3" s="1">
        <v>45715</v>
      </c>
      <c r="C3" t="s">
        <v>35</v>
      </c>
      <c r="D3" t="s">
        <v>25</v>
      </c>
      <c r="E3" t="s">
        <v>36</v>
      </c>
      <c r="F3" t="s">
        <v>37</v>
      </c>
      <c r="G3" t="s">
        <v>38</v>
      </c>
      <c r="H3">
        <v>1</v>
      </c>
      <c r="I3" s="21">
        <v>25931</v>
      </c>
      <c r="J3">
        <v>0</v>
      </c>
      <c r="K3" s="21">
        <v>0</v>
      </c>
      <c r="L3" s="21">
        <v>25931</v>
      </c>
      <c r="M3" s="21">
        <v>16570.34</v>
      </c>
      <c r="N3" s="21">
        <v>9360.66</v>
      </c>
      <c r="O3" t="s">
        <v>39</v>
      </c>
      <c r="P3" s="21">
        <v>779.59</v>
      </c>
      <c r="Q3" t="s">
        <v>40</v>
      </c>
      <c r="R3" t="s">
        <v>41</v>
      </c>
      <c r="S3">
        <v>2</v>
      </c>
      <c r="T3">
        <v>2</v>
      </c>
      <c r="U3" t="s">
        <v>32</v>
      </c>
      <c r="V3" t="s">
        <v>42</v>
      </c>
    </row>
    <row r="4" spans="1:23" x14ac:dyDescent="0.25">
      <c r="A4" t="s">
        <v>43</v>
      </c>
      <c r="B4" s="1">
        <v>45670</v>
      </c>
      <c r="C4" t="s">
        <v>44</v>
      </c>
      <c r="D4" t="s">
        <v>45</v>
      </c>
      <c r="E4" t="s">
        <v>46</v>
      </c>
      <c r="F4" t="s">
        <v>47</v>
      </c>
      <c r="G4" t="s">
        <v>48</v>
      </c>
      <c r="H4">
        <v>1</v>
      </c>
      <c r="I4" s="21">
        <v>52775</v>
      </c>
      <c r="J4">
        <v>10</v>
      </c>
      <c r="K4" s="21">
        <v>5277.5</v>
      </c>
      <c r="L4" s="21">
        <v>47497.5</v>
      </c>
      <c r="M4" s="21">
        <v>33291.42</v>
      </c>
      <c r="N4" s="21">
        <v>14206.08</v>
      </c>
      <c r="O4" t="s">
        <v>49</v>
      </c>
      <c r="P4" s="21">
        <v>351.55</v>
      </c>
      <c r="Q4" t="s">
        <v>40</v>
      </c>
      <c r="R4" t="s">
        <v>41</v>
      </c>
      <c r="S4">
        <v>2</v>
      </c>
      <c r="T4">
        <v>6</v>
      </c>
      <c r="U4" t="s">
        <v>32</v>
      </c>
      <c r="V4" t="s">
        <v>50</v>
      </c>
      <c r="W4">
        <v>2</v>
      </c>
    </row>
    <row r="5" spans="1:23" x14ac:dyDescent="0.25">
      <c r="A5" t="s">
        <v>51</v>
      </c>
      <c r="B5" s="1">
        <v>45798</v>
      </c>
      <c r="C5" t="s">
        <v>52</v>
      </c>
      <c r="D5" t="s">
        <v>25</v>
      </c>
      <c r="E5" t="s">
        <v>46</v>
      </c>
      <c r="F5" t="s">
        <v>53</v>
      </c>
      <c r="G5" t="s">
        <v>54</v>
      </c>
      <c r="H5">
        <v>1</v>
      </c>
      <c r="I5" s="21">
        <v>37074</v>
      </c>
      <c r="J5">
        <v>0</v>
      </c>
      <c r="K5" s="21">
        <v>0</v>
      </c>
      <c r="L5" s="21">
        <v>37074</v>
      </c>
      <c r="M5" s="21">
        <v>21941.7</v>
      </c>
      <c r="N5" s="21">
        <v>15132.3</v>
      </c>
      <c r="O5" t="s">
        <v>55</v>
      </c>
      <c r="P5" s="21">
        <v>1973.01</v>
      </c>
      <c r="Q5" t="s">
        <v>40</v>
      </c>
      <c r="R5" t="s">
        <v>31</v>
      </c>
      <c r="S5">
        <v>5</v>
      </c>
      <c r="T5">
        <v>8</v>
      </c>
      <c r="U5" t="s">
        <v>56</v>
      </c>
      <c r="V5" t="s">
        <v>33</v>
      </c>
      <c r="W5">
        <v>5</v>
      </c>
    </row>
    <row r="6" spans="1:23" x14ac:dyDescent="0.25">
      <c r="A6" t="s">
        <v>57</v>
      </c>
      <c r="B6" s="1">
        <v>45783</v>
      </c>
      <c r="C6" t="s">
        <v>58</v>
      </c>
      <c r="D6" t="s">
        <v>45</v>
      </c>
      <c r="E6" t="s">
        <v>46</v>
      </c>
      <c r="F6" t="s">
        <v>53</v>
      </c>
      <c r="G6" t="s">
        <v>59</v>
      </c>
      <c r="H6">
        <v>1</v>
      </c>
      <c r="I6" s="21">
        <v>99812</v>
      </c>
      <c r="J6">
        <v>0</v>
      </c>
      <c r="K6" s="21">
        <v>0</v>
      </c>
      <c r="L6" s="21">
        <v>99812</v>
      </c>
      <c r="M6" s="21">
        <v>65968.929999999993</v>
      </c>
      <c r="N6" s="21">
        <v>33843.07</v>
      </c>
      <c r="O6" t="s">
        <v>60</v>
      </c>
      <c r="P6" s="21">
        <v>855.33</v>
      </c>
      <c r="Q6" t="s">
        <v>30</v>
      </c>
      <c r="R6" t="s">
        <v>31</v>
      </c>
      <c r="S6">
        <v>5</v>
      </c>
      <c r="T6">
        <v>3</v>
      </c>
      <c r="U6" t="s">
        <v>32</v>
      </c>
      <c r="V6" t="s">
        <v>50</v>
      </c>
      <c r="W6">
        <v>5</v>
      </c>
    </row>
    <row r="7" spans="1:23" x14ac:dyDescent="0.25">
      <c r="A7" t="s">
        <v>61</v>
      </c>
      <c r="B7" s="1">
        <v>45772</v>
      </c>
      <c r="C7" t="s">
        <v>62</v>
      </c>
      <c r="D7" t="s">
        <v>63</v>
      </c>
      <c r="E7" t="s">
        <v>36</v>
      </c>
      <c r="F7" t="s">
        <v>47</v>
      </c>
      <c r="G7" t="s">
        <v>64</v>
      </c>
      <c r="H7">
        <v>1</v>
      </c>
      <c r="I7" s="21">
        <v>44383</v>
      </c>
      <c r="J7">
        <v>15</v>
      </c>
      <c r="K7" s="21">
        <v>6657.45</v>
      </c>
      <c r="L7" s="21">
        <v>37725.550000000003</v>
      </c>
      <c r="M7" s="21">
        <v>25871.61</v>
      </c>
      <c r="N7" s="21">
        <v>11853.94</v>
      </c>
      <c r="O7" t="s">
        <v>60</v>
      </c>
      <c r="P7" s="21">
        <v>659.3</v>
      </c>
      <c r="Q7" t="s">
        <v>40</v>
      </c>
      <c r="R7" t="s">
        <v>31</v>
      </c>
      <c r="S7">
        <v>5</v>
      </c>
      <c r="T7">
        <v>4</v>
      </c>
      <c r="U7" t="s">
        <v>32</v>
      </c>
      <c r="V7" t="s">
        <v>33</v>
      </c>
      <c r="W7">
        <v>5</v>
      </c>
    </row>
    <row r="8" spans="1:23" x14ac:dyDescent="0.25">
      <c r="A8" t="s">
        <v>65</v>
      </c>
      <c r="B8" s="1">
        <v>45729</v>
      </c>
      <c r="C8" t="s">
        <v>66</v>
      </c>
      <c r="D8" t="s">
        <v>67</v>
      </c>
      <c r="E8" t="s">
        <v>26</v>
      </c>
      <c r="F8" t="s">
        <v>47</v>
      </c>
      <c r="G8" t="s">
        <v>48</v>
      </c>
      <c r="H8">
        <v>1</v>
      </c>
      <c r="I8" s="21">
        <v>40810</v>
      </c>
      <c r="J8">
        <v>0</v>
      </c>
      <c r="K8" s="21">
        <v>0</v>
      </c>
      <c r="L8" s="21">
        <v>40810</v>
      </c>
      <c r="M8" s="21">
        <v>25451.31</v>
      </c>
      <c r="N8" s="21">
        <v>15358.69</v>
      </c>
      <c r="O8" t="s">
        <v>39</v>
      </c>
      <c r="P8" s="21">
        <v>1206.19</v>
      </c>
      <c r="Q8" t="s">
        <v>68</v>
      </c>
      <c r="R8" t="s">
        <v>31</v>
      </c>
      <c r="S8">
        <v>5</v>
      </c>
      <c r="T8">
        <v>6</v>
      </c>
      <c r="U8" t="s">
        <v>32</v>
      </c>
      <c r="V8" t="s">
        <v>42</v>
      </c>
    </row>
    <row r="9" spans="1:23" x14ac:dyDescent="0.25">
      <c r="A9" t="s">
        <v>69</v>
      </c>
      <c r="B9" s="1">
        <v>45710</v>
      </c>
      <c r="C9" t="s">
        <v>70</v>
      </c>
      <c r="D9" t="s">
        <v>71</v>
      </c>
      <c r="E9" t="s">
        <v>46</v>
      </c>
      <c r="F9" t="s">
        <v>27</v>
      </c>
      <c r="G9" t="s">
        <v>72</v>
      </c>
      <c r="H9">
        <v>1</v>
      </c>
      <c r="I9" s="21">
        <v>10857</v>
      </c>
      <c r="J9">
        <v>10</v>
      </c>
      <c r="K9" s="21">
        <v>1085.7</v>
      </c>
      <c r="L9" s="21">
        <v>9771.2999999999993</v>
      </c>
      <c r="M9" s="21">
        <v>7829.97</v>
      </c>
      <c r="N9" s="21">
        <v>1941.33</v>
      </c>
      <c r="O9" t="s">
        <v>55</v>
      </c>
      <c r="P9" s="21">
        <v>516.48</v>
      </c>
      <c r="Q9" t="s">
        <v>73</v>
      </c>
      <c r="R9" t="s">
        <v>41</v>
      </c>
      <c r="S9">
        <v>2</v>
      </c>
      <c r="T9">
        <v>6</v>
      </c>
      <c r="U9" t="s">
        <v>32</v>
      </c>
      <c r="V9" t="s">
        <v>50</v>
      </c>
      <c r="W9">
        <v>2</v>
      </c>
    </row>
    <row r="10" spans="1:23" x14ac:dyDescent="0.25">
      <c r="A10" t="s">
        <v>74</v>
      </c>
      <c r="B10" s="1">
        <v>46004</v>
      </c>
      <c r="C10" t="s">
        <v>75</v>
      </c>
      <c r="D10" t="s">
        <v>67</v>
      </c>
      <c r="E10" t="s">
        <v>46</v>
      </c>
      <c r="F10" t="s">
        <v>27</v>
      </c>
      <c r="G10" t="s">
        <v>76</v>
      </c>
      <c r="H10">
        <v>1</v>
      </c>
      <c r="I10" s="21">
        <v>21483</v>
      </c>
      <c r="J10">
        <v>15</v>
      </c>
      <c r="K10" s="21">
        <v>3222.45</v>
      </c>
      <c r="L10" s="21">
        <v>18260.55</v>
      </c>
      <c r="M10" s="21">
        <v>10591.49</v>
      </c>
      <c r="N10" s="21">
        <v>7669.06</v>
      </c>
      <c r="O10" t="s">
        <v>29</v>
      </c>
      <c r="P10" s="21">
        <v>480.25</v>
      </c>
      <c r="Q10" t="s">
        <v>68</v>
      </c>
      <c r="R10" t="s">
        <v>31</v>
      </c>
      <c r="S10">
        <v>5</v>
      </c>
      <c r="T10">
        <v>4</v>
      </c>
      <c r="U10" t="s">
        <v>32</v>
      </c>
      <c r="V10" t="s">
        <v>33</v>
      </c>
      <c r="W10">
        <v>3</v>
      </c>
    </row>
    <row r="11" spans="1:23" x14ac:dyDescent="0.25">
      <c r="A11" t="s">
        <v>77</v>
      </c>
      <c r="B11" s="1">
        <v>45937</v>
      </c>
      <c r="C11" t="s">
        <v>78</v>
      </c>
      <c r="D11" t="s">
        <v>79</v>
      </c>
      <c r="E11" t="s">
        <v>36</v>
      </c>
      <c r="F11" t="s">
        <v>27</v>
      </c>
      <c r="G11" t="s">
        <v>28</v>
      </c>
      <c r="H11">
        <v>1</v>
      </c>
      <c r="I11" s="21">
        <v>22343</v>
      </c>
      <c r="J11">
        <v>0</v>
      </c>
      <c r="K11" s="21">
        <v>0</v>
      </c>
      <c r="L11" s="21">
        <v>22343</v>
      </c>
      <c r="M11" s="21">
        <v>14045.78</v>
      </c>
      <c r="N11" s="21">
        <v>8297.2199999999993</v>
      </c>
      <c r="O11" t="s">
        <v>55</v>
      </c>
      <c r="P11" s="21">
        <v>1512.53</v>
      </c>
      <c r="Q11" t="s">
        <v>68</v>
      </c>
      <c r="R11" t="s">
        <v>41</v>
      </c>
      <c r="S11">
        <v>2</v>
      </c>
      <c r="T11">
        <v>3</v>
      </c>
      <c r="U11" t="s">
        <v>56</v>
      </c>
      <c r="V11" t="s">
        <v>33</v>
      </c>
      <c r="W11">
        <v>2</v>
      </c>
    </row>
    <row r="12" spans="1:23" x14ac:dyDescent="0.25">
      <c r="A12" t="s">
        <v>80</v>
      </c>
      <c r="B12" s="1">
        <v>45702</v>
      </c>
      <c r="C12" t="s">
        <v>81</v>
      </c>
      <c r="D12" t="s">
        <v>79</v>
      </c>
      <c r="E12" t="s">
        <v>26</v>
      </c>
      <c r="F12" t="s">
        <v>53</v>
      </c>
      <c r="G12" t="s">
        <v>82</v>
      </c>
      <c r="H12">
        <v>2</v>
      </c>
      <c r="I12" s="21">
        <v>75535</v>
      </c>
      <c r="J12">
        <v>0</v>
      </c>
      <c r="K12" s="21">
        <v>0</v>
      </c>
      <c r="L12" s="21">
        <v>151070</v>
      </c>
      <c r="M12" s="21">
        <v>109016.81</v>
      </c>
      <c r="N12" s="21">
        <v>42053.19</v>
      </c>
      <c r="O12" t="s">
        <v>29</v>
      </c>
      <c r="P12" s="21">
        <v>237.36</v>
      </c>
      <c r="Q12" t="s">
        <v>83</v>
      </c>
      <c r="R12" t="s">
        <v>41</v>
      </c>
      <c r="S12">
        <v>2</v>
      </c>
      <c r="T12">
        <v>1</v>
      </c>
      <c r="U12" t="s">
        <v>32</v>
      </c>
      <c r="V12" t="s">
        <v>33</v>
      </c>
      <c r="W12">
        <v>5</v>
      </c>
    </row>
    <row r="13" spans="1:23" x14ac:dyDescent="0.25">
      <c r="A13" t="s">
        <v>84</v>
      </c>
      <c r="B13" s="1">
        <v>45960</v>
      </c>
      <c r="C13" t="s">
        <v>85</v>
      </c>
      <c r="D13" t="s">
        <v>45</v>
      </c>
      <c r="E13" t="s">
        <v>26</v>
      </c>
      <c r="F13" t="s">
        <v>86</v>
      </c>
      <c r="G13" t="s">
        <v>87</v>
      </c>
      <c r="H13">
        <v>1</v>
      </c>
      <c r="I13" s="21">
        <v>50374</v>
      </c>
      <c r="J13">
        <v>20</v>
      </c>
      <c r="K13" s="21">
        <v>10074.799999999999</v>
      </c>
      <c r="L13" s="21">
        <v>40299.199999999997</v>
      </c>
      <c r="M13" s="21">
        <v>32836.639999999999</v>
      </c>
      <c r="N13" s="21">
        <v>7462.56</v>
      </c>
      <c r="O13" t="s">
        <v>49</v>
      </c>
      <c r="P13" s="21">
        <v>110.68</v>
      </c>
      <c r="Q13" t="s">
        <v>30</v>
      </c>
      <c r="R13" t="s">
        <v>31</v>
      </c>
      <c r="S13">
        <v>5</v>
      </c>
      <c r="T13">
        <v>4</v>
      </c>
      <c r="U13" t="s">
        <v>32</v>
      </c>
      <c r="V13" t="s">
        <v>33</v>
      </c>
      <c r="W13">
        <v>5</v>
      </c>
    </row>
    <row r="14" spans="1:23" x14ac:dyDescent="0.25">
      <c r="A14" t="s">
        <v>88</v>
      </c>
      <c r="B14" s="1">
        <v>45874</v>
      </c>
      <c r="C14" t="s">
        <v>89</v>
      </c>
      <c r="D14" t="s">
        <v>90</v>
      </c>
      <c r="E14" t="s">
        <v>36</v>
      </c>
      <c r="F14" t="s">
        <v>53</v>
      </c>
      <c r="G14" t="s">
        <v>59</v>
      </c>
      <c r="H14">
        <v>1</v>
      </c>
      <c r="I14" s="21">
        <v>49642</v>
      </c>
      <c r="J14">
        <v>10</v>
      </c>
      <c r="K14" s="21">
        <v>4964.2</v>
      </c>
      <c r="L14" s="21">
        <v>44677.8</v>
      </c>
      <c r="M14" s="21">
        <v>25014.55</v>
      </c>
      <c r="N14" s="21">
        <v>19663.25</v>
      </c>
      <c r="O14" t="s">
        <v>91</v>
      </c>
      <c r="P14" s="21">
        <v>2182.92</v>
      </c>
      <c r="Q14" t="s">
        <v>83</v>
      </c>
      <c r="R14" t="s">
        <v>31</v>
      </c>
      <c r="S14">
        <v>5</v>
      </c>
      <c r="T14">
        <v>2</v>
      </c>
      <c r="U14" t="s">
        <v>32</v>
      </c>
      <c r="V14" t="s">
        <v>50</v>
      </c>
      <c r="W14">
        <v>3</v>
      </c>
    </row>
    <row r="15" spans="1:23" x14ac:dyDescent="0.25">
      <c r="A15" t="s">
        <v>92</v>
      </c>
      <c r="B15" s="1">
        <v>45674</v>
      </c>
      <c r="C15" t="s">
        <v>93</v>
      </c>
      <c r="D15" t="s">
        <v>25</v>
      </c>
      <c r="E15" t="s">
        <v>36</v>
      </c>
      <c r="F15" t="s">
        <v>86</v>
      </c>
      <c r="G15" t="s">
        <v>94</v>
      </c>
      <c r="H15">
        <v>2</v>
      </c>
      <c r="I15" s="21">
        <v>30486</v>
      </c>
      <c r="J15">
        <v>10</v>
      </c>
      <c r="K15" s="21">
        <v>6097.2</v>
      </c>
      <c r="L15" s="21">
        <v>54874.8</v>
      </c>
      <c r="M15" s="21">
        <v>43875.91</v>
      </c>
      <c r="N15" s="21">
        <v>10998.89</v>
      </c>
      <c r="O15" t="s">
        <v>60</v>
      </c>
      <c r="P15" s="21">
        <v>390.01</v>
      </c>
      <c r="Q15" t="s">
        <v>30</v>
      </c>
      <c r="R15" t="s">
        <v>41</v>
      </c>
      <c r="S15">
        <v>2</v>
      </c>
      <c r="T15">
        <v>6</v>
      </c>
      <c r="U15" t="s">
        <v>32</v>
      </c>
      <c r="V15" t="s">
        <v>42</v>
      </c>
    </row>
    <row r="16" spans="1:23" x14ac:dyDescent="0.25">
      <c r="A16" t="s">
        <v>95</v>
      </c>
      <c r="B16" s="1">
        <v>45673</v>
      </c>
      <c r="C16" t="s">
        <v>96</v>
      </c>
      <c r="D16" t="s">
        <v>97</v>
      </c>
      <c r="E16" t="s">
        <v>46</v>
      </c>
      <c r="F16" t="s">
        <v>53</v>
      </c>
      <c r="G16" t="s">
        <v>54</v>
      </c>
      <c r="H16">
        <v>1</v>
      </c>
      <c r="I16" s="21">
        <v>95628</v>
      </c>
      <c r="J16">
        <v>0</v>
      </c>
      <c r="K16" s="21">
        <v>0</v>
      </c>
      <c r="L16" s="21">
        <v>95628</v>
      </c>
      <c r="M16" s="21">
        <v>70404.820000000007</v>
      </c>
      <c r="N16" s="21">
        <v>25223.18</v>
      </c>
      <c r="O16" t="s">
        <v>39</v>
      </c>
      <c r="P16" s="21">
        <v>1871.67</v>
      </c>
      <c r="Q16" t="s">
        <v>73</v>
      </c>
      <c r="R16" t="s">
        <v>41</v>
      </c>
      <c r="S16">
        <v>2</v>
      </c>
      <c r="T16">
        <v>1</v>
      </c>
      <c r="U16" t="s">
        <v>32</v>
      </c>
      <c r="V16" t="s">
        <v>33</v>
      </c>
      <c r="W16">
        <v>1</v>
      </c>
    </row>
    <row r="17" spans="1:23" x14ac:dyDescent="0.25">
      <c r="A17" t="s">
        <v>98</v>
      </c>
      <c r="B17" s="1">
        <v>45705</v>
      </c>
      <c r="C17" t="s">
        <v>99</v>
      </c>
      <c r="D17" t="s">
        <v>90</v>
      </c>
      <c r="E17" t="s">
        <v>26</v>
      </c>
      <c r="F17" t="s">
        <v>37</v>
      </c>
      <c r="G17" t="s">
        <v>100</v>
      </c>
      <c r="H17">
        <v>1</v>
      </c>
      <c r="I17" s="21">
        <v>13357</v>
      </c>
      <c r="J17">
        <v>20</v>
      </c>
      <c r="K17" s="21">
        <v>2671.4</v>
      </c>
      <c r="L17" s="21">
        <v>10685.6</v>
      </c>
      <c r="M17" s="21">
        <v>5977.48</v>
      </c>
      <c r="N17" s="21">
        <v>4708.12</v>
      </c>
      <c r="O17" t="s">
        <v>55</v>
      </c>
      <c r="P17" s="21">
        <v>1683.87</v>
      </c>
      <c r="Q17" t="s">
        <v>73</v>
      </c>
      <c r="R17" t="s">
        <v>31</v>
      </c>
      <c r="S17">
        <v>5</v>
      </c>
      <c r="T17">
        <v>3</v>
      </c>
      <c r="U17" t="s">
        <v>32</v>
      </c>
      <c r="V17" t="s">
        <v>33</v>
      </c>
      <c r="W17">
        <v>5</v>
      </c>
    </row>
    <row r="18" spans="1:23" x14ac:dyDescent="0.25">
      <c r="A18" t="s">
        <v>101</v>
      </c>
      <c r="B18" s="1">
        <v>45769</v>
      </c>
      <c r="C18" t="s">
        <v>102</v>
      </c>
      <c r="D18" t="s">
        <v>45</v>
      </c>
      <c r="E18" t="s">
        <v>26</v>
      </c>
      <c r="F18" t="s">
        <v>27</v>
      </c>
      <c r="G18" t="s">
        <v>28</v>
      </c>
      <c r="H18">
        <v>3</v>
      </c>
      <c r="I18" s="21">
        <v>22306</v>
      </c>
      <c r="J18">
        <v>25</v>
      </c>
      <c r="K18" s="21">
        <v>16729.5</v>
      </c>
      <c r="L18" s="21">
        <v>50188.5</v>
      </c>
      <c r="M18" s="21">
        <v>32576.18</v>
      </c>
      <c r="N18" s="21">
        <v>17612.32</v>
      </c>
      <c r="O18" t="s">
        <v>91</v>
      </c>
      <c r="P18" s="21">
        <v>2409.1999999999998</v>
      </c>
      <c r="Q18" t="s">
        <v>83</v>
      </c>
      <c r="R18" t="s">
        <v>41</v>
      </c>
      <c r="S18">
        <v>2</v>
      </c>
      <c r="T18">
        <v>1</v>
      </c>
      <c r="U18" t="s">
        <v>32</v>
      </c>
      <c r="V18" t="s">
        <v>33</v>
      </c>
      <c r="W18">
        <v>2</v>
      </c>
    </row>
    <row r="19" spans="1:23" x14ac:dyDescent="0.25">
      <c r="A19" t="s">
        <v>103</v>
      </c>
      <c r="B19" s="1">
        <v>45777</v>
      </c>
      <c r="C19" t="s">
        <v>104</v>
      </c>
      <c r="D19" t="s">
        <v>71</v>
      </c>
      <c r="E19" t="s">
        <v>46</v>
      </c>
      <c r="F19" t="s">
        <v>47</v>
      </c>
      <c r="G19" t="s">
        <v>105</v>
      </c>
      <c r="H19">
        <v>2</v>
      </c>
      <c r="I19" s="21">
        <v>36246</v>
      </c>
      <c r="J19">
        <v>20</v>
      </c>
      <c r="K19" s="21">
        <v>14498.4</v>
      </c>
      <c r="L19" s="21">
        <v>57993.599999999999</v>
      </c>
      <c r="M19" s="21">
        <v>35030.93</v>
      </c>
      <c r="N19" s="21">
        <v>22962.67</v>
      </c>
      <c r="O19" t="s">
        <v>29</v>
      </c>
      <c r="P19" s="21">
        <v>597.11</v>
      </c>
      <c r="Q19" t="s">
        <v>30</v>
      </c>
      <c r="R19" t="s">
        <v>31</v>
      </c>
      <c r="S19">
        <v>5</v>
      </c>
      <c r="T19">
        <v>5</v>
      </c>
      <c r="U19" t="s">
        <v>32</v>
      </c>
      <c r="V19" t="s">
        <v>33</v>
      </c>
      <c r="W19">
        <v>4</v>
      </c>
    </row>
    <row r="20" spans="1:23" x14ac:dyDescent="0.25">
      <c r="A20" t="s">
        <v>106</v>
      </c>
      <c r="B20" s="1">
        <v>45916</v>
      </c>
      <c r="C20" t="s">
        <v>107</v>
      </c>
      <c r="D20" t="s">
        <v>79</v>
      </c>
      <c r="E20" t="s">
        <v>26</v>
      </c>
      <c r="F20" t="s">
        <v>53</v>
      </c>
      <c r="G20" t="s">
        <v>59</v>
      </c>
      <c r="H20">
        <v>3</v>
      </c>
      <c r="I20" s="21">
        <v>29644</v>
      </c>
      <c r="J20">
        <v>25</v>
      </c>
      <c r="K20" s="21">
        <v>22233</v>
      </c>
      <c r="L20" s="21">
        <v>66699</v>
      </c>
      <c r="M20" s="21">
        <v>40722.76</v>
      </c>
      <c r="N20" s="21">
        <v>25976.240000000002</v>
      </c>
      <c r="O20" t="s">
        <v>29</v>
      </c>
      <c r="P20" s="21">
        <v>2017.86</v>
      </c>
      <c r="Q20" t="s">
        <v>83</v>
      </c>
      <c r="R20" t="s">
        <v>31</v>
      </c>
      <c r="S20">
        <v>5</v>
      </c>
      <c r="T20">
        <v>3</v>
      </c>
      <c r="U20" t="s">
        <v>32</v>
      </c>
      <c r="V20" t="s">
        <v>33</v>
      </c>
      <c r="W20">
        <v>2</v>
      </c>
    </row>
    <row r="21" spans="1:23" x14ac:dyDescent="0.25">
      <c r="A21" t="s">
        <v>108</v>
      </c>
      <c r="B21" s="1">
        <v>45966</v>
      </c>
      <c r="C21" t="s">
        <v>109</v>
      </c>
      <c r="D21" t="s">
        <v>25</v>
      </c>
      <c r="E21" t="s">
        <v>36</v>
      </c>
      <c r="F21" t="s">
        <v>86</v>
      </c>
      <c r="G21" t="s">
        <v>110</v>
      </c>
      <c r="H21">
        <v>2</v>
      </c>
      <c r="I21" s="21">
        <v>14617</v>
      </c>
      <c r="J21">
        <v>20</v>
      </c>
      <c r="K21" s="21">
        <v>5846.8</v>
      </c>
      <c r="L21" s="21">
        <v>23387.200000000001</v>
      </c>
      <c r="M21" s="21">
        <v>16182.49</v>
      </c>
      <c r="N21" s="21">
        <v>7204.71</v>
      </c>
      <c r="O21" t="s">
        <v>60</v>
      </c>
      <c r="P21" s="21">
        <v>2436.4699999999998</v>
      </c>
      <c r="Q21" t="s">
        <v>83</v>
      </c>
      <c r="R21" t="s">
        <v>31</v>
      </c>
      <c r="S21">
        <v>5</v>
      </c>
      <c r="T21">
        <v>2</v>
      </c>
      <c r="U21" t="s">
        <v>32</v>
      </c>
      <c r="V21" t="s">
        <v>33</v>
      </c>
      <c r="W21">
        <v>2</v>
      </c>
    </row>
    <row r="22" spans="1:23" x14ac:dyDescent="0.25">
      <c r="A22" t="s">
        <v>111</v>
      </c>
      <c r="B22" s="1">
        <v>45671</v>
      </c>
      <c r="C22" t="s">
        <v>112</v>
      </c>
      <c r="D22" t="s">
        <v>25</v>
      </c>
      <c r="E22" t="s">
        <v>36</v>
      </c>
      <c r="F22" t="s">
        <v>27</v>
      </c>
      <c r="G22" t="s">
        <v>113</v>
      </c>
      <c r="H22">
        <v>2</v>
      </c>
      <c r="I22" s="21">
        <v>28658</v>
      </c>
      <c r="J22">
        <v>15</v>
      </c>
      <c r="K22" s="21">
        <v>8597.4</v>
      </c>
      <c r="L22" s="21">
        <v>48718.6</v>
      </c>
      <c r="M22" s="21">
        <v>33409.910000000003</v>
      </c>
      <c r="N22" s="21">
        <v>15308.69</v>
      </c>
      <c r="O22" t="s">
        <v>91</v>
      </c>
      <c r="P22" s="21">
        <v>551.94000000000005</v>
      </c>
      <c r="Q22" t="s">
        <v>68</v>
      </c>
      <c r="R22" t="s">
        <v>31</v>
      </c>
      <c r="S22">
        <v>5</v>
      </c>
      <c r="T22">
        <v>7</v>
      </c>
      <c r="U22" t="s">
        <v>56</v>
      </c>
      <c r="V22" t="s">
        <v>33</v>
      </c>
      <c r="W22">
        <v>5</v>
      </c>
    </row>
    <row r="23" spans="1:23" x14ac:dyDescent="0.25">
      <c r="A23" t="s">
        <v>114</v>
      </c>
      <c r="B23" s="1">
        <v>45945</v>
      </c>
      <c r="C23" t="s">
        <v>115</v>
      </c>
      <c r="D23" t="s">
        <v>25</v>
      </c>
      <c r="E23" t="s">
        <v>36</v>
      </c>
      <c r="F23" t="s">
        <v>47</v>
      </c>
      <c r="G23" t="s">
        <v>48</v>
      </c>
      <c r="H23">
        <v>2</v>
      </c>
      <c r="I23" s="21">
        <v>19864</v>
      </c>
      <c r="J23">
        <v>10</v>
      </c>
      <c r="K23" s="21">
        <v>3972.8</v>
      </c>
      <c r="L23" s="21">
        <v>35755.199999999997</v>
      </c>
      <c r="M23" s="21">
        <v>25596.99</v>
      </c>
      <c r="N23" s="21">
        <v>10158.209999999999</v>
      </c>
      <c r="O23" t="s">
        <v>29</v>
      </c>
      <c r="P23" s="21">
        <v>2365.6999999999998</v>
      </c>
      <c r="Q23" t="s">
        <v>68</v>
      </c>
      <c r="R23" t="s">
        <v>31</v>
      </c>
      <c r="S23">
        <v>5</v>
      </c>
      <c r="T23">
        <v>4</v>
      </c>
      <c r="U23" t="s">
        <v>32</v>
      </c>
      <c r="V23" t="s">
        <v>33</v>
      </c>
      <c r="W23">
        <v>5</v>
      </c>
    </row>
    <row r="24" spans="1:23" x14ac:dyDescent="0.25">
      <c r="A24" t="s">
        <v>116</v>
      </c>
      <c r="B24" s="1">
        <v>45759</v>
      </c>
      <c r="C24" t="s">
        <v>117</v>
      </c>
      <c r="D24" t="s">
        <v>45</v>
      </c>
      <c r="E24" t="s">
        <v>36</v>
      </c>
      <c r="F24" t="s">
        <v>47</v>
      </c>
      <c r="G24" t="s">
        <v>64</v>
      </c>
      <c r="H24">
        <v>1</v>
      </c>
      <c r="I24" s="21">
        <v>49038</v>
      </c>
      <c r="J24">
        <v>15</v>
      </c>
      <c r="K24" s="21">
        <v>7355.7</v>
      </c>
      <c r="L24" s="21">
        <v>41682.300000000003</v>
      </c>
      <c r="M24" s="21">
        <v>29881.59</v>
      </c>
      <c r="N24" s="21">
        <v>11800.71</v>
      </c>
      <c r="O24" t="s">
        <v>55</v>
      </c>
      <c r="P24" s="21">
        <v>1454.83</v>
      </c>
      <c r="Q24" t="s">
        <v>73</v>
      </c>
      <c r="R24" t="s">
        <v>41</v>
      </c>
      <c r="S24">
        <v>2</v>
      </c>
      <c r="T24">
        <v>2</v>
      </c>
      <c r="U24" t="s">
        <v>32</v>
      </c>
      <c r="V24" t="s">
        <v>33</v>
      </c>
      <c r="W24">
        <v>5</v>
      </c>
    </row>
    <row r="25" spans="1:23" x14ac:dyDescent="0.25">
      <c r="A25" t="s">
        <v>118</v>
      </c>
      <c r="B25" s="1">
        <v>45990</v>
      </c>
      <c r="C25" t="s">
        <v>119</v>
      </c>
      <c r="D25" t="s">
        <v>63</v>
      </c>
      <c r="E25" t="s">
        <v>46</v>
      </c>
      <c r="F25" t="s">
        <v>27</v>
      </c>
      <c r="G25" t="s">
        <v>76</v>
      </c>
      <c r="H25">
        <v>1</v>
      </c>
      <c r="I25" s="21">
        <v>18718</v>
      </c>
      <c r="J25">
        <v>10</v>
      </c>
      <c r="K25" s="21">
        <v>1871.8</v>
      </c>
      <c r="L25" s="21">
        <v>16846.2</v>
      </c>
      <c r="M25" s="21">
        <v>12024.79</v>
      </c>
      <c r="N25" s="21">
        <v>4821.41</v>
      </c>
      <c r="O25" t="s">
        <v>60</v>
      </c>
      <c r="P25" s="21">
        <v>2472.4499999999998</v>
      </c>
      <c r="Q25" t="s">
        <v>73</v>
      </c>
      <c r="R25" t="s">
        <v>41</v>
      </c>
      <c r="S25">
        <v>2</v>
      </c>
      <c r="T25">
        <v>1</v>
      </c>
      <c r="U25" t="s">
        <v>32</v>
      </c>
      <c r="V25" t="s">
        <v>33</v>
      </c>
      <c r="W25">
        <v>5</v>
      </c>
    </row>
    <row r="26" spans="1:23" x14ac:dyDescent="0.25">
      <c r="A26" t="s">
        <v>120</v>
      </c>
      <c r="B26" s="1">
        <v>46017</v>
      </c>
      <c r="C26" t="s">
        <v>121</v>
      </c>
      <c r="D26" t="s">
        <v>97</v>
      </c>
      <c r="E26" t="s">
        <v>46</v>
      </c>
      <c r="F26" t="s">
        <v>27</v>
      </c>
      <c r="G26" t="s">
        <v>76</v>
      </c>
      <c r="H26">
        <v>1</v>
      </c>
      <c r="I26" s="21">
        <v>11623</v>
      </c>
      <c r="J26">
        <v>0</v>
      </c>
      <c r="K26" s="21">
        <v>0</v>
      </c>
      <c r="L26" s="21">
        <v>11623</v>
      </c>
      <c r="M26" s="21">
        <v>6551.46</v>
      </c>
      <c r="N26" s="21">
        <v>5071.54</v>
      </c>
      <c r="O26" t="s">
        <v>29</v>
      </c>
      <c r="P26" s="21">
        <v>2414.1799999999998</v>
      </c>
      <c r="Q26" t="s">
        <v>68</v>
      </c>
      <c r="R26" t="s">
        <v>41</v>
      </c>
      <c r="S26">
        <v>2</v>
      </c>
      <c r="T26">
        <v>1</v>
      </c>
      <c r="U26" t="s">
        <v>32</v>
      </c>
      <c r="V26" t="s">
        <v>33</v>
      </c>
      <c r="W26">
        <v>2</v>
      </c>
    </row>
    <row r="27" spans="1:23" x14ac:dyDescent="0.25">
      <c r="A27" t="s">
        <v>122</v>
      </c>
      <c r="B27" s="1">
        <v>45937</v>
      </c>
      <c r="C27" t="s">
        <v>123</v>
      </c>
      <c r="D27" t="s">
        <v>124</v>
      </c>
      <c r="E27" t="s">
        <v>26</v>
      </c>
      <c r="F27" t="s">
        <v>86</v>
      </c>
      <c r="G27" t="s">
        <v>110</v>
      </c>
      <c r="H27">
        <v>1</v>
      </c>
      <c r="I27" s="21">
        <v>71191</v>
      </c>
      <c r="J27">
        <v>15</v>
      </c>
      <c r="K27" s="21">
        <v>10678.65</v>
      </c>
      <c r="L27" s="21">
        <v>60512.35</v>
      </c>
      <c r="M27" s="21">
        <v>41539.910000000003</v>
      </c>
      <c r="N27" s="21">
        <v>18972.439999999999</v>
      </c>
      <c r="O27" t="s">
        <v>91</v>
      </c>
      <c r="P27" s="21">
        <v>1011.66</v>
      </c>
      <c r="Q27" t="s">
        <v>83</v>
      </c>
      <c r="R27" t="s">
        <v>31</v>
      </c>
      <c r="S27">
        <v>5</v>
      </c>
      <c r="T27">
        <v>5</v>
      </c>
      <c r="U27" t="s">
        <v>32</v>
      </c>
      <c r="V27" t="s">
        <v>33</v>
      </c>
      <c r="W27">
        <v>5</v>
      </c>
    </row>
    <row r="28" spans="1:23" x14ac:dyDescent="0.25">
      <c r="A28" t="s">
        <v>125</v>
      </c>
      <c r="B28" s="1">
        <v>45872</v>
      </c>
      <c r="C28" t="s">
        <v>126</v>
      </c>
      <c r="D28" t="s">
        <v>63</v>
      </c>
      <c r="E28" t="s">
        <v>46</v>
      </c>
      <c r="F28" t="s">
        <v>86</v>
      </c>
      <c r="G28" t="s">
        <v>127</v>
      </c>
      <c r="H28">
        <v>1</v>
      </c>
      <c r="I28" s="21">
        <v>53943</v>
      </c>
      <c r="J28">
        <v>10</v>
      </c>
      <c r="K28" s="21">
        <v>5394.3</v>
      </c>
      <c r="L28" s="21">
        <v>48548.7</v>
      </c>
      <c r="M28" s="21">
        <v>27294.83</v>
      </c>
      <c r="N28" s="21">
        <v>21253.87</v>
      </c>
      <c r="O28" t="s">
        <v>29</v>
      </c>
      <c r="P28" s="21">
        <v>1472.41</v>
      </c>
      <c r="Q28" t="s">
        <v>83</v>
      </c>
      <c r="R28" t="s">
        <v>31</v>
      </c>
      <c r="S28">
        <v>5</v>
      </c>
      <c r="T28">
        <v>2</v>
      </c>
      <c r="U28" t="s">
        <v>32</v>
      </c>
      <c r="V28" t="s">
        <v>33</v>
      </c>
      <c r="W28">
        <v>3</v>
      </c>
    </row>
    <row r="29" spans="1:23" x14ac:dyDescent="0.25">
      <c r="A29" t="s">
        <v>128</v>
      </c>
      <c r="B29" s="1">
        <v>45770</v>
      </c>
      <c r="C29" t="s">
        <v>129</v>
      </c>
      <c r="D29" t="s">
        <v>97</v>
      </c>
      <c r="E29" t="s">
        <v>36</v>
      </c>
      <c r="F29" t="s">
        <v>27</v>
      </c>
      <c r="G29" t="s">
        <v>28</v>
      </c>
      <c r="H29">
        <v>2</v>
      </c>
      <c r="I29" s="21">
        <v>6668</v>
      </c>
      <c r="J29">
        <v>10</v>
      </c>
      <c r="K29" s="21">
        <v>1333.6</v>
      </c>
      <c r="L29" s="21">
        <v>12002.4</v>
      </c>
      <c r="M29" s="21">
        <v>9177.2999999999993</v>
      </c>
      <c r="N29" s="21">
        <v>2825.1</v>
      </c>
      <c r="O29" t="s">
        <v>39</v>
      </c>
      <c r="P29" s="21">
        <v>531.80999999999995</v>
      </c>
      <c r="Q29" t="s">
        <v>40</v>
      </c>
      <c r="R29" t="s">
        <v>41</v>
      </c>
      <c r="S29">
        <v>2</v>
      </c>
      <c r="T29">
        <v>2</v>
      </c>
      <c r="U29" t="s">
        <v>32</v>
      </c>
      <c r="V29" t="s">
        <v>33</v>
      </c>
      <c r="W29">
        <v>5</v>
      </c>
    </row>
    <row r="30" spans="1:23" x14ac:dyDescent="0.25">
      <c r="A30" t="s">
        <v>130</v>
      </c>
      <c r="B30" s="1">
        <v>45887</v>
      </c>
      <c r="C30" t="s">
        <v>131</v>
      </c>
      <c r="D30" t="s">
        <v>90</v>
      </c>
      <c r="E30" t="s">
        <v>46</v>
      </c>
      <c r="F30" t="s">
        <v>37</v>
      </c>
      <c r="G30" t="s">
        <v>100</v>
      </c>
      <c r="H30">
        <v>2</v>
      </c>
      <c r="I30" s="21">
        <v>13760</v>
      </c>
      <c r="J30">
        <v>25</v>
      </c>
      <c r="K30" s="21">
        <v>6880</v>
      </c>
      <c r="L30" s="21">
        <v>20640</v>
      </c>
      <c r="M30" s="21">
        <v>12130.97</v>
      </c>
      <c r="N30" s="21">
        <v>8509.0300000000007</v>
      </c>
      <c r="O30" t="s">
        <v>55</v>
      </c>
      <c r="P30" s="21">
        <v>1103.8</v>
      </c>
      <c r="Q30" t="s">
        <v>40</v>
      </c>
      <c r="R30" t="s">
        <v>41</v>
      </c>
      <c r="S30">
        <v>2</v>
      </c>
      <c r="T30">
        <v>1</v>
      </c>
      <c r="U30" t="s">
        <v>32</v>
      </c>
      <c r="V30" t="s">
        <v>42</v>
      </c>
    </row>
    <row r="31" spans="1:23" x14ac:dyDescent="0.25">
      <c r="A31" t="s">
        <v>132</v>
      </c>
      <c r="B31" s="1">
        <v>45959</v>
      </c>
      <c r="C31" t="s">
        <v>133</v>
      </c>
      <c r="D31" t="s">
        <v>97</v>
      </c>
      <c r="E31" t="s">
        <v>26</v>
      </c>
      <c r="F31" t="s">
        <v>86</v>
      </c>
      <c r="G31" t="s">
        <v>110</v>
      </c>
      <c r="H31">
        <v>2</v>
      </c>
      <c r="I31" s="21">
        <v>8180</v>
      </c>
      <c r="J31">
        <v>0</v>
      </c>
      <c r="K31" s="21">
        <v>0</v>
      </c>
      <c r="L31" s="21">
        <v>16360</v>
      </c>
      <c r="M31" s="21">
        <v>13326.41</v>
      </c>
      <c r="N31" s="21">
        <v>3033.59</v>
      </c>
      <c r="O31" t="s">
        <v>29</v>
      </c>
      <c r="P31" s="21">
        <v>2267.16</v>
      </c>
      <c r="Q31" t="s">
        <v>83</v>
      </c>
      <c r="R31" t="s">
        <v>41</v>
      </c>
      <c r="S31">
        <v>2</v>
      </c>
      <c r="T31">
        <v>6</v>
      </c>
      <c r="U31" t="s">
        <v>32</v>
      </c>
      <c r="V31" t="s">
        <v>42</v>
      </c>
    </row>
    <row r="32" spans="1:23" x14ac:dyDescent="0.25">
      <c r="A32" t="s">
        <v>134</v>
      </c>
      <c r="B32" s="1">
        <v>45800</v>
      </c>
      <c r="C32" t="s">
        <v>135</v>
      </c>
      <c r="D32" t="s">
        <v>45</v>
      </c>
      <c r="E32" t="s">
        <v>46</v>
      </c>
      <c r="F32" t="s">
        <v>37</v>
      </c>
      <c r="G32" t="s">
        <v>100</v>
      </c>
      <c r="H32">
        <v>1</v>
      </c>
      <c r="I32" s="21">
        <v>28916</v>
      </c>
      <c r="J32">
        <v>0</v>
      </c>
      <c r="K32" s="21">
        <v>0</v>
      </c>
      <c r="L32" s="21">
        <v>28916</v>
      </c>
      <c r="M32" s="21">
        <v>22318.77</v>
      </c>
      <c r="N32" s="21">
        <v>6597.23</v>
      </c>
      <c r="O32" t="s">
        <v>29</v>
      </c>
      <c r="P32" s="21">
        <v>2380.87</v>
      </c>
      <c r="Q32" t="s">
        <v>83</v>
      </c>
      <c r="R32" t="s">
        <v>31</v>
      </c>
      <c r="S32">
        <v>5</v>
      </c>
      <c r="T32">
        <v>3</v>
      </c>
      <c r="U32" t="s">
        <v>32</v>
      </c>
      <c r="V32" t="s">
        <v>33</v>
      </c>
      <c r="W32">
        <v>5</v>
      </c>
    </row>
    <row r="33" spans="1:23" x14ac:dyDescent="0.25">
      <c r="A33" t="s">
        <v>136</v>
      </c>
      <c r="B33" s="1">
        <v>45661</v>
      </c>
      <c r="C33" t="s">
        <v>137</v>
      </c>
      <c r="D33" t="s">
        <v>25</v>
      </c>
      <c r="E33" t="s">
        <v>46</v>
      </c>
      <c r="F33" t="s">
        <v>47</v>
      </c>
      <c r="G33" t="s">
        <v>138</v>
      </c>
      <c r="H33">
        <v>2</v>
      </c>
      <c r="I33" s="21">
        <v>39887</v>
      </c>
      <c r="J33">
        <v>0</v>
      </c>
      <c r="K33" s="21">
        <v>0</v>
      </c>
      <c r="L33" s="21">
        <v>79774</v>
      </c>
      <c r="M33" s="21">
        <v>55047.61</v>
      </c>
      <c r="N33" s="21">
        <v>24726.39</v>
      </c>
      <c r="O33" t="s">
        <v>60</v>
      </c>
      <c r="P33" s="21">
        <v>1300.25</v>
      </c>
      <c r="Q33" t="s">
        <v>30</v>
      </c>
      <c r="R33" t="s">
        <v>41</v>
      </c>
      <c r="S33">
        <v>2</v>
      </c>
      <c r="T33">
        <v>5</v>
      </c>
      <c r="U33" t="s">
        <v>32</v>
      </c>
      <c r="V33" t="s">
        <v>42</v>
      </c>
    </row>
    <row r="34" spans="1:23" x14ac:dyDescent="0.25">
      <c r="A34" t="s">
        <v>139</v>
      </c>
      <c r="B34" s="1">
        <v>45739</v>
      </c>
      <c r="C34" t="s">
        <v>140</v>
      </c>
      <c r="D34" t="s">
        <v>97</v>
      </c>
      <c r="E34" t="s">
        <v>26</v>
      </c>
      <c r="F34" t="s">
        <v>86</v>
      </c>
      <c r="G34" t="s">
        <v>87</v>
      </c>
      <c r="H34">
        <v>2</v>
      </c>
      <c r="I34" s="21">
        <v>40650</v>
      </c>
      <c r="J34">
        <v>5</v>
      </c>
      <c r="K34" s="21">
        <v>4065</v>
      </c>
      <c r="L34" s="21">
        <v>77235</v>
      </c>
      <c r="M34" s="21">
        <v>62443.040000000001</v>
      </c>
      <c r="N34" s="21">
        <v>14791.96</v>
      </c>
      <c r="O34" t="s">
        <v>39</v>
      </c>
      <c r="P34" s="21">
        <v>2365.42</v>
      </c>
      <c r="Q34" t="s">
        <v>73</v>
      </c>
      <c r="R34" t="s">
        <v>41</v>
      </c>
      <c r="S34">
        <v>2</v>
      </c>
      <c r="T34">
        <v>1</v>
      </c>
      <c r="U34" t="s">
        <v>32</v>
      </c>
      <c r="V34" t="s">
        <v>33</v>
      </c>
      <c r="W34">
        <v>2</v>
      </c>
    </row>
    <row r="35" spans="1:23" x14ac:dyDescent="0.25">
      <c r="A35" t="s">
        <v>141</v>
      </c>
      <c r="B35" s="1">
        <v>46015</v>
      </c>
      <c r="C35" t="s">
        <v>142</v>
      </c>
      <c r="D35" t="s">
        <v>25</v>
      </c>
      <c r="E35" t="s">
        <v>46</v>
      </c>
      <c r="F35" t="s">
        <v>86</v>
      </c>
      <c r="G35" t="s">
        <v>87</v>
      </c>
      <c r="H35">
        <v>3</v>
      </c>
      <c r="I35" s="21">
        <v>41842</v>
      </c>
      <c r="J35">
        <v>25</v>
      </c>
      <c r="K35" s="21">
        <v>31381.5</v>
      </c>
      <c r="L35" s="21">
        <v>94144.5</v>
      </c>
      <c r="M35" s="21">
        <v>61430.93</v>
      </c>
      <c r="N35" s="21">
        <v>32713.57</v>
      </c>
      <c r="O35" t="s">
        <v>60</v>
      </c>
      <c r="P35" s="21">
        <v>2050.62</v>
      </c>
      <c r="Q35" t="s">
        <v>73</v>
      </c>
      <c r="R35" t="s">
        <v>41</v>
      </c>
      <c r="S35">
        <v>2</v>
      </c>
      <c r="T35">
        <v>1</v>
      </c>
      <c r="U35" t="s">
        <v>32</v>
      </c>
      <c r="V35" t="s">
        <v>33</v>
      </c>
      <c r="W35">
        <v>5</v>
      </c>
    </row>
    <row r="36" spans="1:23" x14ac:dyDescent="0.25">
      <c r="A36" t="s">
        <v>143</v>
      </c>
      <c r="B36" s="1">
        <v>45874</v>
      </c>
      <c r="C36" t="s">
        <v>144</v>
      </c>
      <c r="D36" t="s">
        <v>25</v>
      </c>
      <c r="E36" t="s">
        <v>26</v>
      </c>
      <c r="F36" t="s">
        <v>53</v>
      </c>
      <c r="G36" t="s">
        <v>59</v>
      </c>
      <c r="H36">
        <v>2</v>
      </c>
      <c r="I36" s="21">
        <v>37047</v>
      </c>
      <c r="J36">
        <v>0</v>
      </c>
      <c r="K36" s="21">
        <v>0</v>
      </c>
      <c r="L36" s="21">
        <v>74094</v>
      </c>
      <c r="M36" s="21">
        <v>42936.82</v>
      </c>
      <c r="N36" s="21">
        <v>31157.18</v>
      </c>
      <c r="O36" t="s">
        <v>60</v>
      </c>
      <c r="P36" s="21">
        <v>1740.62</v>
      </c>
      <c r="Q36" t="s">
        <v>40</v>
      </c>
      <c r="R36" t="s">
        <v>31</v>
      </c>
      <c r="S36">
        <v>5</v>
      </c>
      <c r="T36">
        <v>1</v>
      </c>
      <c r="U36" t="s">
        <v>32</v>
      </c>
      <c r="V36" t="s">
        <v>50</v>
      </c>
      <c r="W36">
        <v>1</v>
      </c>
    </row>
    <row r="37" spans="1:23" x14ac:dyDescent="0.25">
      <c r="A37" t="s">
        <v>145</v>
      </c>
      <c r="B37" s="1">
        <v>45832</v>
      </c>
      <c r="C37" t="s">
        <v>66</v>
      </c>
      <c r="D37" t="s">
        <v>79</v>
      </c>
      <c r="E37" t="s">
        <v>46</v>
      </c>
      <c r="F37" t="s">
        <v>47</v>
      </c>
      <c r="G37" t="s">
        <v>146</v>
      </c>
      <c r="H37">
        <v>1</v>
      </c>
      <c r="I37" s="21">
        <v>16009</v>
      </c>
      <c r="J37">
        <v>15</v>
      </c>
      <c r="K37" s="21">
        <v>2401.35</v>
      </c>
      <c r="L37" s="21">
        <v>13607.65</v>
      </c>
      <c r="M37" s="21">
        <v>9882.98</v>
      </c>
      <c r="N37" s="21">
        <v>3724.67</v>
      </c>
      <c r="O37" t="s">
        <v>60</v>
      </c>
      <c r="P37" s="21">
        <v>658.75</v>
      </c>
      <c r="Q37" t="s">
        <v>73</v>
      </c>
      <c r="R37" t="s">
        <v>41</v>
      </c>
      <c r="S37">
        <v>2</v>
      </c>
      <c r="T37">
        <v>1</v>
      </c>
      <c r="U37" t="s">
        <v>32</v>
      </c>
      <c r="V37" t="s">
        <v>33</v>
      </c>
      <c r="W37">
        <v>5</v>
      </c>
    </row>
    <row r="38" spans="1:23" x14ac:dyDescent="0.25">
      <c r="A38" t="s">
        <v>147</v>
      </c>
      <c r="B38" s="1">
        <v>45800</v>
      </c>
      <c r="C38" t="s">
        <v>148</v>
      </c>
      <c r="D38" t="s">
        <v>79</v>
      </c>
      <c r="E38" t="s">
        <v>26</v>
      </c>
      <c r="F38" t="s">
        <v>86</v>
      </c>
      <c r="G38" t="s">
        <v>94</v>
      </c>
      <c r="H38">
        <v>1</v>
      </c>
      <c r="I38" s="21">
        <v>28946</v>
      </c>
      <c r="J38">
        <v>0</v>
      </c>
      <c r="K38" s="21">
        <v>0</v>
      </c>
      <c r="L38" s="21">
        <v>28946</v>
      </c>
      <c r="M38" s="21">
        <v>23713.62</v>
      </c>
      <c r="N38" s="21">
        <v>5232.38</v>
      </c>
      <c r="O38" t="s">
        <v>49</v>
      </c>
      <c r="P38" s="21">
        <v>471.47</v>
      </c>
      <c r="Q38" t="s">
        <v>73</v>
      </c>
      <c r="R38" t="s">
        <v>41</v>
      </c>
      <c r="S38">
        <v>2</v>
      </c>
      <c r="T38">
        <v>2</v>
      </c>
      <c r="U38" t="s">
        <v>32</v>
      </c>
      <c r="V38" t="s">
        <v>33</v>
      </c>
      <c r="W38">
        <v>2</v>
      </c>
    </row>
    <row r="39" spans="1:23" x14ac:dyDescent="0.25">
      <c r="A39" t="s">
        <v>149</v>
      </c>
      <c r="B39" s="1">
        <v>45737</v>
      </c>
      <c r="C39" t="s">
        <v>150</v>
      </c>
      <c r="D39" t="s">
        <v>45</v>
      </c>
      <c r="E39" t="s">
        <v>46</v>
      </c>
      <c r="F39" t="s">
        <v>53</v>
      </c>
      <c r="G39" t="s">
        <v>151</v>
      </c>
      <c r="H39">
        <v>4</v>
      </c>
      <c r="I39" s="21">
        <v>46298</v>
      </c>
      <c r="J39">
        <v>0</v>
      </c>
      <c r="K39" s="21">
        <v>0</v>
      </c>
      <c r="L39" s="21">
        <v>185192</v>
      </c>
      <c r="M39" s="21">
        <v>144410.15</v>
      </c>
      <c r="N39" s="21">
        <v>40781.85</v>
      </c>
      <c r="O39" t="s">
        <v>29</v>
      </c>
      <c r="P39" s="21">
        <v>2060.27</v>
      </c>
      <c r="Q39" t="s">
        <v>73</v>
      </c>
      <c r="R39" t="s">
        <v>41</v>
      </c>
      <c r="S39">
        <v>2</v>
      </c>
      <c r="T39">
        <v>1</v>
      </c>
      <c r="U39" t="s">
        <v>32</v>
      </c>
      <c r="V39" t="s">
        <v>33</v>
      </c>
      <c r="W39">
        <v>2</v>
      </c>
    </row>
    <row r="40" spans="1:23" x14ac:dyDescent="0.25">
      <c r="A40" t="s">
        <v>152</v>
      </c>
      <c r="B40" s="1">
        <v>45768</v>
      </c>
      <c r="C40" t="s">
        <v>153</v>
      </c>
      <c r="D40" t="s">
        <v>154</v>
      </c>
      <c r="E40" t="s">
        <v>26</v>
      </c>
      <c r="F40" t="s">
        <v>47</v>
      </c>
      <c r="G40" t="s">
        <v>105</v>
      </c>
      <c r="H40">
        <v>2</v>
      </c>
      <c r="I40" s="21">
        <v>51197</v>
      </c>
      <c r="J40">
        <v>15</v>
      </c>
      <c r="K40" s="21">
        <v>15359.1</v>
      </c>
      <c r="L40" s="21">
        <v>87034.9</v>
      </c>
      <c r="M40" s="21">
        <v>59977.99</v>
      </c>
      <c r="N40" s="21">
        <v>27056.91</v>
      </c>
      <c r="O40" t="s">
        <v>55</v>
      </c>
      <c r="P40" s="21">
        <v>419.39</v>
      </c>
      <c r="Q40" t="s">
        <v>68</v>
      </c>
      <c r="R40" t="s">
        <v>41</v>
      </c>
      <c r="S40">
        <v>2</v>
      </c>
      <c r="T40">
        <v>1</v>
      </c>
      <c r="U40" t="s">
        <v>32</v>
      </c>
      <c r="V40" t="s">
        <v>33</v>
      </c>
      <c r="W40">
        <v>5</v>
      </c>
    </row>
    <row r="41" spans="1:23" x14ac:dyDescent="0.25">
      <c r="A41" t="s">
        <v>155</v>
      </c>
      <c r="B41" s="1">
        <v>45830</v>
      </c>
      <c r="C41" t="s">
        <v>156</v>
      </c>
      <c r="D41" t="s">
        <v>90</v>
      </c>
      <c r="E41" t="s">
        <v>46</v>
      </c>
      <c r="F41" t="s">
        <v>27</v>
      </c>
      <c r="G41" t="s">
        <v>72</v>
      </c>
      <c r="H41">
        <v>1</v>
      </c>
      <c r="I41" s="21">
        <v>22586</v>
      </c>
      <c r="J41">
        <v>10</v>
      </c>
      <c r="K41" s="21">
        <v>2258.6</v>
      </c>
      <c r="L41" s="21">
        <v>20327.400000000001</v>
      </c>
      <c r="M41" s="21">
        <v>14767.74</v>
      </c>
      <c r="N41" s="21">
        <v>5559.66</v>
      </c>
      <c r="O41" t="s">
        <v>39</v>
      </c>
      <c r="P41" s="21">
        <v>471.92</v>
      </c>
      <c r="Q41" t="s">
        <v>73</v>
      </c>
      <c r="R41" t="s">
        <v>31</v>
      </c>
      <c r="S41">
        <v>5</v>
      </c>
      <c r="T41">
        <v>0</v>
      </c>
      <c r="U41" t="s">
        <v>32</v>
      </c>
      <c r="V41" t="s">
        <v>50</v>
      </c>
      <c r="W41">
        <v>5</v>
      </c>
    </row>
    <row r="42" spans="1:23" x14ac:dyDescent="0.25">
      <c r="A42" t="s">
        <v>157</v>
      </c>
      <c r="B42" s="1">
        <v>45710</v>
      </c>
      <c r="C42" t="s">
        <v>158</v>
      </c>
      <c r="D42" t="s">
        <v>63</v>
      </c>
      <c r="E42" t="s">
        <v>46</v>
      </c>
      <c r="F42" t="s">
        <v>47</v>
      </c>
      <c r="G42" t="s">
        <v>105</v>
      </c>
      <c r="H42">
        <v>3</v>
      </c>
      <c r="I42" s="21">
        <v>31087</v>
      </c>
      <c r="J42">
        <v>20</v>
      </c>
      <c r="K42" s="21">
        <v>18652.2</v>
      </c>
      <c r="L42" s="21">
        <v>74608.800000000003</v>
      </c>
      <c r="M42" s="21">
        <v>44120.67</v>
      </c>
      <c r="N42" s="21">
        <v>30488.13</v>
      </c>
      <c r="O42" t="s">
        <v>49</v>
      </c>
      <c r="P42" s="21">
        <v>297.16000000000003</v>
      </c>
      <c r="Q42" t="s">
        <v>30</v>
      </c>
      <c r="R42" t="s">
        <v>41</v>
      </c>
      <c r="S42">
        <v>2</v>
      </c>
      <c r="T42">
        <v>3</v>
      </c>
      <c r="U42" t="s">
        <v>32</v>
      </c>
      <c r="V42" t="s">
        <v>50</v>
      </c>
      <c r="W42">
        <v>5</v>
      </c>
    </row>
    <row r="43" spans="1:23" x14ac:dyDescent="0.25">
      <c r="A43" t="s">
        <v>159</v>
      </c>
      <c r="B43" s="1">
        <v>45705</v>
      </c>
      <c r="C43" t="s">
        <v>160</v>
      </c>
      <c r="D43" t="s">
        <v>45</v>
      </c>
      <c r="E43" t="s">
        <v>26</v>
      </c>
      <c r="F43" t="s">
        <v>37</v>
      </c>
      <c r="G43" t="s">
        <v>161</v>
      </c>
      <c r="H43">
        <v>1</v>
      </c>
      <c r="I43" s="21">
        <v>8047</v>
      </c>
      <c r="J43">
        <v>25</v>
      </c>
      <c r="K43" s="21">
        <v>2011.75</v>
      </c>
      <c r="L43" s="21">
        <v>6035.25</v>
      </c>
      <c r="M43" s="21">
        <v>4790.66</v>
      </c>
      <c r="N43" s="21">
        <v>1244.5899999999999</v>
      </c>
      <c r="O43" t="s">
        <v>55</v>
      </c>
      <c r="P43" s="21">
        <v>954.67</v>
      </c>
      <c r="Q43" t="s">
        <v>40</v>
      </c>
      <c r="R43" t="s">
        <v>31</v>
      </c>
      <c r="S43">
        <v>5</v>
      </c>
      <c r="T43">
        <v>5</v>
      </c>
      <c r="U43" t="s">
        <v>32</v>
      </c>
      <c r="V43" t="s">
        <v>33</v>
      </c>
      <c r="W43">
        <v>2</v>
      </c>
    </row>
    <row r="44" spans="1:23" x14ac:dyDescent="0.25">
      <c r="A44" t="s">
        <v>162</v>
      </c>
      <c r="B44" s="1">
        <v>45852</v>
      </c>
      <c r="C44" t="s">
        <v>163</v>
      </c>
      <c r="D44" t="s">
        <v>45</v>
      </c>
      <c r="E44" t="s">
        <v>46</v>
      </c>
      <c r="F44" t="s">
        <v>27</v>
      </c>
      <c r="G44" t="s">
        <v>164</v>
      </c>
      <c r="H44">
        <v>1</v>
      </c>
      <c r="I44" s="21">
        <v>7823</v>
      </c>
      <c r="J44">
        <v>15</v>
      </c>
      <c r="K44" s="21">
        <v>1173.45</v>
      </c>
      <c r="L44" s="21">
        <v>6649.55</v>
      </c>
      <c r="M44" s="21">
        <v>4477.38</v>
      </c>
      <c r="N44" s="21">
        <v>2172.17</v>
      </c>
      <c r="O44" t="s">
        <v>60</v>
      </c>
      <c r="P44" s="21">
        <v>2055.91</v>
      </c>
      <c r="Q44" t="s">
        <v>83</v>
      </c>
      <c r="R44" t="s">
        <v>41</v>
      </c>
      <c r="S44">
        <v>2</v>
      </c>
      <c r="T44">
        <v>1</v>
      </c>
      <c r="U44" t="s">
        <v>32</v>
      </c>
      <c r="V44" t="s">
        <v>33</v>
      </c>
      <c r="W44">
        <v>5</v>
      </c>
    </row>
    <row r="45" spans="1:23" x14ac:dyDescent="0.25">
      <c r="A45" t="s">
        <v>165</v>
      </c>
      <c r="B45" s="1">
        <v>45707</v>
      </c>
      <c r="C45" t="s">
        <v>166</v>
      </c>
      <c r="D45" t="s">
        <v>124</v>
      </c>
      <c r="E45" t="s">
        <v>46</v>
      </c>
      <c r="F45" t="s">
        <v>27</v>
      </c>
      <c r="G45" t="s">
        <v>72</v>
      </c>
      <c r="H45">
        <v>1</v>
      </c>
      <c r="I45" s="21">
        <v>5474</v>
      </c>
      <c r="J45">
        <v>20</v>
      </c>
      <c r="K45" s="21">
        <v>1094.8</v>
      </c>
      <c r="L45" s="21">
        <v>4379.2</v>
      </c>
      <c r="M45" s="21">
        <v>2446.08</v>
      </c>
      <c r="N45" s="21">
        <v>1933.12</v>
      </c>
      <c r="O45" t="s">
        <v>29</v>
      </c>
      <c r="P45" s="21">
        <v>511.49</v>
      </c>
      <c r="Q45" t="s">
        <v>30</v>
      </c>
      <c r="R45" t="s">
        <v>31</v>
      </c>
      <c r="S45">
        <v>5</v>
      </c>
      <c r="T45">
        <v>4</v>
      </c>
      <c r="U45" t="s">
        <v>32</v>
      </c>
      <c r="V45" t="s">
        <v>33</v>
      </c>
      <c r="W45">
        <v>5</v>
      </c>
    </row>
    <row r="46" spans="1:23" x14ac:dyDescent="0.25">
      <c r="A46" t="s">
        <v>167</v>
      </c>
      <c r="B46" s="1">
        <v>45841</v>
      </c>
      <c r="C46" t="s">
        <v>168</v>
      </c>
      <c r="D46" t="s">
        <v>71</v>
      </c>
      <c r="E46" t="s">
        <v>46</v>
      </c>
      <c r="F46" t="s">
        <v>86</v>
      </c>
      <c r="G46" t="s">
        <v>127</v>
      </c>
      <c r="H46">
        <v>3</v>
      </c>
      <c r="I46" s="21">
        <v>51582</v>
      </c>
      <c r="J46">
        <v>25</v>
      </c>
      <c r="K46" s="21">
        <v>38686.5</v>
      </c>
      <c r="L46" s="21">
        <v>116059.5</v>
      </c>
      <c r="M46" s="21">
        <v>76149.64</v>
      </c>
      <c r="N46" s="21">
        <v>39909.86</v>
      </c>
      <c r="O46" t="s">
        <v>60</v>
      </c>
      <c r="P46" s="21">
        <v>207.99</v>
      </c>
      <c r="Q46" t="s">
        <v>83</v>
      </c>
      <c r="R46" t="s">
        <v>31</v>
      </c>
      <c r="S46">
        <v>5</v>
      </c>
      <c r="T46">
        <v>2</v>
      </c>
      <c r="U46" t="s">
        <v>32</v>
      </c>
      <c r="V46" t="s">
        <v>33</v>
      </c>
      <c r="W46">
        <v>5</v>
      </c>
    </row>
    <row r="47" spans="1:23" x14ac:dyDescent="0.25">
      <c r="A47" t="s">
        <v>169</v>
      </c>
      <c r="B47" s="1">
        <v>45834</v>
      </c>
      <c r="C47" t="s">
        <v>170</v>
      </c>
      <c r="D47" t="s">
        <v>71</v>
      </c>
      <c r="E47" t="s">
        <v>46</v>
      </c>
      <c r="F47" t="s">
        <v>86</v>
      </c>
      <c r="G47" t="s">
        <v>127</v>
      </c>
      <c r="H47">
        <v>1</v>
      </c>
      <c r="I47" s="21">
        <v>26332</v>
      </c>
      <c r="J47">
        <v>0</v>
      </c>
      <c r="K47" s="21">
        <v>0</v>
      </c>
      <c r="L47" s="21">
        <v>26332</v>
      </c>
      <c r="M47" s="21">
        <v>14711.65</v>
      </c>
      <c r="N47" s="21">
        <v>11620.35</v>
      </c>
      <c r="O47" t="s">
        <v>29</v>
      </c>
      <c r="P47" s="21">
        <v>2353.35</v>
      </c>
      <c r="Q47" t="s">
        <v>83</v>
      </c>
      <c r="R47" t="s">
        <v>41</v>
      </c>
      <c r="S47">
        <v>2</v>
      </c>
      <c r="T47">
        <v>4</v>
      </c>
      <c r="U47" t="s">
        <v>32</v>
      </c>
      <c r="V47" t="s">
        <v>50</v>
      </c>
      <c r="W47">
        <v>5</v>
      </c>
    </row>
    <row r="48" spans="1:23" x14ac:dyDescent="0.25">
      <c r="A48" t="s">
        <v>171</v>
      </c>
      <c r="B48" s="1">
        <v>45967</v>
      </c>
      <c r="C48" t="s">
        <v>172</v>
      </c>
      <c r="D48" t="s">
        <v>79</v>
      </c>
      <c r="E48" t="s">
        <v>46</v>
      </c>
      <c r="F48" t="s">
        <v>47</v>
      </c>
      <c r="G48" t="s">
        <v>146</v>
      </c>
      <c r="H48">
        <v>2</v>
      </c>
      <c r="I48" s="21">
        <v>10190</v>
      </c>
      <c r="J48">
        <v>15</v>
      </c>
      <c r="K48" s="21">
        <v>3057</v>
      </c>
      <c r="L48" s="21">
        <v>17323</v>
      </c>
      <c r="M48" s="21">
        <v>11580.77</v>
      </c>
      <c r="N48" s="21">
        <v>5742.23</v>
      </c>
      <c r="O48" t="s">
        <v>29</v>
      </c>
      <c r="P48" s="21">
        <v>2186.58</v>
      </c>
      <c r="Q48" t="s">
        <v>83</v>
      </c>
      <c r="R48" t="s">
        <v>31</v>
      </c>
      <c r="S48">
        <v>5</v>
      </c>
      <c r="T48">
        <v>6</v>
      </c>
      <c r="U48" t="s">
        <v>32</v>
      </c>
      <c r="V48" t="s">
        <v>42</v>
      </c>
    </row>
    <row r="49" spans="1:23" x14ac:dyDescent="0.25">
      <c r="A49" t="s">
        <v>173</v>
      </c>
      <c r="B49" s="1">
        <v>45793</v>
      </c>
      <c r="C49" t="s">
        <v>174</v>
      </c>
      <c r="D49" t="s">
        <v>124</v>
      </c>
      <c r="E49" t="s">
        <v>26</v>
      </c>
      <c r="F49" t="s">
        <v>47</v>
      </c>
      <c r="G49" t="s">
        <v>64</v>
      </c>
      <c r="H49">
        <v>2</v>
      </c>
      <c r="I49" s="21">
        <v>51075</v>
      </c>
      <c r="J49">
        <v>0</v>
      </c>
      <c r="K49" s="21">
        <v>0</v>
      </c>
      <c r="L49" s="21">
        <v>102150</v>
      </c>
      <c r="M49" s="21">
        <v>83368.479999999996</v>
      </c>
      <c r="N49" s="21">
        <v>18781.52</v>
      </c>
      <c r="O49" t="s">
        <v>49</v>
      </c>
      <c r="P49" s="21">
        <v>185.23</v>
      </c>
      <c r="Q49" t="s">
        <v>83</v>
      </c>
      <c r="R49" t="s">
        <v>31</v>
      </c>
      <c r="S49">
        <v>5</v>
      </c>
      <c r="T49">
        <v>3</v>
      </c>
      <c r="U49" t="s">
        <v>32</v>
      </c>
      <c r="V49" t="s">
        <v>42</v>
      </c>
    </row>
    <row r="50" spans="1:23" x14ac:dyDescent="0.25">
      <c r="A50" t="s">
        <v>175</v>
      </c>
      <c r="B50" s="1">
        <v>45680</v>
      </c>
      <c r="C50" t="s">
        <v>176</v>
      </c>
      <c r="D50" t="s">
        <v>71</v>
      </c>
      <c r="E50" t="s">
        <v>26</v>
      </c>
      <c r="F50" t="s">
        <v>37</v>
      </c>
      <c r="G50" t="s">
        <v>38</v>
      </c>
      <c r="H50">
        <v>4</v>
      </c>
      <c r="I50" s="21">
        <v>38371</v>
      </c>
      <c r="J50">
        <v>10</v>
      </c>
      <c r="K50" s="21">
        <v>15348.4</v>
      </c>
      <c r="L50" s="21">
        <v>138135.6</v>
      </c>
      <c r="M50" s="21">
        <v>101944.52</v>
      </c>
      <c r="N50" s="21">
        <v>36191.08</v>
      </c>
      <c r="O50" t="s">
        <v>29</v>
      </c>
      <c r="P50" s="21">
        <v>1065.8599999999999</v>
      </c>
      <c r="Q50" t="s">
        <v>40</v>
      </c>
      <c r="R50" t="s">
        <v>31</v>
      </c>
      <c r="S50">
        <v>5</v>
      </c>
      <c r="T50">
        <v>5</v>
      </c>
      <c r="U50" t="s">
        <v>32</v>
      </c>
      <c r="V50" t="s">
        <v>33</v>
      </c>
      <c r="W50">
        <v>3</v>
      </c>
    </row>
    <row r="51" spans="1:23" x14ac:dyDescent="0.25">
      <c r="A51" t="s">
        <v>177</v>
      </c>
      <c r="B51" s="1">
        <v>45893</v>
      </c>
      <c r="C51" t="s">
        <v>115</v>
      </c>
      <c r="D51" t="s">
        <v>63</v>
      </c>
      <c r="E51" t="s">
        <v>46</v>
      </c>
      <c r="F51" t="s">
        <v>27</v>
      </c>
      <c r="G51" t="s">
        <v>76</v>
      </c>
      <c r="H51">
        <v>1</v>
      </c>
      <c r="I51" s="21">
        <v>17148</v>
      </c>
      <c r="J51">
        <v>0</v>
      </c>
      <c r="K51" s="21">
        <v>0</v>
      </c>
      <c r="L51" s="21">
        <v>17148</v>
      </c>
      <c r="M51" s="21">
        <v>11229.76</v>
      </c>
      <c r="N51" s="21">
        <v>5918.24</v>
      </c>
      <c r="O51" t="s">
        <v>49</v>
      </c>
      <c r="P51" s="21">
        <v>341.02</v>
      </c>
      <c r="Q51" t="s">
        <v>30</v>
      </c>
      <c r="R51" t="s">
        <v>31</v>
      </c>
      <c r="S51">
        <v>5</v>
      </c>
      <c r="T51">
        <v>1</v>
      </c>
      <c r="U51" t="s">
        <v>32</v>
      </c>
      <c r="V51" t="s">
        <v>33</v>
      </c>
      <c r="W51">
        <v>3</v>
      </c>
    </row>
    <row r="52" spans="1:23" x14ac:dyDescent="0.25">
      <c r="A52" t="s">
        <v>178</v>
      </c>
      <c r="B52" s="1">
        <v>45932</v>
      </c>
      <c r="C52" t="s">
        <v>179</v>
      </c>
      <c r="D52" t="s">
        <v>124</v>
      </c>
      <c r="E52" t="s">
        <v>46</v>
      </c>
      <c r="F52" t="s">
        <v>86</v>
      </c>
      <c r="G52" t="s">
        <v>180</v>
      </c>
      <c r="H52">
        <v>2</v>
      </c>
      <c r="I52" s="21">
        <v>15539</v>
      </c>
      <c r="J52">
        <v>20</v>
      </c>
      <c r="K52" s="21">
        <v>6215.6</v>
      </c>
      <c r="L52" s="21">
        <v>24862.400000000001</v>
      </c>
      <c r="M52" s="21">
        <v>15076.56</v>
      </c>
      <c r="N52" s="21">
        <v>9785.84</v>
      </c>
      <c r="O52" t="s">
        <v>55</v>
      </c>
      <c r="P52" s="21">
        <v>687.16</v>
      </c>
      <c r="Q52" t="s">
        <v>68</v>
      </c>
      <c r="R52" t="s">
        <v>41</v>
      </c>
      <c r="S52">
        <v>2</v>
      </c>
      <c r="T52">
        <v>2</v>
      </c>
      <c r="U52" t="s">
        <v>32</v>
      </c>
      <c r="V52" t="s">
        <v>33</v>
      </c>
      <c r="W52">
        <v>1</v>
      </c>
    </row>
    <row r="53" spans="1:23" x14ac:dyDescent="0.25">
      <c r="A53" t="s">
        <v>181</v>
      </c>
      <c r="B53" s="1">
        <v>45721</v>
      </c>
      <c r="C53" t="s">
        <v>182</v>
      </c>
      <c r="D53" t="s">
        <v>45</v>
      </c>
      <c r="E53" t="s">
        <v>46</v>
      </c>
      <c r="F53" t="s">
        <v>53</v>
      </c>
      <c r="G53" t="s">
        <v>54</v>
      </c>
      <c r="H53">
        <v>3</v>
      </c>
      <c r="I53" s="21">
        <v>81362</v>
      </c>
      <c r="J53">
        <v>25</v>
      </c>
      <c r="K53" s="21">
        <v>61021.5</v>
      </c>
      <c r="L53" s="21">
        <v>183064.5</v>
      </c>
      <c r="M53" s="21">
        <v>132750.09</v>
      </c>
      <c r="N53" s="21">
        <v>50314.41</v>
      </c>
      <c r="O53" t="s">
        <v>49</v>
      </c>
      <c r="P53" s="21">
        <v>280.77</v>
      </c>
      <c r="Q53" t="s">
        <v>30</v>
      </c>
      <c r="R53" t="s">
        <v>41</v>
      </c>
      <c r="S53">
        <v>2</v>
      </c>
      <c r="T53">
        <v>1</v>
      </c>
      <c r="U53" t="s">
        <v>32</v>
      </c>
      <c r="V53" t="s">
        <v>33</v>
      </c>
      <c r="W53">
        <v>3</v>
      </c>
    </row>
    <row r="54" spans="1:23" x14ac:dyDescent="0.25">
      <c r="A54" t="s">
        <v>183</v>
      </c>
      <c r="B54" s="1">
        <v>45851</v>
      </c>
      <c r="C54" t="s">
        <v>75</v>
      </c>
      <c r="D54" t="s">
        <v>25</v>
      </c>
      <c r="E54" t="s">
        <v>46</v>
      </c>
      <c r="F54" t="s">
        <v>27</v>
      </c>
      <c r="G54" t="s">
        <v>164</v>
      </c>
      <c r="H54">
        <v>1</v>
      </c>
      <c r="I54" s="21">
        <v>4031</v>
      </c>
      <c r="J54">
        <v>25</v>
      </c>
      <c r="K54" s="21">
        <v>1007.75</v>
      </c>
      <c r="L54" s="21">
        <v>3023.25</v>
      </c>
      <c r="M54" s="21">
        <v>2425.81</v>
      </c>
      <c r="N54" s="21">
        <v>597.44000000000005</v>
      </c>
      <c r="O54" t="s">
        <v>91</v>
      </c>
      <c r="P54" s="21">
        <v>550.54999999999995</v>
      </c>
      <c r="Q54" t="s">
        <v>73</v>
      </c>
      <c r="R54" t="s">
        <v>41</v>
      </c>
      <c r="S54">
        <v>2</v>
      </c>
      <c r="T54">
        <v>2</v>
      </c>
      <c r="U54" t="s">
        <v>32</v>
      </c>
      <c r="V54" t="s">
        <v>42</v>
      </c>
    </row>
    <row r="55" spans="1:23" x14ac:dyDescent="0.25">
      <c r="A55" t="s">
        <v>184</v>
      </c>
      <c r="B55" s="1">
        <v>45698</v>
      </c>
      <c r="C55" t="s">
        <v>185</v>
      </c>
      <c r="D55" t="s">
        <v>124</v>
      </c>
      <c r="E55" t="s">
        <v>26</v>
      </c>
      <c r="F55" t="s">
        <v>47</v>
      </c>
      <c r="G55" t="s">
        <v>105</v>
      </c>
      <c r="H55">
        <v>3</v>
      </c>
      <c r="I55" s="21">
        <v>23864</v>
      </c>
      <c r="J55">
        <v>20</v>
      </c>
      <c r="K55" s="21">
        <v>14318.4</v>
      </c>
      <c r="L55" s="21">
        <v>57273.599999999999</v>
      </c>
      <c r="M55" s="21">
        <v>34102.019999999997</v>
      </c>
      <c r="N55" s="21">
        <v>23171.58</v>
      </c>
      <c r="O55" t="s">
        <v>60</v>
      </c>
      <c r="P55" s="21">
        <v>1856.72</v>
      </c>
      <c r="Q55" t="s">
        <v>30</v>
      </c>
      <c r="R55" t="s">
        <v>31</v>
      </c>
      <c r="S55">
        <v>5</v>
      </c>
      <c r="T55">
        <v>6</v>
      </c>
      <c r="U55" t="s">
        <v>56</v>
      </c>
      <c r="V55" t="s">
        <v>33</v>
      </c>
      <c r="W55">
        <v>2</v>
      </c>
    </row>
    <row r="56" spans="1:23" x14ac:dyDescent="0.25">
      <c r="A56" t="s">
        <v>186</v>
      </c>
      <c r="B56" s="1">
        <v>45940</v>
      </c>
      <c r="C56" t="s">
        <v>148</v>
      </c>
      <c r="D56" t="s">
        <v>97</v>
      </c>
      <c r="E56" t="s">
        <v>36</v>
      </c>
      <c r="F56" t="s">
        <v>47</v>
      </c>
      <c r="G56" t="s">
        <v>64</v>
      </c>
      <c r="H56">
        <v>1</v>
      </c>
      <c r="I56" s="21">
        <v>50792</v>
      </c>
      <c r="J56">
        <v>15</v>
      </c>
      <c r="K56" s="21">
        <v>7618.8</v>
      </c>
      <c r="L56" s="21">
        <v>43173.2</v>
      </c>
      <c r="M56" s="21">
        <v>25347.97</v>
      </c>
      <c r="N56" s="21">
        <v>17825.23</v>
      </c>
      <c r="O56" t="s">
        <v>55</v>
      </c>
      <c r="P56" s="21">
        <v>547.37</v>
      </c>
      <c r="Q56" t="s">
        <v>68</v>
      </c>
      <c r="R56" t="s">
        <v>31</v>
      </c>
      <c r="S56">
        <v>5</v>
      </c>
      <c r="T56">
        <v>0</v>
      </c>
      <c r="U56" t="s">
        <v>32</v>
      </c>
      <c r="V56" t="s">
        <v>50</v>
      </c>
      <c r="W56">
        <v>5</v>
      </c>
    </row>
    <row r="57" spans="1:23" x14ac:dyDescent="0.25">
      <c r="A57" t="s">
        <v>187</v>
      </c>
      <c r="B57" s="1">
        <v>45808</v>
      </c>
      <c r="C57" t="s">
        <v>188</v>
      </c>
      <c r="D57" t="s">
        <v>90</v>
      </c>
      <c r="E57" t="s">
        <v>26</v>
      </c>
      <c r="F57" t="s">
        <v>37</v>
      </c>
      <c r="G57" t="s">
        <v>100</v>
      </c>
      <c r="H57">
        <v>3</v>
      </c>
      <c r="I57" s="21">
        <v>4433</v>
      </c>
      <c r="J57">
        <v>25</v>
      </c>
      <c r="K57" s="21">
        <v>3324.75</v>
      </c>
      <c r="L57" s="21">
        <v>9974.25</v>
      </c>
      <c r="M57" s="21">
        <v>6971.44</v>
      </c>
      <c r="N57" s="21">
        <v>3002.81</v>
      </c>
      <c r="O57" t="s">
        <v>29</v>
      </c>
      <c r="P57" s="21">
        <v>1861.04</v>
      </c>
      <c r="Q57" t="s">
        <v>40</v>
      </c>
      <c r="R57" t="s">
        <v>31</v>
      </c>
      <c r="S57">
        <v>5</v>
      </c>
      <c r="T57">
        <v>6</v>
      </c>
      <c r="U57" t="s">
        <v>56</v>
      </c>
      <c r="V57" t="s">
        <v>33</v>
      </c>
      <c r="W57">
        <v>5</v>
      </c>
    </row>
    <row r="58" spans="1:23" x14ac:dyDescent="0.25">
      <c r="A58" t="s">
        <v>189</v>
      </c>
      <c r="B58" s="1">
        <v>45979</v>
      </c>
      <c r="C58" t="s">
        <v>158</v>
      </c>
      <c r="D58" t="s">
        <v>71</v>
      </c>
      <c r="E58" t="s">
        <v>46</v>
      </c>
      <c r="F58" t="s">
        <v>86</v>
      </c>
      <c r="G58" t="s">
        <v>180</v>
      </c>
      <c r="H58">
        <v>1</v>
      </c>
      <c r="I58" s="21">
        <v>31156</v>
      </c>
      <c r="J58">
        <v>10</v>
      </c>
      <c r="K58" s="21">
        <v>3115.6</v>
      </c>
      <c r="L58" s="21">
        <v>28040.400000000001</v>
      </c>
      <c r="M58" s="21">
        <v>21594.13</v>
      </c>
      <c r="N58" s="21">
        <v>6446.27</v>
      </c>
      <c r="O58" t="s">
        <v>91</v>
      </c>
      <c r="P58" s="21">
        <v>1058.02</v>
      </c>
      <c r="Q58" t="s">
        <v>30</v>
      </c>
      <c r="R58" t="s">
        <v>41</v>
      </c>
      <c r="S58">
        <v>2</v>
      </c>
      <c r="T58">
        <v>1</v>
      </c>
      <c r="U58" t="s">
        <v>32</v>
      </c>
      <c r="V58" t="s">
        <v>33</v>
      </c>
      <c r="W58">
        <v>1</v>
      </c>
    </row>
    <row r="59" spans="1:23" x14ac:dyDescent="0.25">
      <c r="A59" t="s">
        <v>190</v>
      </c>
      <c r="B59" s="1">
        <v>45974</v>
      </c>
      <c r="C59" t="s">
        <v>191</v>
      </c>
      <c r="D59" t="s">
        <v>124</v>
      </c>
      <c r="E59" t="s">
        <v>26</v>
      </c>
      <c r="F59" t="s">
        <v>27</v>
      </c>
      <c r="G59" t="s">
        <v>28</v>
      </c>
      <c r="H59">
        <v>2</v>
      </c>
      <c r="I59" s="21">
        <v>6563</v>
      </c>
      <c r="J59">
        <v>15</v>
      </c>
      <c r="K59" s="21">
        <v>1968.9</v>
      </c>
      <c r="L59" s="21">
        <v>11157.1</v>
      </c>
      <c r="M59" s="21">
        <v>7272.6</v>
      </c>
      <c r="N59" s="21">
        <v>3884.5</v>
      </c>
      <c r="O59" t="s">
        <v>39</v>
      </c>
      <c r="P59" s="21">
        <v>221.74</v>
      </c>
      <c r="Q59" t="s">
        <v>68</v>
      </c>
      <c r="R59" t="s">
        <v>31</v>
      </c>
      <c r="S59">
        <v>5</v>
      </c>
      <c r="T59">
        <v>4</v>
      </c>
      <c r="U59" t="s">
        <v>32</v>
      </c>
      <c r="V59" t="s">
        <v>33</v>
      </c>
      <c r="W59">
        <v>5</v>
      </c>
    </row>
    <row r="60" spans="1:23" x14ac:dyDescent="0.25">
      <c r="A60" t="s">
        <v>192</v>
      </c>
      <c r="B60" s="1">
        <v>45843</v>
      </c>
      <c r="C60" t="s">
        <v>193</v>
      </c>
      <c r="D60" t="s">
        <v>25</v>
      </c>
      <c r="E60" t="s">
        <v>36</v>
      </c>
      <c r="F60" t="s">
        <v>53</v>
      </c>
      <c r="G60" t="s">
        <v>54</v>
      </c>
      <c r="H60">
        <v>4</v>
      </c>
      <c r="I60" s="21">
        <v>78226</v>
      </c>
      <c r="J60">
        <v>10</v>
      </c>
      <c r="K60" s="21">
        <v>31290.400000000001</v>
      </c>
      <c r="L60" s="21">
        <v>281613.59999999998</v>
      </c>
      <c r="M60" s="21">
        <v>158427.85</v>
      </c>
      <c r="N60" s="21">
        <v>123185.75</v>
      </c>
      <c r="O60" t="s">
        <v>29</v>
      </c>
      <c r="P60" s="21">
        <v>1496.07</v>
      </c>
      <c r="Q60" t="s">
        <v>83</v>
      </c>
      <c r="R60" t="s">
        <v>41</v>
      </c>
      <c r="S60">
        <v>2</v>
      </c>
      <c r="T60">
        <v>2</v>
      </c>
      <c r="U60" t="s">
        <v>32</v>
      </c>
      <c r="V60" t="s">
        <v>33</v>
      </c>
      <c r="W60">
        <v>5</v>
      </c>
    </row>
    <row r="61" spans="1:23" x14ac:dyDescent="0.25">
      <c r="A61" t="s">
        <v>194</v>
      </c>
      <c r="B61" s="1">
        <v>45953</v>
      </c>
      <c r="C61" t="s">
        <v>195</v>
      </c>
      <c r="D61" t="s">
        <v>124</v>
      </c>
      <c r="E61" t="s">
        <v>46</v>
      </c>
      <c r="F61" t="s">
        <v>47</v>
      </c>
      <c r="G61" t="s">
        <v>48</v>
      </c>
      <c r="H61">
        <v>2</v>
      </c>
      <c r="I61" s="21">
        <v>33102</v>
      </c>
      <c r="J61">
        <v>5</v>
      </c>
      <c r="K61" s="21">
        <v>3310.2</v>
      </c>
      <c r="L61" s="21">
        <v>62893.8</v>
      </c>
      <c r="M61" s="21">
        <v>44214.84</v>
      </c>
      <c r="N61" s="21">
        <v>18678.96</v>
      </c>
      <c r="O61" t="s">
        <v>29</v>
      </c>
      <c r="P61" s="21">
        <v>1937.9</v>
      </c>
      <c r="Q61" t="s">
        <v>68</v>
      </c>
      <c r="R61" t="s">
        <v>41</v>
      </c>
      <c r="S61">
        <v>2</v>
      </c>
      <c r="T61">
        <v>3</v>
      </c>
      <c r="U61" t="s">
        <v>56</v>
      </c>
      <c r="V61" t="s">
        <v>33</v>
      </c>
      <c r="W61">
        <v>4</v>
      </c>
    </row>
    <row r="62" spans="1:23" x14ac:dyDescent="0.25">
      <c r="A62" t="s">
        <v>196</v>
      </c>
      <c r="B62" s="1">
        <v>45756</v>
      </c>
      <c r="C62" t="s">
        <v>197</v>
      </c>
      <c r="D62" t="s">
        <v>90</v>
      </c>
      <c r="E62" t="s">
        <v>46</v>
      </c>
      <c r="F62" t="s">
        <v>53</v>
      </c>
      <c r="G62" t="s">
        <v>82</v>
      </c>
      <c r="H62">
        <v>2</v>
      </c>
      <c r="I62" s="21">
        <v>53642</v>
      </c>
      <c r="J62">
        <v>0</v>
      </c>
      <c r="K62" s="21">
        <v>0</v>
      </c>
      <c r="L62" s="21">
        <v>107284</v>
      </c>
      <c r="M62" s="21">
        <v>77374.64</v>
      </c>
      <c r="N62" s="21">
        <v>29909.360000000001</v>
      </c>
      <c r="O62" t="s">
        <v>55</v>
      </c>
      <c r="P62" s="21">
        <v>1018.37</v>
      </c>
      <c r="Q62" t="s">
        <v>30</v>
      </c>
      <c r="R62" t="s">
        <v>41</v>
      </c>
      <c r="S62">
        <v>2</v>
      </c>
      <c r="T62">
        <v>1</v>
      </c>
      <c r="U62" t="s">
        <v>32</v>
      </c>
      <c r="V62" t="s">
        <v>33</v>
      </c>
      <c r="W62">
        <v>2</v>
      </c>
    </row>
    <row r="63" spans="1:23" x14ac:dyDescent="0.25">
      <c r="A63" t="s">
        <v>198</v>
      </c>
      <c r="B63" s="1">
        <v>46018</v>
      </c>
      <c r="C63" t="s">
        <v>199</v>
      </c>
      <c r="D63" t="s">
        <v>71</v>
      </c>
      <c r="E63" t="s">
        <v>26</v>
      </c>
      <c r="F63" t="s">
        <v>27</v>
      </c>
      <c r="G63" t="s">
        <v>76</v>
      </c>
      <c r="H63">
        <v>1</v>
      </c>
      <c r="I63" s="21">
        <v>6188</v>
      </c>
      <c r="J63">
        <v>0</v>
      </c>
      <c r="K63" s="21">
        <v>0</v>
      </c>
      <c r="L63" s="21">
        <v>6188</v>
      </c>
      <c r="M63" s="21">
        <v>4038.29</v>
      </c>
      <c r="N63" s="21">
        <v>2149.71</v>
      </c>
      <c r="O63" t="s">
        <v>55</v>
      </c>
      <c r="P63" s="21">
        <v>928.36</v>
      </c>
      <c r="Q63" t="s">
        <v>83</v>
      </c>
      <c r="R63" t="s">
        <v>31</v>
      </c>
      <c r="S63">
        <v>5</v>
      </c>
      <c r="T63">
        <v>5</v>
      </c>
      <c r="U63" t="s">
        <v>32</v>
      </c>
      <c r="V63" t="s">
        <v>50</v>
      </c>
      <c r="W63">
        <v>4</v>
      </c>
    </row>
    <row r="64" spans="1:23" x14ac:dyDescent="0.25">
      <c r="A64" t="s">
        <v>200</v>
      </c>
      <c r="B64" s="1">
        <v>45693</v>
      </c>
      <c r="C64" t="s">
        <v>201</v>
      </c>
      <c r="D64" t="s">
        <v>67</v>
      </c>
      <c r="E64" t="s">
        <v>26</v>
      </c>
      <c r="F64" t="s">
        <v>53</v>
      </c>
      <c r="G64" t="s">
        <v>151</v>
      </c>
      <c r="H64">
        <v>1</v>
      </c>
      <c r="I64" s="21">
        <v>20442</v>
      </c>
      <c r="J64">
        <v>15</v>
      </c>
      <c r="K64" s="21">
        <v>3066.3</v>
      </c>
      <c r="L64" s="21">
        <v>17375.7</v>
      </c>
      <c r="M64" s="21">
        <v>10041.23</v>
      </c>
      <c r="N64" s="21">
        <v>7334.47</v>
      </c>
      <c r="O64" t="s">
        <v>39</v>
      </c>
      <c r="P64" s="21">
        <v>414.05</v>
      </c>
      <c r="Q64" t="s">
        <v>40</v>
      </c>
      <c r="R64" t="s">
        <v>41</v>
      </c>
      <c r="S64">
        <v>2</v>
      </c>
      <c r="T64">
        <v>1</v>
      </c>
      <c r="U64" t="s">
        <v>32</v>
      </c>
      <c r="V64" t="s">
        <v>33</v>
      </c>
      <c r="W64">
        <v>5</v>
      </c>
    </row>
    <row r="65" spans="1:23" x14ac:dyDescent="0.25">
      <c r="A65" t="s">
        <v>202</v>
      </c>
      <c r="B65" s="1">
        <v>45681</v>
      </c>
      <c r="C65" t="s">
        <v>203</v>
      </c>
      <c r="D65" t="s">
        <v>63</v>
      </c>
      <c r="E65" t="s">
        <v>46</v>
      </c>
      <c r="F65" t="s">
        <v>86</v>
      </c>
      <c r="G65" t="s">
        <v>127</v>
      </c>
      <c r="H65">
        <v>1</v>
      </c>
      <c r="I65" s="21">
        <v>80967</v>
      </c>
      <c r="J65">
        <v>15</v>
      </c>
      <c r="K65" s="21">
        <v>12145.05</v>
      </c>
      <c r="L65" s="21">
        <v>68821.95</v>
      </c>
      <c r="M65" s="21">
        <v>41001.74</v>
      </c>
      <c r="N65" s="21">
        <v>27820.21</v>
      </c>
      <c r="O65" t="s">
        <v>60</v>
      </c>
      <c r="P65" s="21">
        <v>1334.19</v>
      </c>
      <c r="Q65" t="s">
        <v>83</v>
      </c>
      <c r="R65" t="s">
        <v>41</v>
      </c>
      <c r="S65">
        <v>2</v>
      </c>
      <c r="T65">
        <v>1</v>
      </c>
      <c r="U65" t="s">
        <v>32</v>
      </c>
      <c r="V65" t="s">
        <v>33</v>
      </c>
      <c r="W65">
        <v>3</v>
      </c>
    </row>
    <row r="66" spans="1:23" x14ac:dyDescent="0.25">
      <c r="A66" t="s">
        <v>204</v>
      </c>
      <c r="B66" s="1">
        <v>45996</v>
      </c>
      <c r="C66" t="s">
        <v>205</v>
      </c>
      <c r="D66" t="s">
        <v>71</v>
      </c>
      <c r="E66" t="s">
        <v>26</v>
      </c>
      <c r="F66" t="s">
        <v>47</v>
      </c>
      <c r="G66" t="s">
        <v>105</v>
      </c>
      <c r="H66">
        <v>1</v>
      </c>
      <c r="I66" s="21">
        <v>23160</v>
      </c>
      <c r="J66">
        <v>20</v>
      </c>
      <c r="K66" s="21">
        <v>4632</v>
      </c>
      <c r="L66" s="21">
        <v>18528</v>
      </c>
      <c r="M66" s="21">
        <v>10725.54</v>
      </c>
      <c r="N66" s="21">
        <v>7802.46</v>
      </c>
      <c r="O66" t="s">
        <v>39</v>
      </c>
      <c r="P66" s="21">
        <v>964.1</v>
      </c>
      <c r="Q66" t="s">
        <v>40</v>
      </c>
      <c r="R66" t="s">
        <v>31</v>
      </c>
      <c r="S66">
        <v>5</v>
      </c>
      <c r="T66">
        <v>6</v>
      </c>
      <c r="U66" t="s">
        <v>56</v>
      </c>
      <c r="V66" t="s">
        <v>33</v>
      </c>
      <c r="W66">
        <v>4</v>
      </c>
    </row>
    <row r="67" spans="1:23" x14ac:dyDescent="0.25">
      <c r="A67" t="s">
        <v>206</v>
      </c>
      <c r="B67" s="1">
        <v>45774</v>
      </c>
      <c r="C67" t="s">
        <v>207</v>
      </c>
      <c r="D67" t="s">
        <v>25</v>
      </c>
      <c r="E67" t="s">
        <v>36</v>
      </c>
      <c r="F67" t="s">
        <v>27</v>
      </c>
      <c r="G67" t="s">
        <v>72</v>
      </c>
      <c r="H67">
        <v>3</v>
      </c>
      <c r="I67" s="21">
        <v>14007</v>
      </c>
      <c r="J67">
        <v>20</v>
      </c>
      <c r="K67" s="21">
        <v>8404.2000000000007</v>
      </c>
      <c r="L67" s="21">
        <v>33616.800000000003</v>
      </c>
      <c r="M67" s="21">
        <v>21340.94</v>
      </c>
      <c r="N67" s="21">
        <v>12275.86</v>
      </c>
      <c r="O67" t="s">
        <v>60</v>
      </c>
      <c r="P67" s="21">
        <v>1890.21</v>
      </c>
      <c r="Q67" t="s">
        <v>30</v>
      </c>
      <c r="R67" t="s">
        <v>41</v>
      </c>
      <c r="S67">
        <v>2</v>
      </c>
      <c r="T67">
        <v>4</v>
      </c>
      <c r="U67" t="s">
        <v>56</v>
      </c>
      <c r="V67" t="s">
        <v>33</v>
      </c>
      <c r="W67">
        <v>3</v>
      </c>
    </row>
    <row r="68" spans="1:23" x14ac:dyDescent="0.25">
      <c r="A68" t="s">
        <v>208</v>
      </c>
      <c r="B68" s="1">
        <v>45806</v>
      </c>
      <c r="C68" t="s">
        <v>209</v>
      </c>
      <c r="D68" t="s">
        <v>71</v>
      </c>
      <c r="E68" t="s">
        <v>36</v>
      </c>
      <c r="F68" t="s">
        <v>37</v>
      </c>
      <c r="G68" t="s">
        <v>161</v>
      </c>
      <c r="H68">
        <v>1</v>
      </c>
      <c r="I68" s="21">
        <v>39758</v>
      </c>
      <c r="J68">
        <v>0</v>
      </c>
      <c r="K68" s="21">
        <v>0</v>
      </c>
      <c r="L68" s="21">
        <v>39758</v>
      </c>
      <c r="M68" s="21">
        <v>29184.85</v>
      </c>
      <c r="N68" s="21">
        <v>10573.15</v>
      </c>
      <c r="O68" t="s">
        <v>39</v>
      </c>
      <c r="P68" s="21">
        <v>1261.73</v>
      </c>
      <c r="Q68" t="s">
        <v>68</v>
      </c>
      <c r="R68" t="s">
        <v>31</v>
      </c>
      <c r="S68">
        <v>5</v>
      </c>
      <c r="T68">
        <v>5</v>
      </c>
      <c r="U68" t="s">
        <v>32</v>
      </c>
      <c r="V68" t="s">
        <v>42</v>
      </c>
    </row>
    <row r="69" spans="1:23" x14ac:dyDescent="0.25">
      <c r="A69" t="s">
        <v>210</v>
      </c>
      <c r="B69" s="1">
        <v>45698</v>
      </c>
      <c r="C69" t="s">
        <v>211</v>
      </c>
      <c r="D69" t="s">
        <v>71</v>
      </c>
      <c r="E69" t="s">
        <v>26</v>
      </c>
      <c r="F69" t="s">
        <v>27</v>
      </c>
      <c r="G69" t="s">
        <v>72</v>
      </c>
      <c r="H69">
        <v>2</v>
      </c>
      <c r="I69" s="21">
        <v>26936</v>
      </c>
      <c r="J69">
        <v>15</v>
      </c>
      <c r="K69" s="21">
        <v>8080.8</v>
      </c>
      <c r="L69" s="21">
        <v>45791.199999999997</v>
      </c>
      <c r="M69" s="21">
        <v>26099.64</v>
      </c>
      <c r="N69" s="21">
        <v>19691.560000000001</v>
      </c>
      <c r="O69" t="s">
        <v>49</v>
      </c>
      <c r="P69" s="21">
        <v>230.36</v>
      </c>
      <c r="Q69" t="s">
        <v>40</v>
      </c>
      <c r="R69" t="s">
        <v>41</v>
      </c>
      <c r="S69">
        <v>2</v>
      </c>
      <c r="T69">
        <v>4</v>
      </c>
      <c r="U69" t="s">
        <v>32</v>
      </c>
      <c r="V69" t="s">
        <v>42</v>
      </c>
    </row>
    <row r="70" spans="1:23" x14ac:dyDescent="0.25">
      <c r="A70" t="s">
        <v>212</v>
      </c>
      <c r="B70" s="1">
        <v>45777</v>
      </c>
      <c r="C70" t="s">
        <v>213</v>
      </c>
      <c r="D70" t="s">
        <v>25</v>
      </c>
      <c r="E70" t="s">
        <v>36</v>
      </c>
      <c r="F70" t="s">
        <v>27</v>
      </c>
      <c r="G70" t="s">
        <v>28</v>
      </c>
      <c r="H70">
        <v>1</v>
      </c>
      <c r="I70" s="21">
        <v>28697</v>
      </c>
      <c r="J70">
        <v>10</v>
      </c>
      <c r="K70" s="21">
        <v>2869.7</v>
      </c>
      <c r="L70" s="21">
        <v>25827.3</v>
      </c>
      <c r="M70" s="21">
        <v>15364.96</v>
      </c>
      <c r="N70" s="21">
        <v>10462.34</v>
      </c>
      <c r="O70" t="s">
        <v>49</v>
      </c>
      <c r="P70" s="21">
        <v>492.62</v>
      </c>
      <c r="Q70" t="s">
        <v>30</v>
      </c>
      <c r="R70" t="s">
        <v>31</v>
      </c>
      <c r="S70">
        <v>5</v>
      </c>
      <c r="T70">
        <v>4</v>
      </c>
      <c r="U70" t="s">
        <v>32</v>
      </c>
      <c r="V70" t="s">
        <v>42</v>
      </c>
    </row>
    <row r="71" spans="1:23" x14ac:dyDescent="0.25">
      <c r="A71" t="s">
        <v>214</v>
      </c>
      <c r="B71" s="1">
        <v>45709</v>
      </c>
      <c r="C71" t="s">
        <v>215</v>
      </c>
      <c r="D71" t="s">
        <v>90</v>
      </c>
      <c r="E71" t="s">
        <v>46</v>
      </c>
      <c r="F71" t="s">
        <v>86</v>
      </c>
      <c r="G71" t="s">
        <v>127</v>
      </c>
      <c r="H71">
        <v>1</v>
      </c>
      <c r="I71" s="21">
        <v>82089</v>
      </c>
      <c r="J71">
        <v>20</v>
      </c>
      <c r="K71" s="21">
        <v>16417.8</v>
      </c>
      <c r="L71" s="21">
        <v>65671.199999999997</v>
      </c>
      <c r="M71" s="21">
        <v>42752.76</v>
      </c>
      <c r="N71" s="21">
        <v>22918.44</v>
      </c>
      <c r="O71" t="s">
        <v>55</v>
      </c>
      <c r="P71" s="21">
        <v>2494.7199999999998</v>
      </c>
      <c r="Q71" t="s">
        <v>30</v>
      </c>
      <c r="R71" t="s">
        <v>31</v>
      </c>
      <c r="S71">
        <v>5</v>
      </c>
      <c r="T71">
        <v>3</v>
      </c>
      <c r="U71" t="s">
        <v>32</v>
      </c>
      <c r="V71" t="s">
        <v>33</v>
      </c>
      <c r="W71">
        <v>3</v>
      </c>
    </row>
    <row r="72" spans="1:23" x14ac:dyDescent="0.25">
      <c r="A72" t="s">
        <v>216</v>
      </c>
      <c r="B72" s="1">
        <v>45852</v>
      </c>
      <c r="C72" t="s">
        <v>217</v>
      </c>
      <c r="D72" t="s">
        <v>79</v>
      </c>
      <c r="E72" t="s">
        <v>36</v>
      </c>
      <c r="F72" t="s">
        <v>53</v>
      </c>
      <c r="G72" t="s">
        <v>59</v>
      </c>
      <c r="H72">
        <v>2</v>
      </c>
      <c r="I72" s="21">
        <v>54656</v>
      </c>
      <c r="J72">
        <v>25</v>
      </c>
      <c r="K72" s="21">
        <v>27328</v>
      </c>
      <c r="L72" s="21">
        <v>81984</v>
      </c>
      <c r="M72" s="21">
        <v>55781.1</v>
      </c>
      <c r="N72" s="21">
        <v>26202.9</v>
      </c>
      <c r="O72" t="s">
        <v>55</v>
      </c>
      <c r="P72" s="21">
        <v>1860.59</v>
      </c>
      <c r="Q72" t="s">
        <v>30</v>
      </c>
      <c r="R72" t="s">
        <v>31</v>
      </c>
      <c r="S72">
        <v>5</v>
      </c>
      <c r="T72">
        <v>5</v>
      </c>
      <c r="U72" t="s">
        <v>32</v>
      </c>
      <c r="V72" t="s">
        <v>33</v>
      </c>
      <c r="W72">
        <v>4</v>
      </c>
    </row>
    <row r="73" spans="1:23" x14ac:dyDescent="0.25">
      <c r="A73" t="s">
        <v>218</v>
      </c>
      <c r="B73" s="1">
        <v>45800</v>
      </c>
      <c r="C73" t="s">
        <v>219</v>
      </c>
      <c r="D73" t="s">
        <v>90</v>
      </c>
      <c r="E73" t="s">
        <v>46</v>
      </c>
      <c r="F73" t="s">
        <v>86</v>
      </c>
      <c r="G73" t="s">
        <v>180</v>
      </c>
      <c r="H73">
        <v>2</v>
      </c>
      <c r="I73" s="21">
        <v>27542</v>
      </c>
      <c r="J73">
        <v>25</v>
      </c>
      <c r="K73" s="21">
        <v>13771</v>
      </c>
      <c r="L73" s="21">
        <v>41313</v>
      </c>
      <c r="M73" s="21">
        <v>24668.09</v>
      </c>
      <c r="N73" s="21">
        <v>16644.91</v>
      </c>
      <c r="O73" t="s">
        <v>49</v>
      </c>
      <c r="P73" s="21">
        <v>241.87</v>
      </c>
      <c r="Q73" t="s">
        <v>30</v>
      </c>
      <c r="R73" t="s">
        <v>41</v>
      </c>
      <c r="S73">
        <v>2</v>
      </c>
      <c r="T73">
        <v>5</v>
      </c>
      <c r="U73" t="s">
        <v>56</v>
      </c>
      <c r="V73" t="s">
        <v>33</v>
      </c>
      <c r="W73">
        <v>5</v>
      </c>
    </row>
    <row r="74" spans="1:23" x14ac:dyDescent="0.25">
      <c r="A74" t="s">
        <v>220</v>
      </c>
      <c r="B74" s="1">
        <v>45890</v>
      </c>
      <c r="C74" t="s">
        <v>221</v>
      </c>
      <c r="D74" t="s">
        <v>154</v>
      </c>
      <c r="E74" t="s">
        <v>26</v>
      </c>
      <c r="F74" t="s">
        <v>47</v>
      </c>
      <c r="G74" t="s">
        <v>105</v>
      </c>
      <c r="H74">
        <v>1</v>
      </c>
      <c r="I74" s="21">
        <v>47246</v>
      </c>
      <c r="J74">
        <v>15</v>
      </c>
      <c r="K74" s="21">
        <v>7086.9</v>
      </c>
      <c r="L74" s="21">
        <v>40159.1</v>
      </c>
      <c r="M74" s="21">
        <v>22135.759999999998</v>
      </c>
      <c r="N74" s="21">
        <v>18023.34</v>
      </c>
      <c r="O74" t="s">
        <v>49</v>
      </c>
      <c r="P74" s="21">
        <v>388.55</v>
      </c>
      <c r="Q74" t="s">
        <v>83</v>
      </c>
      <c r="R74" t="s">
        <v>31</v>
      </c>
      <c r="S74">
        <v>5</v>
      </c>
      <c r="T74">
        <v>4</v>
      </c>
      <c r="U74" t="s">
        <v>32</v>
      </c>
      <c r="V74" t="s">
        <v>33</v>
      </c>
      <c r="W74">
        <v>3</v>
      </c>
    </row>
    <row r="75" spans="1:23" x14ac:dyDescent="0.25">
      <c r="A75" t="s">
        <v>222</v>
      </c>
      <c r="B75" s="1">
        <v>45983</v>
      </c>
      <c r="C75" t="s">
        <v>223</v>
      </c>
      <c r="D75" t="s">
        <v>154</v>
      </c>
      <c r="E75" t="s">
        <v>46</v>
      </c>
      <c r="F75" t="s">
        <v>37</v>
      </c>
      <c r="G75" t="s">
        <v>224</v>
      </c>
      <c r="H75">
        <v>1</v>
      </c>
      <c r="I75" s="21">
        <v>24539</v>
      </c>
      <c r="J75">
        <v>15</v>
      </c>
      <c r="K75" s="21">
        <v>3680.85</v>
      </c>
      <c r="L75" s="21">
        <v>20858.150000000001</v>
      </c>
      <c r="M75" s="21">
        <v>14914.69</v>
      </c>
      <c r="N75" s="21">
        <v>5943.46</v>
      </c>
      <c r="O75" t="s">
        <v>39</v>
      </c>
      <c r="P75" s="21">
        <v>1009.57</v>
      </c>
      <c r="Q75" t="s">
        <v>30</v>
      </c>
      <c r="R75" t="s">
        <v>31</v>
      </c>
      <c r="S75">
        <v>5</v>
      </c>
      <c r="T75">
        <v>2</v>
      </c>
      <c r="U75" t="s">
        <v>32</v>
      </c>
      <c r="V75" t="s">
        <v>42</v>
      </c>
    </row>
    <row r="76" spans="1:23" x14ac:dyDescent="0.25">
      <c r="A76" t="s">
        <v>225</v>
      </c>
      <c r="B76" s="1">
        <v>45844</v>
      </c>
      <c r="C76" t="s">
        <v>226</v>
      </c>
      <c r="D76" t="s">
        <v>45</v>
      </c>
      <c r="E76" t="s">
        <v>46</v>
      </c>
      <c r="F76" t="s">
        <v>37</v>
      </c>
      <c r="G76" t="s">
        <v>161</v>
      </c>
      <c r="H76">
        <v>1</v>
      </c>
      <c r="I76" s="21">
        <v>15996</v>
      </c>
      <c r="J76">
        <v>10</v>
      </c>
      <c r="K76" s="21">
        <v>1599.6</v>
      </c>
      <c r="L76" s="21">
        <v>14396.4</v>
      </c>
      <c r="M76" s="21">
        <v>10613.43</v>
      </c>
      <c r="N76" s="21">
        <v>3782.97</v>
      </c>
      <c r="O76" t="s">
        <v>29</v>
      </c>
      <c r="P76" s="21">
        <v>1571.78</v>
      </c>
      <c r="Q76" t="s">
        <v>40</v>
      </c>
      <c r="R76" t="s">
        <v>41</v>
      </c>
      <c r="S76">
        <v>2</v>
      </c>
      <c r="T76">
        <v>3</v>
      </c>
      <c r="U76" t="s">
        <v>32</v>
      </c>
      <c r="V76" t="s">
        <v>42</v>
      </c>
    </row>
    <row r="77" spans="1:23" x14ac:dyDescent="0.25">
      <c r="A77" t="s">
        <v>227</v>
      </c>
      <c r="B77" s="1">
        <v>45741</v>
      </c>
      <c r="C77" t="s">
        <v>228</v>
      </c>
      <c r="D77" t="s">
        <v>67</v>
      </c>
      <c r="E77" t="s">
        <v>26</v>
      </c>
      <c r="F77" t="s">
        <v>27</v>
      </c>
      <c r="G77" t="s">
        <v>113</v>
      </c>
      <c r="H77">
        <v>3</v>
      </c>
      <c r="I77" s="21">
        <v>19544</v>
      </c>
      <c r="J77">
        <v>0</v>
      </c>
      <c r="K77" s="21">
        <v>0</v>
      </c>
      <c r="L77" s="21">
        <v>58632</v>
      </c>
      <c r="M77" s="21">
        <v>35209.49</v>
      </c>
      <c r="N77" s="21">
        <v>23422.51</v>
      </c>
      <c r="O77" t="s">
        <v>49</v>
      </c>
      <c r="P77" s="21">
        <v>211.57</v>
      </c>
      <c r="Q77" t="s">
        <v>83</v>
      </c>
      <c r="R77" t="s">
        <v>31</v>
      </c>
      <c r="S77">
        <v>5</v>
      </c>
      <c r="T77">
        <v>6</v>
      </c>
      <c r="U77" t="s">
        <v>56</v>
      </c>
      <c r="V77" t="s">
        <v>33</v>
      </c>
      <c r="W77">
        <v>5</v>
      </c>
    </row>
    <row r="78" spans="1:23" x14ac:dyDescent="0.25">
      <c r="A78" t="s">
        <v>229</v>
      </c>
      <c r="B78" s="1">
        <v>45847</v>
      </c>
      <c r="C78" t="s">
        <v>230</v>
      </c>
      <c r="D78" t="s">
        <v>71</v>
      </c>
      <c r="E78" t="s">
        <v>26</v>
      </c>
      <c r="F78" t="s">
        <v>27</v>
      </c>
      <c r="G78" t="s">
        <v>76</v>
      </c>
      <c r="H78">
        <v>1</v>
      </c>
      <c r="I78" s="21">
        <v>26769</v>
      </c>
      <c r="J78">
        <v>20</v>
      </c>
      <c r="K78" s="21">
        <v>5353.8</v>
      </c>
      <c r="L78" s="21">
        <v>21415.200000000001</v>
      </c>
      <c r="M78" s="21">
        <v>12745.44</v>
      </c>
      <c r="N78" s="21">
        <v>8669.76</v>
      </c>
      <c r="O78" t="s">
        <v>29</v>
      </c>
      <c r="P78" s="21">
        <v>1950.43</v>
      </c>
      <c r="Q78" t="s">
        <v>73</v>
      </c>
      <c r="R78" t="s">
        <v>31</v>
      </c>
      <c r="S78">
        <v>5</v>
      </c>
      <c r="T78">
        <v>6</v>
      </c>
      <c r="U78" t="s">
        <v>32</v>
      </c>
      <c r="V78" t="s">
        <v>42</v>
      </c>
    </row>
    <row r="79" spans="1:23" x14ac:dyDescent="0.25">
      <c r="A79" t="s">
        <v>231</v>
      </c>
      <c r="B79" s="1">
        <v>45839</v>
      </c>
      <c r="C79" t="s">
        <v>115</v>
      </c>
      <c r="D79" t="s">
        <v>97</v>
      </c>
      <c r="E79" t="s">
        <v>46</v>
      </c>
      <c r="F79" t="s">
        <v>53</v>
      </c>
      <c r="G79" t="s">
        <v>59</v>
      </c>
      <c r="H79">
        <v>1</v>
      </c>
      <c r="I79" s="21">
        <v>106323</v>
      </c>
      <c r="J79">
        <v>0</v>
      </c>
      <c r="K79" s="21">
        <v>0</v>
      </c>
      <c r="L79" s="21">
        <v>106323</v>
      </c>
      <c r="M79" s="21">
        <v>66167.990000000005</v>
      </c>
      <c r="N79" s="21">
        <v>40155.01</v>
      </c>
      <c r="O79" t="s">
        <v>39</v>
      </c>
      <c r="P79" s="21">
        <v>2092.0100000000002</v>
      </c>
      <c r="Q79" t="s">
        <v>83</v>
      </c>
      <c r="R79" t="s">
        <v>41</v>
      </c>
      <c r="S79">
        <v>2</v>
      </c>
      <c r="T79">
        <v>4</v>
      </c>
      <c r="U79" t="s">
        <v>32</v>
      </c>
      <c r="V79" t="s">
        <v>42</v>
      </c>
    </row>
    <row r="80" spans="1:23" x14ac:dyDescent="0.25">
      <c r="A80" t="s">
        <v>232</v>
      </c>
      <c r="B80" s="1">
        <v>45765</v>
      </c>
      <c r="C80" t="s">
        <v>233</v>
      </c>
      <c r="D80" t="s">
        <v>71</v>
      </c>
      <c r="E80" t="s">
        <v>26</v>
      </c>
      <c r="F80" t="s">
        <v>27</v>
      </c>
      <c r="G80" t="s">
        <v>28</v>
      </c>
      <c r="H80">
        <v>2</v>
      </c>
      <c r="I80" s="21">
        <v>18236</v>
      </c>
      <c r="J80">
        <v>10</v>
      </c>
      <c r="K80" s="21">
        <v>3647.2</v>
      </c>
      <c r="L80" s="21">
        <v>32824.800000000003</v>
      </c>
      <c r="M80" s="21">
        <v>25695.05</v>
      </c>
      <c r="N80" s="21">
        <v>7129.75</v>
      </c>
      <c r="O80" t="s">
        <v>55</v>
      </c>
      <c r="P80" s="21">
        <v>2486.1</v>
      </c>
      <c r="Q80" t="s">
        <v>68</v>
      </c>
      <c r="R80" t="s">
        <v>41</v>
      </c>
      <c r="S80">
        <v>2</v>
      </c>
      <c r="T80">
        <v>2</v>
      </c>
      <c r="U80" t="s">
        <v>32</v>
      </c>
      <c r="V80" t="s">
        <v>33</v>
      </c>
      <c r="W80">
        <v>5</v>
      </c>
    </row>
    <row r="81" spans="1:23" x14ac:dyDescent="0.25">
      <c r="A81" t="s">
        <v>234</v>
      </c>
      <c r="B81" s="1">
        <v>46001</v>
      </c>
      <c r="C81" t="s">
        <v>235</v>
      </c>
      <c r="E81" t="s">
        <v>46</v>
      </c>
      <c r="F81" t="s">
        <v>47</v>
      </c>
      <c r="G81" t="s">
        <v>64</v>
      </c>
      <c r="H81">
        <v>2</v>
      </c>
      <c r="I81" s="21">
        <v>20541</v>
      </c>
      <c r="J81">
        <v>10</v>
      </c>
      <c r="K81" s="21">
        <v>4108.2</v>
      </c>
      <c r="L81" s="21">
        <v>36973.800000000003</v>
      </c>
      <c r="M81" s="21">
        <v>25649.31</v>
      </c>
      <c r="N81" s="21">
        <v>11324.49</v>
      </c>
      <c r="O81" t="s">
        <v>49</v>
      </c>
      <c r="P81" s="21">
        <v>490.55</v>
      </c>
      <c r="Q81" t="s">
        <v>73</v>
      </c>
      <c r="R81" t="s">
        <v>31</v>
      </c>
      <c r="S81">
        <v>5</v>
      </c>
      <c r="T81">
        <v>2</v>
      </c>
      <c r="U81" t="s">
        <v>32</v>
      </c>
      <c r="V81" t="s">
        <v>42</v>
      </c>
    </row>
    <row r="82" spans="1:23" x14ac:dyDescent="0.25">
      <c r="A82" t="s">
        <v>236</v>
      </c>
      <c r="B82" s="1">
        <v>45794</v>
      </c>
      <c r="C82" t="s">
        <v>237</v>
      </c>
      <c r="D82" t="s">
        <v>97</v>
      </c>
      <c r="E82" t="s">
        <v>36</v>
      </c>
      <c r="F82" t="s">
        <v>86</v>
      </c>
      <c r="G82" t="s">
        <v>110</v>
      </c>
      <c r="H82">
        <v>1</v>
      </c>
      <c r="I82" s="21">
        <v>13770</v>
      </c>
      <c r="J82">
        <v>0</v>
      </c>
      <c r="K82" s="21">
        <v>0</v>
      </c>
      <c r="L82" s="21">
        <v>13770</v>
      </c>
      <c r="M82" s="21">
        <v>8501.7800000000007</v>
      </c>
      <c r="N82" s="21">
        <v>5268.22</v>
      </c>
      <c r="O82" t="s">
        <v>49</v>
      </c>
      <c r="P82" s="21">
        <v>392.66</v>
      </c>
      <c r="Q82" t="s">
        <v>30</v>
      </c>
      <c r="R82" t="s">
        <v>41</v>
      </c>
      <c r="S82">
        <v>2</v>
      </c>
      <c r="T82">
        <v>6</v>
      </c>
      <c r="U82" t="s">
        <v>32</v>
      </c>
      <c r="V82" t="s">
        <v>50</v>
      </c>
      <c r="W82">
        <v>2</v>
      </c>
    </row>
    <row r="83" spans="1:23" x14ac:dyDescent="0.25">
      <c r="A83" t="s">
        <v>238</v>
      </c>
      <c r="B83" s="1">
        <v>46017</v>
      </c>
      <c r="C83" t="s">
        <v>239</v>
      </c>
      <c r="D83" t="s">
        <v>63</v>
      </c>
      <c r="E83" t="s">
        <v>46</v>
      </c>
      <c r="F83" t="s">
        <v>27</v>
      </c>
      <c r="G83" t="s">
        <v>76</v>
      </c>
      <c r="H83">
        <v>1</v>
      </c>
      <c r="I83" s="21">
        <v>20395</v>
      </c>
      <c r="J83">
        <v>10</v>
      </c>
      <c r="K83" s="21">
        <v>2039.5</v>
      </c>
      <c r="L83" s="21">
        <v>18355.5</v>
      </c>
      <c r="M83" s="21">
        <v>12348.99</v>
      </c>
      <c r="N83" s="21">
        <v>6006.51</v>
      </c>
      <c r="O83" t="s">
        <v>49</v>
      </c>
      <c r="P83" s="21">
        <v>51.11</v>
      </c>
      <c r="Q83" t="s">
        <v>83</v>
      </c>
      <c r="R83" t="s">
        <v>41</v>
      </c>
      <c r="S83">
        <v>2</v>
      </c>
      <c r="T83">
        <v>2</v>
      </c>
      <c r="U83" t="s">
        <v>32</v>
      </c>
      <c r="V83" t="s">
        <v>33</v>
      </c>
      <c r="W83">
        <v>5</v>
      </c>
    </row>
    <row r="84" spans="1:23" x14ac:dyDescent="0.25">
      <c r="A84" t="s">
        <v>240</v>
      </c>
      <c r="B84" s="1">
        <v>46007</v>
      </c>
      <c r="C84" t="s">
        <v>241</v>
      </c>
      <c r="D84" t="s">
        <v>97</v>
      </c>
      <c r="E84" t="s">
        <v>46</v>
      </c>
      <c r="F84" t="s">
        <v>27</v>
      </c>
      <c r="G84" t="s">
        <v>72</v>
      </c>
      <c r="H84">
        <v>1</v>
      </c>
      <c r="I84" s="21">
        <v>14079</v>
      </c>
      <c r="J84">
        <v>10</v>
      </c>
      <c r="K84" s="21">
        <v>1407.9</v>
      </c>
      <c r="L84" s="21">
        <v>12671.1</v>
      </c>
      <c r="M84" s="21">
        <v>8841.56</v>
      </c>
      <c r="N84" s="21">
        <v>3829.54</v>
      </c>
      <c r="O84" t="s">
        <v>60</v>
      </c>
      <c r="P84" s="21">
        <v>990.6</v>
      </c>
      <c r="Q84" t="s">
        <v>83</v>
      </c>
      <c r="R84" t="s">
        <v>41</v>
      </c>
      <c r="S84">
        <v>2</v>
      </c>
      <c r="T84">
        <v>4</v>
      </c>
      <c r="U84" t="s">
        <v>56</v>
      </c>
      <c r="V84" t="s">
        <v>33</v>
      </c>
      <c r="W84">
        <v>5</v>
      </c>
    </row>
    <row r="85" spans="1:23" x14ac:dyDescent="0.25">
      <c r="A85" t="s">
        <v>242</v>
      </c>
      <c r="B85" s="1">
        <v>45989</v>
      </c>
      <c r="C85" t="s">
        <v>140</v>
      </c>
      <c r="D85" t="s">
        <v>90</v>
      </c>
      <c r="E85" t="s">
        <v>36</v>
      </c>
      <c r="F85" t="s">
        <v>53</v>
      </c>
      <c r="G85" t="s">
        <v>151</v>
      </c>
      <c r="H85">
        <v>1</v>
      </c>
      <c r="I85" s="21">
        <v>68836</v>
      </c>
      <c r="J85">
        <v>10</v>
      </c>
      <c r="K85" s="21">
        <v>6883.6</v>
      </c>
      <c r="L85" s="21">
        <v>61952.4</v>
      </c>
      <c r="M85" s="21">
        <v>36733.06</v>
      </c>
      <c r="N85" s="21">
        <v>25219.34</v>
      </c>
      <c r="O85" t="s">
        <v>55</v>
      </c>
      <c r="P85" s="21">
        <v>1029</v>
      </c>
      <c r="Q85" t="s">
        <v>83</v>
      </c>
      <c r="R85" t="s">
        <v>31</v>
      </c>
      <c r="S85">
        <v>5</v>
      </c>
      <c r="T85">
        <v>3</v>
      </c>
      <c r="U85" t="s">
        <v>32</v>
      </c>
      <c r="V85" t="s">
        <v>33</v>
      </c>
      <c r="W85">
        <v>5</v>
      </c>
    </row>
    <row r="86" spans="1:23" x14ac:dyDescent="0.25">
      <c r="A86" t="s">
        <v>243</v>
      </c>
      <c r="B86" s="1">
        <v>45694</v>
      </c>
      <c r="C86" t="s">
        <v>66</v>
      </c>
      <c r="D86" t="s">
        <v>71</v>
      </c>
      <c r="E86" t="s">
        <v>46</v>
      </c>
      <c r="F86" t="s">
        <v>86</v>
      </c>
      <c r="G86" t="s">
        <v>87</v>
      </c>
      <c r="H86">
        <v>2</v>
      </c>
      <c r="I86" s="21">
        <v>17953</v>
      </c>
      <c r="J86">
        <v>0</v>
      </c>
      <c r="K86" s="21">
        <v>0</v>
      </c>
      <c r="L86" s="21">
        <v>35906</v>
      </c>
      <c r="M86" s="21">
        <v>21817.34</v>
      </c>
      <c r="N86" s="21">
        <v>14088.66</v>
      </c>
      <c r="O86" t="s">
        <v>49</v>
      </c>
      <c r="P86" s="21">
        <v>151.79</v>
      </c>
      <c r="Q86" t="s">
        <v>30</v>
      </c>
      <c r="R86" t="s">
        <v>31</v>
      </c>
      <c r="S86">
        <v>5</v>
      </c>
      <c r="T86">
        <v>3</v>
      </c>
      <c r="U86" t="s">
        <v>32</v>
      </c>
      <c r="V86" t="s">
        <v>33</v>
      </c>
      <c r="W86">
        <v>5</v>
      </c>
    </row>
    <row r="87" spans="1:23" x14ac:dyDescent="0.25">
      <c r="A87" t="s">
        <v>244</v>
      </c>
      <c r="B87" s="1">
        <v>45969</v>
      </c>
      <c r="C87" t="s">
        <v>245</v>
      </c>
      <c r="D87" t="s">
        <v>79</v>
      </c>
      <c r="E87" t="s">
        <v>26</v>
      </c>
      <c r="F87" t="s">
        <v>53</v>
      </c>
      <c r="G87" t="s">
        <v>151</v>
      </c>
      <c r="H87">
        <v>1</v>
      </c>
      <c r="I87" s="21">
        <v>39008</v>
      </c>
      <c r="J87">
        <v>0</v>
      </c>
      <c r="K87" s="21">
        <v>0</v>
      </c>
      <c r="L87" s="21">
        <v>39008</v>
      </c>
      <c r="M87" s="21">
        <v>24754.67</v>
      </c>
      <c r="N87" s="21">
        <v>14253.33</v>
      </c>
      <c r="O87" t="s">
        <v>60</v>
      </c>
      <c r="P87" s="21">
        <v>1978.96</v>
      </c>
      <c r="Q87" t="s">
        <v>68</v>
      </c>
      <c r="R87" t="s">
        <v>31</v>
      </c>
      <c r="S87">
        <v>5</v>
      </c>
      <c r="T87">
        <v>3</v>
      </c>
      <c r="U87" t="s">
        <v>32</v>
      </c>
      <c r="V87" t="s">
        <v>33</v>
      </c>
      <c r="W87">
        <v>4</v>
      </c>
    </row>
    <row r="88" spans="1:23" x14ac:dyDescent="0.25">
      <c r="A88" t="s">
        <v>246</v>
      </c>
      <c r="B88" s="1">
        <v>45983</v>
      </c>
      <c r="C88" t="s">
        <v>247</v>
      </c>
      <c r="D88" t="s">
        <v>45</v>
      </c>
      <c r="E88" t="s">
        <v>26</v>
      </c>
      <c r="F88" t="s">
        <v>47</v>
      </c>
      <c r="G88" t="s">
        <v>138</v>
      </c>
      <c r="H88">
        <v>1</v>
      </c>
      <c r="I88" s="21">
        <v>54345</v>
      </c>
      <c r="J88">
        <v>15</v>
      </c>
      <c r="K88" s="21">
        <v>8151.75</v>
      </c>
      <c r="L88" s="21">
        <v>46193.25</v>
      </c>
      <c r="M88" s="21">
        <v>33090.1</v>
      </c>
      <c r="N88" s="21">
        <v>13103.15</v>
      </c>
      <c r="O88" t="s">
        <v>55</v>
      </c>
      <c r="P88" s="21">
        <v>2262.16</v>
      </c>
      <c r="Q88" t="s">
        <v>68</v>
      </c>
      <c r="R88" t="s">
        <v>31</v>
      </c>
      <c r="S88">
        <v>5</v>
      </c>
      <c r="T88">
        <v>6</v>
      </c>
      <c r="U88" t="s">
        <v>56</v>
      </c>
      <c r="V88" t="s">
        <v>33</v>
      </c>
      <c r="W88">
        <v>1</v>
      </c>
    </row>
    <row r="89" spans="1:23" x14ac:dyDescent="0.25">
      <c r="A89" t="s">
        <v>248</v>
      </c>
      <c r="B89" s="1">
        <v>45745</v>
      </c>
      <c r="C89" t="s">
        <v>249</v>
      </c>
      <c r="D89" t="s">
        <v>25</v>
      </c>
      <c r="E89" t="s">
        <v>46</v>
      </c>
      <c r="F89" t="s">
        <v>53</v>
      </c>
      <c r="G89" t="s">
        <v>82</v>
      </c>
      <c r="H89">
        <v>1</v>
      </c>
      <c r="I89" s="21">
        <v>45302</v>
      </c>
      <c r="J89">
        <v>0</v>
      </c>
      <c r="K89" s="21">
        <v>0</v>
      </c>
      <c r="L89" s="21">
        <v>45302</v>
      </c>
      <c r="M89" s="21">
        <v>35287.129999999997</v>
      </c>
      <c r="N89" s="21">
        <v>10014.870000000001</v>
      </c>
      <c r="O89" t="s">
        <v>60</v>
      </c>
      <c r="P89" s="21">
        <v>1595.93</v>
      </c>
      <c r="Q89" t="s">
        <v>68</v>
      </c>
      <c r="R89" t="s">
        <v>41</v>
      </c>
      <c r="S89">
        <v>2</v>
      </c>
      <c r="T89">
        <v>1</v>
      </c>
      <c r="U89" t="s">
        <v>32</v>
      </c>
      <c r="V89" t="s">
        <v>50</v>
      </c>
      <c r="W89">
        <v>5</v>
      </c>
    </row>
    <row r="90" spans="1:23" x14ac:dyDescent="0.25">
      <c r="A90" t="s">
        <v>250</v>
      </c>
      <c r="B90" s="1">
        <v>45931</v>
      </c>
      <c r="C90" t="s">
        <v>251</v>
      </c>
      <c r="D90" t="s">
        <v>124</v>
      </c>
      <c r="E90" t="s">
        <v>46</v>
      </c>
      <c r="F90" t="s">
        <v>27</v>
      </c>
      <c r="G90" t="s">
        <v>72</v>
      </c>
      <c r="H90">
        <v>1</v>
      </c>
      <c r="I90" s="21">
        <v>20810</v>
      </c>
      <c r="J90">
        <v>10</v>
      </c>
      <c r="K90" s="21">
        <v>2081</v>
      </c>
      <c r="L90" s="21">
        <v>18729</v>
      </c>
      <c r="M90" s="21">
        <v>15023.65</v>
      </c>
      <c r="N90" s="21">
        <v>3705.35</v>
      </c>
      <c r="O90" t="s">
        <v>60</v>
      </c>
      <c r="P90" s="21">
        <v>2129.64</v>
      </c>
      <c r="Q90" t="s">
        <v>30</v>
      </c>
      <c r="R90" t="s">
        <v>41</v>
      </c>
      <c r="S90">
        <v>2</v>
      </c>
      <c r="T90">
        <v>1</v>
      </c>
      <c r="U90" t="s">
        <v>32</v>
      </c>
      <c r="V90" t="s">
        <v>33</v>
      </c>
      <c r="W90">
        <v>5</v>
      </c>
    </row>
    <row r="91" spans="1:23" x14ac:dyDescent="0.25">
      <c r="A91" t="s">
        <v>252</v>
      </c>
      <c r="B91" s="1">
        <v>45783</v>
      </c>
      <c r="C91" t="s">
        <v>253</v>
      </c>
      <c r="D91" t="s">
        <v>67</v>
      </c>
      <c r="E91" t="s">
        <v>46</v>
      </c>
      <c r="F91" t="s">
        <v>86</v>
      </c>
      <c r="G91" t="s">
        <v>110</v>
      </c>
      <c r="H91">
        <v>1</v>
      </c>
      <c r="I91" s="21">
        <v>11220</v>
      </c>
      <c r="J91">
        <v>25</v>
      </c>
      <c r="K91" s="21">
        <v>2805</v>
      </c>
      <c r="L91" s="21">
        <v>8415</v>
      </c>
      <c r="M91" s="21">
        <v>5279.16</v>
      </c>
      <c r="N91" s="21">
        <v>3135.84</v>
      </c>
      <c r="O91" t="s">
        <v>55</v>
      </c>
      <c r="P91" s="21">
        <v>1125.24</v>
      </c>
      <c r="Q91" t="s">
        <v>40</v>
      </c>
      <c r="R91" t="s">
        <v>41</v>
      </c>
      <c r="S91">
        <v>2</v>
      </c>
      <c r="T91">
        <v>3</v>
      </c>
      <c r="U91" t="s">
        <v>32</v>
      </c>
      <c r="V91" t="s">
        <v>50</v>
      </c>
      <c r="W91">
        <v>5</v>
      </c>
    </row>
    <row r="92" spans="1:23" x14ac:dyDescent="0.25">
      <c r="A92" t="s">
        <v>254</v>
      </c>
      <c r="B92" s="1">
        <v>45741</v>
      </c>
      <c r="C92" t="s">
        <v>255</v>
      </c>
      <c r="D92" t="s">
        <v>63</v>
      </c>
      <c r="E92" t="s">
        <v>46</v>
      </c>
      <c r="F92" t="s">
        <v>37</v>
      </c>
      <c r="G92" t="s">
        <v>38</v>
      </c>
      <c r="H92">
        <v>1</v>
      </c>
      <c r="I92" s="21">
        <v>29606</v>
      </c>
      <c r="J92">
        <v>0</v>
      </c>
      <c r="K92" s="21">
        <v>0</v>
      </c>
      <c r="L92" s="21">
        <v>29606</v>
      </c>
      <c r="M92" s="21">
        <v>18762.68</v>
      </c>
      <c r="N92" s="21">
        <v>10843.32</v>
      </c>
      <c r="O92" t="s">
        <v>55</v>
      </c>
      <c r="P92" s="21">
        <v>762.3</v>
      </c>
      <c r="Q92" t="s">
        <v>30</v>
      </c>
      <c r="R92" t="s">
        <v>31</v>
      </c>
      <c r="S92">
        <v>5</v>
      </c>
      <c r="T92">
        <v>5</v>
      </c>
      <c r="U92" t="s">
        <v>32</v>
      </c>
      <c r="V92" t="s">
        <v>33</v>
      </c>
      <c r="W92">
        <v>1</v>
      </c>
    </row>
    <row r="93" spans="1:23" x14ac:dyDescent="0.25">
      <c r="A93" t="s">
        <v>256</v>
      </c>
      <c r="B93" s="1">
        <v>45894</v>
      </c>
      <c r="C93" t="s">
        <v>257</v>
      </c>
      <c r="D93" t="s">
        <v>63</v>
      </c>
      <c r="E93" t="s">
        <v>26</v>
      </c>
      <c r="F93" t="s">
        <v>53</v>
      </c>
      <c r="G93" t="s">
        <v>54</v>
      </c>
      <c r="H93">
        <v>2</v>
      </c>
      <c r="I93" s="21">
        <v>24655</v>
      </c>
      <c r="J93">
        <v>0</v>
      </c>
      <c r="K93" s="21">
        <v>0</v>
      </c>
      <c r="L93" s="21">
        <v>49310</v>
      </c>
      <c r="M93" s="21">
        <v>33729.589999999997</v>
      </c>
      <c r="N93" s="21">
        <v>15580.41</v>
      </c>
      <c r="O93" t="s">
        <v>49</v>
      </c>
      <c r="P93" s="21">
        <v>217.34</v>
      </c>
      <c r="Q93" t="s">
        <v>73</v>
      </c>
      <c r="R93" t="s">
        <v>41</v>
      </c>
      <c r="S93">
        <v>2</v>
      </c>
      <c r="T93">
        <v>3</v>
      </c>
      <c r="U93" t="s">
        <v>56</v>
      </c>
      <c r="V93" t="s">
        <v>33</v>
      </c>
      <c r="W93">
        <v>2</v>
      </c>
    </row>
    <row r="94" spans="1:23" x14ac:dyDescent="0.25">
      <c r="A94" t="s">
        <v>258</v>
      </c>
      <c r="B94" s="1">
        <v>45852</v>
      </c>
      <c r="C94" t="s">
        <v>259</v>
      </c>
      <c r="D94" t="s">
        <v>71</v>
      </c>
      <c r="E94" t="s">
        <v>26</v>
      </c>
      <c r="F94" t="s">
        <v>53</v>
      </c>
      <c r="G94" t="s">
        <v>151</v>
      </c>
      <c r="H94">
        <v>1</v>
      </c>
      <c r="I94" s="21">
        <v>84582</v>
      </c>
      <c r="J94">
        <v>25</v>
      </c>
      <c r="K94" s="21">
        <v>21145.5</v>
      </c>
      <c r="L94" s="21">
        <v>63436.5</v>
      </c>
      <c r="M94" s="21">
        <v>41058.22</v>
      </c>
      <c r="N94" s="21">
        <v>22378.28</v>
      </c>
      <c r="O94" t="s">
        <v>39</v>
      </c>
      <c r="P94" s="21">
        <v>561.80999999999995</v>
      </c>
      <c r="Q94" t="s">
        <v>83</v>
      </c>
      <c r="R94" t="s">
        <v>31</v>
      </c>
      <c r="S94">
        <v>5</v>
      </c>
      <c r="T94">
        <v>3</v>
      </c>
      <c r="U94" t="s">
        <v>32</v>
      </c>
      <c r="V94" t="s">
        <v>33</v>
      </c>
      <c r="W94">
        <v>3</v>
      </c>
    </row>
    <row r="95" spans="1:23" x14ac:dyDescent="0.25">
      <c r="A95" t="s">
        <v>260</v>
      </c>
      <c r="B95" s="1">
        <v>45796</v>
      </c>
      <c r="C95" t="s">
        <v>261</v>
      </c>
      <c r="D95" t="s">
        <v>97</v>
      </c>
      <c r="E95" t="s">
        <v>46</v>
      </c>
      <c r="F95" t="s">
        <v>37</v>
      </c>
      <c r="G95" t="s">
        <v>224</v>
      </c>
      <c r="H95">
        <v>3</v>
      </c>
      <c r="I95" s="21">
        <v>29098</v>
      </c>
      <c r="J95">
        <v>0</v>
      </c>
      <c r="K95" s="21">
        <v>0</v>
      </c>
      <c r="L95" s="21">
        <v>87294</v>
      </c>
      <c r="M95" s="21">
        <v>52229.7</v>
      </c>
      <c r="N95" s="21">
        <v>35064.300000000003</v>
      </c>
      <c r="O95" t="s">
        <v>55</v>
      </c>
      <c r="P95" s="21">
        <v>940.14</v>
      </c>
      <c r="Q95" t="s">
        <v>30</v>
      </c>
      <c r="R95" t="s">
        <v>41</v>
      </c>
      <c r="S95">
        <v>2</v>
      </c>
      <c r="T95">
        <v>1</v>
      </c>
      <c r="U95" t="s">
        <v>32</v>
      </c>
      <c r="V95" t="s">
        <v>33</v>
      </c>
      <c r="W95">
        <v>2</v>
      </c>
    </row>
    <row r="96" spans="1:23" x14ac:dyDescent="0.25">
      <c r="A96" t="s">
        <v>262</v>
      </c>
      <c r="B96" s="1">
        <v>45985</v>
      </c>
      <c r="C96" t="s">
        <v>263</v>
      </c>
      <c r="D96" t="s">
        <v>45</v>
      </c>
      <c r="E96" t="s">
        <v>46</v>
      </c>
      <c r="F96" t="s">
        <v>86</v>
      </c>
      <c r="G96" t="s">
        <v>94</v>
      </c>
      <c r="H96">
        <v>2</v>
      </c>
      <c r="I96" s="21">
        <v>35253</v>
      </c>
      <c r="J96">
        <v>0</v>
      </c>
      <c r="K96" s="21">
        <v>0</v>
      </c>
      <c r="L96" s="21">
        <v>70506</v>
      </c>
      <c r="M96" s="21">
        <v>56940.75</v>
      </c>
      <c r="N96" s="21">
        <v>13565.25</v>
      </c>
      <c r="O96" t="s">
        <v>39</v>
      </c>
      <c r="P96" s="21">
        <v>849.31</v>
      </c>
      <c r="Q96" t="s">
        <v>73</v>
      </c>
      <c r="R96" t="s">
        <v>41</v>
      </c>
      <c r="S96">
        <v>2</v>
      </c>
      <c r="T96">
        <v>1</v>
      </c>
      <c r="U96" t="s">
        <v>32</v>
      </c>
      <c r="V96" t="s">
        <v>33</v>
      </c>
      <c r="W96">
        <v>5</v>
      </c>
    </row>
    <row r="97" spans="1:23" x14ac:dyDescent="0.25">
      <c r="A97" t="s">
        <v>264</v>
      </c>
      <c r="B97" s="1">
        <v>46010</v>
      </c>
      <c r="C97" t="s">
        <v>265</v>
      </c>
      <c r="D97" t="s">
        <v>67</v>
      </c>
      <c r="E97" t="s">
        <v>46</v>
      </c>
      <c r="F97" t="s">
        <v>86</v>
      </c>
      <c r="G97" t="s">
        <v>180</v>
      </c>
      <c r="H97">
        <v>1</v>
      </c>
      <c r="I97" s="21">
        <v>37795</v>
      </c>
      <c r="J97">
        <v>20</v>
      </c>
      <c r="K97" s="21">
        <v>7559</v>
      </c>
      <c r="L97" s="21">
        <v>30236</v>
      </c>
      <c r="M97" s="21">
        <v>24775.45</v>
      </c>
      <c r="N97" s="21">
        <v>5460.55</v>
      </c>
      <c r="O97" t="s">
        <v>55</v>
      </c>
      <c r="P97" s="21">
        <v>214.67</v>
      </c>
      <c r="Q97" t="s">
        <v>30</v>
      </c>
      <c r="R97" t="s">
        <v>31</v>
      </c>
      <c r="S97">
        <v>5</v>
      </c>
      <c r="T97">
        <v>2</v>
      </c>
      <c r="U97" t="s">
        <v>32</v>
      </c>
      <c r="V97" t="s">
        <v>33</v>
      </c>
      <c r="W97">
        <v>2</v>
      </c>
    </row>
    <row r="98" spans="1:23" x14ac:dyDescent="0.25">
      <c r="A98" t="s">
        <v>266</v>
      </c>
      <c r="B98" s="1">
        <v>45943</v>
      </c>
      <c r="C98" t="s">
        <v>267</v>
      </c>
      <c r="D98" t="s">
        <v>25</v>
      </c>
      <c r="E98" t="s">
        <v>36</v>
      </c>
      <c r="F98" t="s">
        <v>53</v>
      </c>
      <c r="G98" t="s">
        <v>268</v>
      </c>
      <c r="H98">
        <v>3</v>
      </c>
      <c r="I98" s="21">
        <v>52911</v>
      </c>
      <c r="J98">
        <v>0</v>
      </c>
      <c r="K98" s="21">
        <v>0</v>
      </c>
      <c r="L98" s="21">
        <v>158733</v>
      </c>
      <c r="M98" s="21">
        <v>96097.35</v>
      </c>
      <c r="N98" s="21">
        <v>62635.65</v>
      </c>
      <c r="O98" t="s">
        <v>49</v>
      </c>
      <c r="P98" s="21">
        <v>482.53</v>
      </c>
      <c r="Q98" t="s">
        <v>68</v>
      </c>
      <c r="R98" t="s">
        <v>41</v>
      </c>
      <c r="S98">
        <v>2</v>
      </c>
      <c r="T98">
        <v>2</v>
      </c>
      <c r="U98" t="s">
        <v>32</v>
      </c>
      <c r="V98" t="s">
        <v>33</v>
      </c>
      <c r="W98">
        <v>4</v>
      </c>
    </row>
    <row r="99" spans="1:23" x14ac:dyDescent="0.25">
      <c r="A99" t="s">
        <v>269</v>
      </c>
      <c r="B99" s="1">
        <v>45770</v>
      </c>
      <c r="C99" t="s">
        <v>270</v>
      </c>
      <c r="D99" t="s">
        <v>124</v>
      </c>
      <c r="E99" t="s">
        <v>46</v>
      </c>
      <c r="F99" t="s">
        <v>86</v>
      </c>
      <c r="G99" t="s">
        <v>180</v>
      </c>
      <c r="H99">
        <v>3</v>
      </c>
      <c r="I99" s="21">
        <v>82122</v>
      </c>
      <c r="J99">
        <v>0</v>
      </c>
      <c r="K99" s="21">
        <v>0</v>
      </c>
      <c r="L99" s="21">
        <v>246366</v>
      </c>
      <c r="M99" s="21">
        <v>177888.14</v>
      </c>
      <c r="N99" s="21">
        <v>68477.86</v>
      </c>
      <c r="O99" t="s">
        <v>29</v>
      </c>
      <c r="P99" s="21">
        <v>1505.99</v>
      </c>
      <c r="Q99" t="s">
        <v>30</v>
      </c>
      <c r="R99" t="s">
        <v>31</v>
      </c>
      <c r="S99">
        <v>5</v>
      </c>
      <c r="T99">
        <v>5</v>
      </c>
      <c r="U99" t="s">
        <v>32</v>
      </c>
      <c r="V99" t="s">
        <v>33</v>
      </c>
      <c r="W99">
        <v>5</v>
      </c>
    </row>
    <row r="100" spans="1:23" x14ac:dyDescent="0.25">
      <c r="A100" t="s">
        <v>271</v>
      </c>
      <c r="B100" s="1">
        <v>46008</v>
      </c>
      <c r="C100" t="s">
        <v>272</v>
      </c>
      <c r="D100" t="s">
        <v>63</v>
      </c>
      <c r="E100" t="s">
        <v>36</v>
      </c>
      <c r="F100" t="s">
        <v>47</v>
      </c>
      <c r="G100" t="s">
        <v>146</v>
      </c>
      <c r="H100">
        <v>1</v>
      </c>
      <c r="I100" s="21">
        <v>28381</v>
      </c>
      <c r="J100">
        <v>5</v>
      </c>
      <c r="K100" s="21">
        <v>1419.05</v>
      </c>
      <c r="L100" s="21">
        <v>26961.95</v>
      </c>
      <c r="M100" s="21">
        <v>15372.78</v>
      </c>
      <c r="N100" s="21">
        <v>11589.17</v>
      </c>
      <c r="O100" t="s">
        <v>39</v>
      </c>
      <c r="P100" s="21">
        <v>1971.34</v>
      </c>
      <c r="Q100" t="s">
        <v>83</v>
      </c>
      <c r="R100" t="s">
        <v>31</v>
      </c>
      <c r="S100">
        <v>5</v>
      </c>
      <c r="T100">
        <v>5</v>
      </c>
      <c r="U100" t="s">
        <v>32</v>
      </c>
      <c r="V100" t="s">
        <v>33</v>
      </c>
      <c r="W100">
        <v>5</v>
      </c>
    </row>
    <row r="101" spans="1:23" x14ac:dyDescent="0.25">
      <c r="A101" t="s">
        <v>273</v>
      </c>
      <c r="B101" s="1">
        <v>45824</v>
      </c>
      <c r="C101" t="s">
        <v>274</v>
      </c>
      <c r="D101" t="s">
        <v>67</v>
      </c>
      <c r="E101" t="s">
        <v>46</v>
      </c>
      <c r="F101" t="s">
        <v>47</v>
      </c>
      <c r="G101" t="s">
        <v>138</v>
      </c>
      <c r="H101">
        <v>1</v>
      </c>
      <c r="I101" s="21">
        <v>20607</v>
      </c>
      <c r="J101">
        <v>10</v>
      </c>
      <c r="K101" s="21">
        <v>2060.6999999999998</v>
      </c>
      <c r="L101" s="21">
        <v>18546.3</v>
      </c>
      <c r="M101" s="21">
        <v>14469.27</v>
      </c>
      <c r="N101" s="21">
        <v>4077.03</v>
      </c>
      <c r="O101" t="s">
        <v>60</v>
      </c>
      <c r="P101" s="21">
        <v>1777.93</v>
      </c>
      <c r="Q101" t="s">
        <v>40</v>
      </c>
      <c r="R101" t="s">
        <v>31</v>
      </c>
      <c r="S101">
        <v>5</v>
      </c>
      <c r="T101">
        <v>4</v>
      </c>
      <c r="U101" t="s">
        <v>32</v>
      </c>
      <c r="V101" t="s">
        <v>33</v>
      </c>
      <c r="W101">
        <v>5</v>
      </c>
    </row>
    <row r="102" spans="1:23" x14ac:dyDescent="0.25">
      <c r="A102" t="s">
        <v>275</v>
      </c>
      <c r="B102" s="1">
        <v>45686</v>
      </c>
      <c r="C102" t="s">
        <v>276</v>
      </c>
      <c r="D102" t="s">
        <v>154</v>
      </c>
      <c r="E102" t="s">
        <v>26</v>
      </c>
      <c r="F102" t="s">
        <v>53</v>
      </c>
      <c r="G102" t="s">
        <v>268</v>
      </c>
      <c r="H102">
        <v>3</v>
      </c>
      <c r="I102" s="21">
        <v>60936</v>
      </c>
      <c r="J102">
        <v>10</v>
      </c>
      <c r="K102" s="21">
        <v>18280.8</v>
      </c>
      <c r="L102" s="21">
        <v>164527.20000000001</v>
      </c>
      <c r="M102" s="21">
        <v>126920.26</v>
      </c>
      <c r="N102" s="21">
        <v>37606.94</v>
      </c>
      <c r="O102" t="s">
        <v>55</v>
      </c>
      <c r="P102" s="21">
        <v>2165.58</v>
      </c>
      <c r="Q102" t="s">
        <v>40</v>
      </c>
      <c r="R102" t="s">
        <v>31</v>
      </c>
      <c r="S102">
        <v>5</v>
      </c>
      <c r="T102">
        <v>2</v>
      </c>
      <c r="U102" t="s">
        <v>32</v>
      </c>
      <c r="V102" t="s">
        <v>33</v>
      </c>
      <c r="W102">
        <v>4</v>
      </c>
    </row>
    <row r="103" spans="1:23" x14ac:dyDescent="0.25">
      <c r="A103" t="s">
        <v>277</v>
      </c>
      <c r="B103" s="1">
        <v>45775</v>
      </c>
      <c r="C103" t="s">
        <v>278</v>
      </c>
      <c r="D103" t="s">
        <v>67</v>
      </c>
      <c r="E103" t="s">
        <v>36</v>
      </c>
      <c r="F103" t="s">
        <v>37</v>
      </c>
      <c r="G103" t="s">
        <v>161</v>
      </c>
      <c r="H103">
        <v>1</v>
      </c>
      <c r="I103" s="21">
        <v>16984</v>
      </c>
      <c r="J103">
        <v>15</v>
      </c>
      <c r="K103" s="21">
        <v>2547.6</v>
      </c>
      <c r="L103" s="21">
        <v>14436.4</v>
      </c>
      <c r="M103" s="21">
        <v>9390.9500000000007</v>
      </c>
      <c r="N103" s="21">
        <v>5045.45</v>
      </c>
      <c r="O103" t="s">
        <v>55</v>
      </c>
      <c r="P103" s="21">
        <v>795.29</v>
      </c>
      <c r="Q103" t="s">
        <v>83</v>
      </c>
      <c r="R103" t="s">
        <v>31</v>
      </c>
      <c r="S103">
        <v>5</v>
      </c>
      <c r="T103">
        <v>4</v>
      </c>
      <c r="U103" t="s">
        <v>32</v>
      </c>
      <c r="V103" t="s">
        <v>50</v>
      </c>
      <c r="W103">
        <v>5</v>
      </c>
    </row>
    <row r="104" spans="1:23" x14ac:dyDescent="0.25">
      <c r="A104" t="s">
        <v>279</v>
      </c>
      <c r="B104" s="1">
        <v>45674</v>
      </c>
      <c r="C104" t="s">
        <v>280</v>
      </c>
      <c r="D104" t="s">
        <v>67</v>
      </c>
      <c r="E104" t="s">
        <v>46</v>
      </c>
      <c r="F104" t="s">
        <v>53</v>
      </c>
      <c r="G104" t="s">
        <v>151</v>
      </c>
      <c r="H104">
        <v>2</v>
      </c>
      <c r="I104" s="21">
        <v>115022</v>
      </c>
      <c r="J104">
        <v>0</v>
      </c>
      <c r="K104" s="21">
        <v>0</v>
      </c>
      <c r="L104" s="21">
        <v>230044</v>
      </c>
      <c r="M104" s="21">
        <v>136958.32999999999</v>
      </c>
      <c r="N104" s="21">
        <v>93085.67</v>
      </c>
      <c r="O104" t="s">
        <v>91</v>
      </c>
      <c r="P104" s="21">
        <v>1866.19</v>
      </c>
      <c r="Q104" t="s">
        <v>30</v>
      </c>
      <c r="R104" t="s">
        <v>41</v>
      </c>
      <c r="S104">
        <v>2</v>
      </c>
      <c r="T104">
        <v>6</v>
      </c>
      <c r="U104" t="s">
        <v>32</v>
      </c>
      <c r="V104" t="s">
        <v>42</v>
      </c>
    </row>
    <row r="105" spans="1:23" x14ac:dyDescent="0.25">
      <c r="A105" t="s">
        <v>281</v>
      </c>
      <c r="B105" s="1">
        <v>45819</v>
      </c>
      <c r="C105" t="s">
        <v>282</v>
      </c>
      <c r="D105" t="s">
        <v>154</v>
      </c>
      <c r="E105" t="s">
        <v>46</v>
      </c>
      <c r="F105" t="s">
        <v>53</v>
      </c>
      <c r="G105" t="s">
        <v>54</v>
      </c>
      <c r="H105">
        <v>1</v>
      </c>
      <c r="I105" s="21">
        <v>45681</v>
      </c>
      <c r="J105">
        <v>10</v>
      </c>
      <c r="K105" s="21">
        <v>4568.1000000000004</v>
      </c>
      <c r="L105" s="21">
        <v>41112.9</v>
      </c>
      <c r="M105" s="21">
        <v>28150.03</v>
      </c>
      <c r="N105" s="21">
        <v>12962.87</v>
      </c>
      <c r="O105" t="s">
        <v>39</v>
      </c>
      <c r="P105" s="21">
        <v>401.76</v>
      </c>
      <c r="Q105" t="s">
        <v>30</v>
      </c>
      <c r="R105" t="s">
        <v>41</v>
      </c>
      <c r="S105">
        <v>2</v>
      </c>
      <c r="T105">
        <v>0</v>
      </c>
      <c r="U105" t="s">
        <v>32</v>
      </c>
      <c r="V105" t="s">
        <v>42</v>
      </c>
    </row>
    <row r="106" spans="1:23" x14ac:dyDescent="0.25">
      <c r="A106" t="s">
        <v>283</v>
      </c>
      <c r="B106" s="1">
        <v>45863</v>
      </c>
      <c r="C106" t="s">
        <v>284</v>
      </c>
      <c r="D106" t="s">
        <v>97</v>
      </c>
      <c r="E106" t="s">
        <v>26</v>
      </c>
      <c r="F106" t="s">
        <v>47</v>
      </c>
      <c r="G106" t="s">
        <v>105</v>
      </c>
      <c r="H106">
        <v>2</v>
      </c>
      <c r="I106" s="21">
        <v>8279</v>
      </c>
      <c r="J106">
        <v>20</v>
      </c>
      <c r="K106" s="21">
        <v>3311.6</v>
      </c>
      <c r="L106" s="21">
        <v>13246.4</v>
      </c>
      <c r="M106" s="21">
        <v>9233</v>
      </c>
      <c r="N106" s="21">
        <v>4013.4</v>
      </c>
      <c r="O106" t="s">
        <v>91</v>
      </c>
      <c r="P106" s="21">
        <v>1355.5</v>
      </c>
      <c r="Q106" t="s">
        <v>30</v>
      </c>
      <c r="R106" t="s">
        <v>41</v>
      </c>
      <c r="S106">
        <v>2</v>
      </c>
      <c r="T106">
        <v>1</v>
      </c>
      <c r="U106" t="s">
        <v>32</v>
      </c>
      <c r="V106" t="s">
        <v>33</v>
      </c>
      <c r="W106">
        <v>5</v>
      </c>
    </row>
    <row r="107" spans="1:23" x14ac:dyDescent="0.25">
      <c r="A107" t="s">
        <v>285</v>
      </c>
      <c r="B107" s="1">
        <v>45795</v>
      </c>
      <c r="C107" t="s">
        <v>286</v>
      </c>
      <c r="D107" t="s">
        <v>25</v>
      </c>
      <c r="E107" t="s">
        <v>46</v>
      </c>
      <c r="F107" t="s">
        <v>86</v>
      </c>
      <c r="G107" t="s">
        <v>87</v>
      </c>
      <c r="H107">
        <v>3</v>
      </c>
      <c r="I107" s="21">
        <v>13679</v>
      </c>
      <c r="J107">
        <v>25</v>
      </c>
      <c r="K107" s="21">
        <v>10259.25</v>
      </c>
      <c r="L107" s="21">
        <v>30777.75</v>
      </c>
      <c r="M107" s="21">
        <v>19898.03</v>
      </c>
      <c r="N107" s="21">
        <v>10879.72</v>
      </c>
      <c r="O107" t="s">
        <v>29</v>
      </c>
      <c r="P107" s="21">
        <v>430.31</v>
      </c>
      <c r="Q107" t="s">
        <v>68</v>
      </c>
      <c r="R107" t="s">
        <v>31</v>
      </c>
      <c r="S107">
        <v>5</v>
      </c>
      <c r="T107">
        <v>1</v>
      </c>
      <c r="U107" t="s">
        <v>32</v>
      </c>
      <c r="V107" t="s">
        <v>42</v>
      </c>
    </row>
    <row r="108" spans="1:23" x14ac:dyDescent="0.25">
      <c r="A108" t="s">
        <v>287</v>
      </c>
      <c r="B108" s="1">
        <v>45691</v>
      </c>
      <c r="C108" t="s">
        <v>288</v>
      </c>
      <c r="D108" t="s">
        <v>124</v>
      </c>
      <c r="E108" t="s">
        <v>36</v>
      </c>
      <c r="F108" t="s">
        <v>86</v>
      </c>
      <c r="G108" t="s">
        <v>110</v>
      </c>
      <c r="H108">
        <v>2</v>
      </c>
      <c r="I108" s="21">
        <v>29081</v>
      </c>
      <c r="J108">
        <v>10</v>
      </c>
      <c r="K108" s="21">
        <v>5816.2</v>
      </c>
      <c r="L108" s="21">
        <v>52345.8</v>
      </c>
      <c r="M108" s="21">
        <v>41707.800000000003</v>
      </c>
      <c r="N108" s="21">
        <v>10638</v>
      </c>
      <c r="O108" t="s">
        <v>29</v>
      </c>
      <c r="P108" s="21">
        <v>1496.29</v>
      </c>
      <c r="Q108" t="s">
        <v>40</v>
      </c>
      <c r="R108" t="s">
        <v>41</v>
      </c>
      <c r="S108">
        <v>2</v>
      </c>
      <c r="T108">
        <v>5</v>
      </c>
      <c r="U108" t="s">
        <v>56</v>
      </c>
      <c r="V108" t="s">
        <v>33</v>
      </c>
      <c r="W108">
        <v>5</v>
      </c>
    </row>
    <row r="109" spans="1:23" x14ac:dyDescent="0.25">
      <c r="A109" t="s">
        <v>289</v>
      </c>
      <c r="B109" s="1">
        <v>45766</v>
      </c>
      <c r="C109" t="s">
        <v>290</v>
      </c>
      <c r="D109" t="s">
        <v>63</v>
      </c>
      <c r="E109" t="s">
        <v>26</v>
      </c>
      <c r="F109" t="s">
        <v>47</v>
      </c>
      <c r="G109" t="s">
        <v>105</v>
      </c>
      <c r="H109">
        <v>1</v>
      </c>
      <c r="I109" s="21">
        <v>46430</v>
      </c>
      <c r="J109">
        <v>20</v>
      </c>
      <c r="K109" s="21">
        <v>9286</v>
      </c>
      <c r="L109" s="21">
        <v>37144</v>
      </c>
      <c r="M109" s="21">
        <v>20436.05</v>
      </c>
      <c r="N109" s="21">
        <v>16707.95</v>
      </c>
      <c r="O109" t="s">
        <v>91</v>
      </c>
      <c r="P109" s="21">
        <v>500.13</v>
      </c>
      <c r="Q109" t="s">
        <v>68</v>
      </c>
      <c r="R109" t="s">
        <v>31</v>
      </c>
      <c r="S109">
        <v>5</v>
      </c>
      <c r="T109">
        <v>6</v>
      </c>
      <c r="U109" t="s">
        <v>32</v>
      </c>
      <c r="V109" t="s">
        <v>42</v>
      </c>
    </row>
    <row r="110" spans="1:23" x14ac:dyDescent="0.25">
      <c r="A110" t="s">
        <v>291</v>
      </c>
      <c r="B110" s="1">
        <v>45948</v>
      </c>
      <c r="C110" t="s">
        <v>292</v>
      </c>
      <c r="D110" t="s">
        <v>154</v>
      </c>
      <c r="E110" t="s">
        <v>26</v>
      </c>
      <c r="F110" t="s">
        <v>86</v>
      </c>
      <c r="G110" t="s">
        <v>180</v>
      </c>
      <c r="H110">
        <v>1</v>
      </c>
      <c r="I110" s="21">
        <v>53826</v>
      </c>
      <c r="J110">
        <v>15</v>
      </c>
      <c r="K110" s="21">
        <v>8073.9</v>
      </c>
      <c r="L110" s="21">
        <v>45752.1</v>
      </c>
      <c r="M110" s="21">
        <v>32402.76</v>
      </c>
      <c r="N110" s="21">
        <v>13349.34</v>
      </c>
      <c r="O110" t="s">
        <v>29</v>
      </c>
      <c r="P110" s="21">
        <v>513.84</v>
      </c>
      <c r="Q110" t="s">
        <v>68</v>
      </c>
      <c r="R110" t="s">
        <v>41</v>
      </c>
      <c r="S110">
        <v>2</v>
      </c>
      <c r="T110">
        <v>2</v>
      </c>
      <c r="U110" t="s">
        <v>32</v>
      </c>
      <c r="V110" t="s">
        <v>33</v>
      </c>
      <c r="W110">
        <v>3</v>
      </c>
    </row>
    <row r="111" spans="1:23" x14ac:dyDescent="0.25">
      <c r="A111" t="s">
        <v>293</v>
      </c>
      <c r="B111" s="1">
        <v>45819</v>
      </c>
      <c r="C111" t="s">
        <v>294</v>
      </c>
      <c r="D111" t="s">
        <v>154</v>
      </c>
      <c r="E111" t="s">
        <v>36</v>
      </c>
      <c r="F111" t="s">
        <v>27</v>
      </c>
      <c r="G111" t="s">
        <v>113</v>
      </c>
      <c r="H111">
        <v>2</v>
      </c>
      <c r="I111" s="21">
        <v>25308</v>
      </c>
      <c r="J111">
        <v>15</v>
      </c>
      <c r="K111" s="21">
        <v>7592.4</v>
      </c>
      <c r="L111" s="21">
        <v>43023.6</v>
      </c>
      <c r="M111" s="21">
        <v>27227.15</v>
      </c>
      <c r="N111" s="21">
        <v>15796.45</v>
      </c>
      <c r="O111" t="s">
        <v>49</v>
      </c>
      <c r="P111" s="21">
        <v>377.97</v>
      </c>
      <c r="Q111" t="s">
        <v>40</v>
      </c>
      <c r="R111" t="s">
        <v>41</v>
      </c>
      <c r="S111">
        <v>2</v>
      </c>
      <c r="T111">
        <v>1</v>
      </c>
      <c r="U111" t="s">
        <v>32</v>
      </c>
      <c r="V111" t="s">
        <v>50</v>
      </c>
      <c r="W111">
        <v>2</v>
      </c>
    </row>
    <row r="112" spans="1:23" x14ac:dyDescent="0.25">
      <c r="A112" t="s">
        <v>295</v>
      </c>
      <c r="B112" s="1">
        <v>45766</v>
      </c>
      <c r="C112" t="s">
        <v>102</v>
      </c>
      <c r="D112" t="s">
        <v>154</v>
      </c>
      <c r="E112" t="s">
        <v>46</v>
      </c>
      <c r="F112" t="s">
        <v>27</v>
      </c>
      <c r="G112" t="s">
        <v>28</v>
      </c>
      <c r="H112">
        <v>2</v>
      </c>
      <c r="I112" s="21">
        <v>6911</v>
      </c>
      <c r="J112">
        <v>0</v>
      </c>
      <c r="K112" s="21">
        <v>0</v>
      </c>
      <c r="L112" s="21">
        <v>13822</v>
      </c>
      <c r="M112" s="21">
        <v>8838</v>
      </c>
      <c r="N112" s="21">
        <v>4984</v>
      </c>
      <c r="O112" t="s">
        <v>29</v>
      </c>
      <c r="P112" s="21">
        <v>2459.4699999999998</v>
      </c>
      <c r="Q112" t="s">
        <v>68</v>
      </c>
      <c r="R112" t="s">
        <v>31</v>
      </c>
      <c r="S112">
        <v>5</v>
      </c>
      <c r="T112">
        <v>1</v>
      </c>
      <c r="U112" t="s">
        <v>32</v>
      </c>
      <c r="V112" t="s">
        <v>33</v>
      </c>
      <c r="W112">
        <v>3</v>
      </c>
    </row>
    <row r="113" spans="1:23" x14ac:dyDescent="0.25">
      <c r="A113" t="s">
        <v>296</v>
      </c>
      <c r="B113" s="1">
        <v>45993</v>
      </c>
      <c r="C113" t="s">
        <v>297</v>
      </c>
      <c r="D113" t="s">
        <v>90</v>
      </c>
      <c r="E113" t="s">
        <v>46</v>
      </c>
      <c r="F113" t="s">
        <v>53</v>
      </c>
      <c r="G113" t="s">
        <v>59</v>
      </c>
      <c r="H113">
        <v>2</v>
      </c>
      <c r="I113" s="21">
        <v>54938</v>
      </c>
      <c r="J113">
        <v>0</v>
      </c>
      <c r="K113" s="21">
        <v>0</v>
      </c>
      <c r="L113" s="21">
        <v>109876</v>
      </c>
      <c r="M113" s="21">
        <v>71881.210000000006</v>
      </c>
      <c r="N113" s="21">
        <v>37994.79</v>
      </c>
      <c r="O113" t="s">
        <v>39</v>
      </c>
      <c r="P113" s="21">
        <v>1334.09</v>
      </c>
      <c r="Q113" t="s">
        <v>30</v>
      </c>
      <c r="R113" t="s">
        <v>41</v>
      </c>
      <c r="S113">
        <v>2</v>
      </c>
      <c r="T113">
        <v>1</v>
      </c>
      <c r="U113" t="s">
        <v>32</v>
      </c>
      <c r="V113" t="s">
        <v>50</v>
      </c>
      <c r="W113">
        <v>4</v>
      </c>
    </row>
    <row r="114" spans="1:23" x14ac:dyDescent="0.25">
      <c r="A114" t="s">
        <v>298</v>
      </c>
      <c r="B114" s="1">
        <v>45913</v>
      </c>
      <c r="C114" t="s">
        <v>299</v>
      </c>
      <c r="D114" t="s">
        <v>79</v>
      </c>
      <c r="E114" t="s">
        <v>26</v>
      </c>
      <c r="F114" t="s">
        <v>86</v>
      </c>
      <c r="G114" t="s">
        <v>110</v>
      </c>
      <c r="H114">
        <v>2</v>
      </c>
      <c r="I114" s="21">
        <v>35567</v>
      </c>
      <c r="J114">
        <v>0</v>
      </c>
      <c r="K114" s="21">
        <v>0</v>
      </c>
      <c r="L114" s="21">
        <v>71134</v>
      </c>
      <c r="M114" s="21">
        <v>54473.17</v>
      </c>
      <c r="N114" s="21">
        <v>16660.830000000002</v>
      </c>
      <c r="O114" t="s">
        <v>60</v>
      </c>
      <c r="P114" s="21">
        <v>933.05</v>
      </c>
      <c r="Q114" t="s">
        <v>83</v>
      </c>
      <c r="R114" t="s">
        <v>41</v>
      </c>
      <c r="S114">
        <v>2</v>
      </c>
      <c r="T114">
        <v>2</v>
      </c>
      <c r="U114" t="s">
        <v>32</v>
      </c>
      <c r="V114" t="s">
        <v>33</v>
      </c>
      <c r="W114">
        <v>1</v>
      </c>
    </row>
    <row r="115" spans="1:23" x14ac:dyDescent="0.25">
      <c r="A115" t="s">
        <v>300</v>
      </c>
      <c r="B115" s="1">
        <v>45860</v>
      </c>
      <c r="C115" t="s">
        <v>301</v>
      </c>
      <c r="D115" t="s">
        <v>71</v>
      </c>
      <c r="E115" t="s">
        <v>26</v>
      </c>
      <c r="F115" t="s">
        <v>53</v>
      </c>
      <c r="G115" t="s">
        <v>59</v>
      </c>
      <c r="H115">
        <v>1</v>
      </c>
      <c r="I115" s="21">
        <v>21203</v>
      </c>
      <c r="J115">
        <v>0</v>
      </c>
      <c r="K115" s="21">
        <v>0</v>
      </c>
      <c r="L115" s="21">
        <v>21203</v>
      </c>
      <c r="M115" s="21">
        <v>14130.89</v>
      </c>
      <c r="N115" s="21">
        <v>7072.11</v>
      </c>
      <c r="O115" t="s">
        <v>91</v>
      </c>
      <c r="P115" s="21">
        <v>561.34</v>
      </c>
      <c r="Q115" t="s">
        <v>83</v>
      </c>
      <c r="R115" t="s">
        <v>31</v>
      </c>
      <c r="S115">
        <v>5</v>
      </c>
      <c r="T115">
        <v>4</v>
      </c>
      <c r="U115" t="s">
        <v>32</v>
      </c>
      <c r="V115" t="s">
        <v>50</v>
      </c>
      <c r="W115">
        <v>4</v>
      </c>
    </row>
    <row r="116" spans="1:23" x14ac:dyDescent="0.25">
      <c r="A116" t="s">
        <v>302</v>
      </c>
      <c r="B116" s="1">
        <v>45987</v>
      </c>
      <c r="C116" t="s">
        <v>303</v>
      </c>
      <c r="D116" t="s">
        <v>71</v>
      </c>
      <c r="E116" t="s">
        <v>26</v>
      </c>
      <c r="F116" t="s">
        <v>86</v>
      </c>
      <c r="G116" t="s">
        <v>87</v>
      </c>
      <c r="H116">
        <v>3</v>
      </c>
      <c r="I116" s="21">
        <v>42899</v>
      </c>
      <c r="J116">
        <v>0</v>
      </c>
      <c r="K116" s="21">
        <v>0</v>
      </c>
      <c r="L116" s="21">
        <v>128697</v>
      </c>
      <c r="M116" s="21">
        <v>72508.09</v>
      </c>
      <c r="N116" s="21">
        <v>56188.91</v>
      </c>
      <c r="O116" t="s">
        <v>49</v>
      </c>
      <c r="P116" s="21">
        <v>74.53</v>
      </c>
      <c r="Q116" t="s">
        <v>83</v>
      </c>
      <c r="R116" t="s">
        <v>41</v>
      </c>
      <c r="S116">
        <v>2</v>
      </c>
      <c r="T116">
        <v>1</v>
      </c>
      <c r="U116" t="s">
        <v>32</v>
      </c>
      <c r="V116" t="s">
        <v>42</v>
      </c>
    </row>
    <row r="117" spans="1:23" x14ac:dyDescent="0.25">
      <c r="A117" t="s">
        <v>304</v>
      </c>
      <c r="B117" s="1">
        <v>45892</v>
      </c>
      <c r="C117" t="s">
        <v>305</v>
      </c>
      <c r="D117" t="s">
        <v>45</v>
      </c>
      <c r="E117" t="s">
        <v>46</v>
      </c>
      <c r="F117" t="s">
        <v>27</v>
      </c>
      <c r="G117" t="s">
        <v>164</v>
      </c>
      <c r="H117">
        <v>1</v>
      </c>
      <c r="I117" s="21">
        <v>6184</v>
      </c>
      <c r="J117">
        <v>0</v>
      </c>
      <c r="K117" s="21">
        <v>0</v>
      </c>
      <c r="L117" s="21">
        <v>6184</v>
      </c>
      <c r="M117" s="21">
        <v>3916.05</v>
      </c>
      <c r="N117" s="21">
        <v>2267.9499999999998</v>
      </c>
      <c r="O117" t="s">
        <v>60</v>
      </c>
      <c r="P117" s="21">
        <v>2258.2199999999998</v>
      </c>
      <c r="Q117" t="s">
        <v>73</v>
      </c>
      <c r="R117" t="s">
        <v>41</v>
      </c>
      <c r="S117">
        <v>2</v>
      </c>
      <c r="T117">
        <v>2</v>
      </c>
      <c r="U117" t="s">
        <v>32</v>
      </c>
      <c r="V117" t="s">
        <v>33</v>
      </c>
      <c r="W117">
        <v>4</v>
      </c>
    </row>
    <row r="118" spans="1:23" x14ac:dyDescent="0.25">
      <c r="A118" t="s">
        <v>306</v>
      </c>
      <c r="B118" s="1">
        <v>45731</v>
      </c>
      <c r="C118" t="s">
        <v>307</v>
      </c>
      <c r="D118" t="s">
        <v>154</v>
      </c>
      <c r="E118" t="s">
        <v>36</v>
      </c>
      <c r="F118" t="s">
        <v>53</v>
      </c>
      <c r="G118" t="s">
        <v>82</v>
      </c>
      <c r="H118">
        <v>1</v>
      </c>
      <c r="I118" s="21">
        <v>67428</v>
      </c>
      <c r="J118">
        <v>10</v>
      </c>
      <c r="K118" s="21">
        <v>6742.8</v>
      </c>
      <c r="L118" s="21">
        <v>60685.2</v>
      </c>
      <c r="M118" s="21">
        <v>37083.839999999997</v>
      </c>
      <c r="N118" s="21">
        <v>23601.360000000001</v>
      </c>
      <c r="O118" t="s">
        <v>39</v>
      </c>
      <c r="P118" s="21">
        <v>1930.14</v>
      </c>
      <c r="Q118" t="s">
        <v>83</v>
      </c>
      <c r="R118" t="s">
        <v>31</v>
      </c>
      <c r="S118">
        <v>5</v>
      </c>
      <c r="T118">
        <v>4</v>
      </c>
      <c r="U118" t="s">
        <v>32</v>
      </c>
      <c r="V118" t="s">
        <v>33</v>
      </c>
      <c r="W118">
        <v>2</v>
      </c>
    </row>
    <row r="119" spans="1:23" x14ac:dyDescent="0.25">
      <c r="A119" t="s">
        <v>308</v>
      </c>
      <c r="B119" s="1">
        <v>45793</v>
      </c>
      <c r="C119" t="s">
        <v>267</v>
      </c>
      <c r="D119" t="s">
        <v>71</v>
      </c>
      <c r="E119" t="s">
        <v>46</v>
      </c>
      <c r="F119" t="s">
        <v>53</v>
      </c>
      <c r="G119" t="s">
        <v>59</v>
      </c>
      <c r="H119">
        <v>1</v>
      </c>
      <c r="I119" s="21">
        <v>59738</v>
      </c>
      <c r="J119">
        <v>5</v>
      </c>
      <c r="K119" s="21">
        <v>2986.9</v>
      </c>
      <c r="L119" s="21">
        <v>56751.1</v>
      </c>
      <c r="M119" s="21">
        <v>38510.78</v>
      </c>
      <c r="N119" s="21">
        <v>18240.32</v>
      </c>
      <c r="O119" t="s">
        <v>29</v>
      </c>
      <c r="P119" s="21">
        <v>1842.9</v>
      </c>
      <c r="Q119" t="s">
        <v>40</v>
      </c>
      <c r="R119" t="s">
        <v>41</v>
      </c>
      <c r="S119">
        <v>2</v>
      </c>
      <c r="T119">
        <v>1</v>
      </c>
      <c r="U119" t="s">
        <v>32</v>
      </c>
      <c r="V119" t="s">
        <v>33</v>
      </c>
      <c r="W119">
        <v>5</v>
      </c>
    </row>
    <row r="120" spans="1:23" x14ac:dyDescent="0.25">
      <c r="A120" t="s">
        <v>309</v>
      </c>
      <c r="B120" s="1">
        <v>45729</v>
      </c>
      <c r="C120" t="s">
        <v>310</v>
      </c>
      <c r="D120" t="s">
        <v>45</v>
      </c>
      <c r="E120" t="s">
        <v>46</v>
      </c>
      <c r="F120" t="s">
        <v>37</v>
      </c>
      <c r="G120" t="s">
        <v>38</v>
      </c>
      <c r="H120">
        <v>2</v>
      </c>
      <c r="I120" s="21">
        <v>16630</v>
      </c>
      <c r="J120">
        <v>0</v>
      </c>
      <c r="K120" s="21">
        <v>0</v>
      </c>
      <c r="L120" s="21">
        <v>33260</v>
      </c>
      <c r="M120" s="21">
        <v>18676.240000000002</v>
      </c>
      <c r="N120" s="21">
        <v>14583.76</v>
      </c>
      <c r="O120" t="s">
        <v>91</v>
      </c>
      <c r="P120" s="21">
        <v>2493.7199999999998</v>
      </c>
      <c r="Q120" t="s">
        <v>68</v>
      </c>
      <c r="R120" t="s">
        <v>41</v>
      </c>
      <c r="S120">
        <v>2</v>
      </c>
      <c r="T120">
        <v>4</v>
      </c>
      <c r="U120" t="s">
        <v>56</v>
      </c>
      <c r="V120" t="s">
        <v>33</v>
      </c>
      <c r="W120">
        <v>2</v>
      </c>
    </row>
    <row r="121" spans="1:23" x14ac:dyDescent="0.25">
      <c r="A121" t="s">
        <v>311</v>
      </c>
      <c r="B121" s="1">
        <v>45784</v>
      </c>
      <c r="C121" t="s">
        <v>312</v>
      </c>
      <c r="D121" t="s">
        <v>79</v>
      </c>
      <c r="E121" t="s">
        <v>46</v>
      </c>
      <c r="F121" t="s">
        <v>37</v>
      </c>
      <c r="G121" t="s">
        <v>313</v>
      </c>
      <c r="H121">
        <v>1</v>
      </c>
      <c r="I121" s="21">
        <v>4810</v>
      </c>
      <c r="J121">
        <v>25</v>
      </c>
      <c r="K121" s="21">
        <v>1202.5</v>
      </c>
      <c r="L121" s="21">
        <v>3607.5</v>
      </c>
      <c r="M121" s="21">
        <v>2745.51</v>
      </c>
      <c r="N121" s="21">
        <v>861.99</v>
      </c>
      <c r="O121" t="s">
        <v>55</v>
      </c>
      <c r="P121" s="21">
        <v>540.86</v>
      </c>
      <c r="Q121" t="s">
        <v>40</v>
      </c>
      <c r="R121" t="s">
        <v>41</v>
      </c>
      <c r="S121">
        <v>2</v>
      </c>
      <c r="T121">
        <v>3</v>
      </c>
      <c r="U121" t="s">
        <v>56</v>
      </c>
      <c r="V121" t="s">
        <v>33</v>
      </c>
      <c r="W121">
        <v>2</v>
      </c>
    </row>
    <row r="122" spans="1:23" x14ac:dyDescent="0.25">
      <c r="A122" t="s">
        <v>314</v>
      </c>
      <c r="B122" s="1">
        <v>45945</v>
      </c>
      <c r="C122" t="s">
        <v>215</v>
      </c>
      <c r="D122" t="s">
        <v>45</v>
      </c>
      <c r="E122" t="s">
        <v>26</v>
      </c>
      <c r="F122" t="s">
        <v>37</v>
      </c>
      <c r="G122" t="s">
        <v>224</v>
      </c>
      <c r="H122">
        <v>3</v>
      </c>
      <c r="I122" s="21">
        <v>35823</v>
      </c>
      <c r="J122">
        <v>20</v>
      </c>
      <c r="K122" s="21">
        <v>21493.8</v>
      </c>
      <c r="L122" s="21">
        <v>85975.2</v>
      </c>
      <c r="M122" s="21">
        <v>48156.06</v>
      </c>
      <c r="N122" s="21">
        <v>37819.14</v>
      </c>
      <c r="O122" t="s">
        <v>55</v>
      </c>
      <c r="P122" s="21">
        <v>1621.96</v>
      </c>
      <c r="Q122" t="s">
        <v>30</v>
      </c>
      <c r="R122" t="s">
        <v>41</v>
      </c>
      <c r="S122">
        <v>2</v>
      </c>
      <c r="T122">
        <v>3</v>
      </c>
      <c r="U122" t="s">
        <v>56</v>
      </c>
      <c r="V122" t="s">
        <v>33</v>
      </c>
      <c r="W122">
        <v>2</v>
      </c>
    </row>
    <row r="123" spans="1:23" x14ac:dyDescent="0.25">
      <c r="A123" t="s">
        <v>315</v>
      </c>
      <c r="B123" s="1">
        <v>45933</v>
      </c>
      <c r="C123" t="s">
        <v>316</v>
      </c>
      <c r="D123" t="s">
        <v>124</v>
      </c>
      <c r="E123" t="s">
        <v>26</v>
      </c>
      <c r="F123" t="s">
        <v>53</v>
      </c>
      <c r="G123" t="s">
        <v>54</v>
      </c>
      <c r="H123">
        <v>3</v>
      </c>
      <c r="I123" s="21">
        <v>57816</v>
      </c>
      <c r="J123">
        <v>10</v>
      </c>
      <c r="K123" s="21">
        <v>17344.8</v>
      </c>
      <c r="L123" s="21">
        <v>156103.20000000001</v>
      </c>
      <c r="M123" s="21">
        <v>97672.77</v>
      </c>
      <c r="N123" s="21">
        <v>58430.43</v>
      </c>
      <c r="O123" t="s">
        <v>55</v>
      </c>
      <c r="P123" s="21">
        <v>724.3</v>
      </c>
      <c r="Q123" t="s">
        <v>73</v>
      </c>
      <c r="R123" t="s">
        <v>31</v>
      </c>
      <c r="S123">
        <v>5</v>
      </c>
      <c r="T123">
        <v>3</v>
      </c>
      <c r="U123" t="s">
        <v>32</v>
      </c>
      <c r="V123" t="s">
        <v>33</v>
      </c>
      <c r="W123">
        <v>5</v>
      </c>
    </row>
    <row r="124" spans="1:23" x14ac:dyDescent="0.25">
      <c r="A124" t="s">
        <v>317</v>
      </c>
      <c r="B124" s="1">
        <v>45792</v>
      </c>
      <c r="C124" t="s">
        <v>318</v>
      </c>
      <c r="D124" t="s">
        <v>71</v>
      </c>
      <c r="E124" t="s">
        <v>26</v>
      </c>
      <c r="F124" t="s">
        <v>27</v>
      </c>
      <c r="G124" t="s">
        <v>72</v>
      </c>
      <c r="H124">
        <v>1</v>
      </c>
      <c r="I124" s="21">
        <v>28387</v>
      </c>
      <c r="J124">
        <v>10</v>
      </c>
      <c r="K124" s="21">
        <v>2838.7</v>
      </c>
      <c r="L124" s="21">
        <v>25548.3</v>
      </c>
      <c r="M124" s="21">
        <v>19714.98</v>
      </c>
      <c r="N124" s="21">
        <v>5833.32</v>
      </c>
      <c r="O124" t="s">
        <v>29</v>
      </c>
      <c r="P124" s="21">
        <v>915.58</v>
      </c>
      <c r="Q124" t="s">
        <v>40</v>
      </c>
      <c r="R124" t="s">
        <v>31</v>
      </c>
      <c r="S124">
        <v>5</v>
      </c>
      <c r="T124">
        <v>0</v>
      </c>
      <c r="U124" t="s">
        <v>32</v>
      </c>
      <c r="V124" t="s">
        <v>42</v>
      </c>
    </row>
    <row r="125" spans="1:23" x14ac:dyDescent="0.25">
      <c r="A125" t="s">
        <v>319</v>
      </c>
      <c r="B125" s="1">
        <v>45957</v>
      </c>
      <c r="C125" t="s">
        <v>320</v>
      </c>
      <c r="D125" t="s">
        <v>45</v>
      </c>
      <c r="E125" t="s">
        <v>46</v>
      </c>
      <c r="F125" t="s">
        <v>27</v>
      </c>
      <c r="G125" t="s">
        <v>76</v>
      </c>
      <c r="H125">
        <v>3</v>
      </c>
      <c r="I125" s="21">
        <v>4583</v>
      </c>
      <c r="J125">
        <v>0</v>
      </c>
      <c r="K125" s="21">
        <v>0</v>
      </c>
      <c r="L125" s="21">
        <v>13749</v>
      </c>
      <c r="M125" s="21">
        <v>10969.89</v>
      </c>
      <c r="N125" s="21">
        <v>2779.11</v>
      </c>
      <c r="O125" t="s">
        <v>55</v>
      </c>
      <c r="P125" s="21">
        <v>2094.06</v>
      </c>
      <c r="Q125" t="s">
        <v>40</v>
      </c>
      <c r="R125" t="s">
        <v>31</v>
      </c>
      <c r="S125">
        <v>5</v>
      </c>
      <c r="T125">
        <v>2</v>
      </c>
      <c r="U125" t="s">
        <v>32</v>
      </c>
      <c r="V125" t="s">
        <v>50</v>
      </c>
      <c r="W125">
        <v>3</v>
      </c>
    </row>
    <row r="126" spans="1:23" x14ac:dyDescent="0.25">
      <c r="A126" t="s">
        <v>321</v>
      </c>
      <c r="B126" s="1">
        <v>45877</v>
      </c>
      <c r="C126" t="s">
        <v>322</v>
      </c>
      <c r="D126" t="s">
        <v>124</v>
      </c>
      <c r="E126" t="s">
        <v>26</v>
      </c>
      <c r="F126" t="s">
        <v>27</v>
      </c>
      <c r="G126" t="s">
        <v>164</v>
      </c>
      <c r="H126">
        <v>1</v>
      </c>
      <c r="I126" s="21">
        <v>14960</v>
      </c>
      <c r="J126">
        <v>0</v>
      </c>
      <c r="K126" s="21">
        <v>0</v>
      </c>
      <c r="L126" s="21">
        <v>14960</v>
      </c>
      <c r="M126" s="21">
        <v>11611.45</v>
      </c>
      <c r="N126" s="21">
        <v>3348.55</v>
      </c>
      <c r="O126" t="s">
        <v>39</v>
      </c>
      <c r="P126" s="21">
        <v>263.14</v>
      </c>
      <c r="Q126" t="s">
        <v>83</v>
      </c>
      <c r="R126" t="s">
        <v>31</v>
      </c>
      <c r="S126">
        <v>5</v>
      </c>
      <c r="T126">
        <v>6</v>
      </c>
      <c r="U126" t="s">
        <v>56</v>
      </c>
      <c r="V126" t="s">
        <v>33</v>
      </c>
      <c r="W126">
        <v>3</v>
      </c>
    </row>
    <row r="127" spans="1:23" x14ac:dyDescent="0.25">
      <c r="A127" t="s">
        <v>323</v>
      </c>
      <c r="B127" s="1">
        <v>45956</v>
      </c>
      <c r="C127" t="s">
        <v>324</v>
      </c>
      <c r="D127" t="s">
        <v>124</v>
      </c>
      <c r="E127" t="s">
        <v>46</v>
      </c>
      <c r="F127" t="s">
        <v>47</v>
      </c>
      <c r="G127" t="s">
        <v>64</v>
      </c>
      <c r="H127">
        <v>1</v>
      </c>
      <c r="I127" s="21">
        <v>33837</v>
      </c>
      <c r="J127">
        <v>20</v>
      </c>
      <c r="K127" s="21">
        <v>6767.4</v>
      </c>
      <c r="L127" s="21">
        <v>27069.599999999999</v>
      </c>
      <c r="M127" s="21">
        <v>21550.36</v>
      </c>
      <c r="N127" s="21">
        <v>5519.24</v>
      </c>
      <c r="O127" t="s">
        <v>49</v>
      </c>
      <c r="P127" s="21">
        <v>53.81</v>
      </c>
      <c r="Q127" t="s">
        <v>73</v>
      </c>
      <c r="R127" t="s">
        <v>31</v>
      </c>
      <c r="S127">
        <v>5</v>
      </c>
      <c r="T127">
        <v>4</v>
      </c>
      <c r="U127" t="s">
        <v>32</v>
      </c>
      <c r="V127" t="s">
        <v>50</v>
      </c>
      <c r="W127">
        <v>5</v>
      </c>
    </row>
    <row r="128" spans="1:23" x14ac:dyDescent="0.25">
      <c r="A128" t="s">
        <v>325</v>
      </c>
      <c r="B128" s="1">
        <v>45862</v>
      </c>
      <c r="C128" t="s">
        <v>99</v>
      </c>
      <c r="D128" t="s">
        <v>71</v>
      </c>
      <c r="E128" t="s">
        <v>36</v>
      </c>
      <c r="F128" t="s">
        <v>37</v>
      </c>
      <c r="G128" t="s">
        <v>313</v>
      </c>
      <c r="H128">
        <v>1</v>
      </c>
      <c r="I128" s="21">
        <v>38120</v>
      </c>
      <c r="J128">
        <v>15</v>
      </c>
      <c r="K128" s="21">
        <v>5718</v>
      </c>
      <c r="L128" s="21">
        <v>32402</v>
      </c>
      <c r="M128" s="21">
        <v>22934.51</v>
      </c>
      <c r="N128" s="21">
        <v>9467.49</v>
      </c>
      <c r="O128" t="s">
        <v>60</v>
      </c>
      <c r="P128" s="21">
        <v>1688.89</v>
      </c>
      <c r="Q128" t="s">
        <v>40</v>
      </c>
      <c r="R128" t="s">
        <v>41</v>
      </c>
      <c r="S128">
        <v>2</v>
      </c>
      <c r="T128">
        <v>1</v>
      </c>
      <c r="U128" t="s">
        <v>32</v>
      </c>
      <c r="V128" t="s">
        <v>33</v>
      </c>
      <c r="W128">
        <v>5</v>
      </c>
    </row>
    <row r="129" spans="1:23" x14ac:dyDescent="0.25">
      <c r="A129" t="s">
        <v>326</v>
      </c>
      <c r="B129" s="1">
        <v>45843</v>
      </c>
      <c r="C129" t="s">
        <v>327</v>
      </c>
      <c r="D129" t="s">
        <v>67</v>
      </c>
      <c r="E129" t="s">
        <v>46</v>
      </c>
      <c r="F129" t="s">
        <v>86</v>
      </c>
      <c r="G129" t="s">
        <v>94</v>
      </c>
      <c r="H129">
        <v>1</v>
      </c>
      <c r="I129" s="21">
        <v>40229</v>
      </c>
      <c r="J129">
        <v>5</v>
      </c>
      <c r="K129" s="21">
        <v>2011.45</v>
      </c>
      <c r="L129" s="21">
        <v>38217.550000000003</v>
      </c>
      <c r="M129" s="21">
        <v>22566.73</v>
      </c>
      <c r="N129" s="21">
        <v>15650.82</v>
      </c>
      <c r="O129" t="s">
        <v>55</v>
      </c>
      <c r="P129" s="21">
        <v>2171.83</v>
      </c>
      <c r="Q129" t="s">
        <v>40</v>
      </c>
      <c r="R129" t="s">
        <v>31</v>
      </c>
      <c r="S129">
        <v>5</v>
      </c>
      <c r="T129">
        <v>3</v>
      </c>
      <c r="U129" t="s">
        <v>32</v>
      </c>
      <c r="V129" t="s">
        <v>33</v>
      </c>
      <c r="W129">
        <v>5</v>
      </c>
    </row>
    <row r="130" spans="1:23" x14ac:dyDescent="0.25">
      <c r="A130" t="s">
        <v>328</v>
      </c>
      <c r="B130" s="1">
        <v>45770</v>
      </c>
      <c r="C130" t="s">
        <v>329</v>
      </c>
      <c r="D130" t="s">
        <v>90</v>
      </c>
      <c r="E130" t="s">
        <v>26</v>
      </c>
      <c r="F130" t="s">
        <v>27</v>
      </c>
      <c r="G130" t="s">
        <v>72</v>
      </c>
      <c r="H130">
        <v>1</v>
      </c>
      <c r="I130" s="21">
        <v>27641</v>
      </c>
      <c r="J130">
        <v>5</v>
      </c>
      <c r="K130" s="21">
        <v>1382.05</v>
      </c>
      <c r="L130" s="21">
        <v>26258.95</v>
      </c>
      <c r="M130" s="21">
        <v>16875.45</v>
      </c>
      <c r="N130" s="21">
        <v>9383.5</v>
      </c>
      <c r="O130" t="s">
        <v>49</v>
      </c>
      <c r="P130" s="21">
        <v>337.24</v>
      </c>
      <c r="Q130" t="s">
        <v>30</v>
      </c>
      <c r="R130" t="s">
        <v>31</v>
      </c>
      <c r="S130">
        <v>5</v>
      </c>
      <c r="T130">
        <v>5</v>
      </c>
      <c r="U130" t="s">
        <v>32</v>
      </c>
      <c r="V130" t="s">
        <v>50</v>
      </c>
      <c r="W130">
        <v>5</v>
      </c>
    </row>
    <row r="131" spans="1:23" x14ac:dyDescent="0.25">
      <c r="A131" t="s">
        <v>330</v>
      </c>
      <c r="B131" s="1">
        <v>45728</v>
      </c>
      <c r="C131" t="s">
        <v>219</v>
      </c>
      <c r="D131" t="s">
        <v>154</v>
      </c>
      <c r="E131" t="s">
        <v>36</v>
      </c>
      <c r="F131" t="s">
        <v>86</v>
      </c>
      <c r="G131" t="s">
        <v>110</v>
      </c>
      <c r="H131">
        <v>1</v>
      </c>
      <c r="I131" s="21">
        <v>22769</v>
      </c>
      <c r="J131">
        <v>25</v>
      </c>
      <c r="K131" s="21">
        <v>5692.25</v>
      </c>
      <c r="L131" s="21">
        <v>17076.75</v>
      </c>
      <c r="M131" s="21">
        <v>12909.82</v>
      </c>
      <c r="N131" s="21">
        <v>4166.93</v>
      </c>
      <c r="O131" t="s">
        <v>49</v>
      </c>
      <c r="P131" s="21">
        <v>90.18</v>
      </c>
      <c r="Q131" t="s">
        <v>73</v>
      </c>
      <c r="R131" t="s">
        <v>41</v>
      </c>
      <c r="S131">
        <v>2</v>
      </c>
      <c r="T131">
        <v>1</v>
      </c>
      <c r="U131" t="s">
        <v>32</v>
      </c>
      <c r="V131" t="s">
        <v>33</v>
      </c>
      <c r="W131">
        <v>5</v>
      </c>
    </row>
    <row r="132" spans="1:23" x14ac:dyDescent="0.25">
      <c r="A132" t="s">
        <v>331</v>
      </c>
      <c r="B132" s="1">
        <v>45918</v>
      </c>
      <c r="C132" t="s">
        <v>332</v>
      </c>
      <c r="D132" t="s">
        <v>25</v>
      </c>
      <c r="E132" t="s">
        <v>46</v>
      </c>
      <c r="F132" t="s">
        <v>47</v>
      </c>
      <c r="G132" t="s">
        <v>48</v>
      </c>
      <c r="H132">
        <v>1</v>
      </c>
      <c r="I132" s="21">
        <v>37837</v>
      </c>
      <c r="J132">
        <v>20</v>
      </c>
      <c r="K132" s="21">
        <v>7567.4</v>
      </c>
      <c r="L132" s="21">
        <v>30269.599999999999</v>
      </c>
      <c r="M132" s="21">
        <v>23917.37</v>
      </c>
      <c r="N132" s="21">
        <v>6352.23</v>
      </c>
      <c r="O132" t="s">
        <v>39</v>
      </c>
      <c r="P132" s="21">
        <v>1765.6</v>
      </c>
      <c r="Q132" t="s">
        <v>40</v>
      </c>
      <c r="R132" t="s">
        <v>31</v>
      </c>
      <c r="S132">
        <v>5</v>
      </c>
      <c r="T132">
        <v>6</v>
      </c>
      <c r="U132" t="s">
        <v>32</v>
      </c>
      <c r="V132" t="s">
        <v>42</v>
      </c>
    </row>
    <row r="133" spans="1:23" x14ac:dyDescent="0.25">
      <c r="A133" t="s">
        <v>333</v>
      </c>
      <c r="B133" s="1">
        <v>45910</v>
      </c>
      <c r="C133" t="s">
        <v>251</v>
      </c>
      <c r="D133" t="s">
        <v>154</v>
      </c>
      <c r="E133" t="s">
        <v>36</v>
      </c>
      <c r="F133" t="s">
        <v>86</v>
      </c>
      <c r="G133" t="s">
        <v>127</v>
      </c>
      <c r="H133">
        <v>1</v>
      </c>
      <c r="I133" s="21">
        <v>24772</v>
      </c>
      <c r="J133">
        <v>0</v>
      </c>
      <c r="K133" s="21">
        <v>0</v>
      </c>
      <c r="L133" s="21">
        <v>24772</v>
      </c>
      <c r="M133" s="21">
        <v>16885.759999999998</v>
      </c>
      <c r="N133" s="21">
        <v>7886.24</v>
      </c>
      <c r="O133" t="s">
        <v>91</v>
      </c>
      <c r="P133" s="21">
        <v>333.43</v>
      </c>
      <c r="Q133" t="s">
        <v>30</v>
      </c>
      <c r="R133" t="s">
        <v>31</v>
      </c>
      <c r="S133">
        <v>5</v>
      </c>
      <c r="T133">
        <v>2</v>
      </c>
      <c r="U133" t="s">
        <v>32</v>
      </c>
      <c r="V133" t="s">
        <v>50</v>
      </c>
      <c r="W133">
        <v>5</v>
      </c>
    </row>
    <row r="134" spans="1:23" x14ac:dyDescent="0.25">
      <c r="A134" t="s">
        <v>334</v>
      </c>
      <c r="B134" s="1">
        <v>45704</v>
      </c>
      <c r="C134" t="s">
        <v>335</v>
      </c>
      <c r="D134" t="s">
        <v>45</v>
      </c>
      <c r="E134" t="s">
        <v>26</v>
      </c>
      <c r="F134" t="s">
        <v>86</v>
      </c>
      <c r="G134" t="s">
        <v>87</v>
      </c>
      <c r="H134">
        <v>2</v>
      </c>
      <c r="I134" s="21">
        <v>62847</v>
      </c>
      <c r="J134">
        <v>15</v>
      </c>
      <c r="K134" s="21">
        <v>18854.099999999999</v>
      </c>
      <c r="L134" s="21">
        <v>106839.9</v>
      </c>
      <c r="M134" s="21">
        <v>71137.94</v>
      </c>
      <c r="N134" s="21">
        <v>35701.96</v>
      </c>
      <c r="O134" t="s">
        <v>91</v>
      </c>
      <c r="P134" s="21">
        <v>286.77</v>
      </c>
      <c r="Q134" t="s">
        <v>68</v>
      </c>
      <c r="R134" t="s">
        <v>41</v>
      </c>
      <c r="S134">
        <v>2</v>
      </c>
      <c r="T134">
        <v>1</v>
      </c>
      <c r="U134" t="s">
        <v>32</v>
      </c>
      <c r="V134" t="s">
        <v>33</v>
      </c>
      <c r="W134">
        <v>1</v>
      </c>
    </row>
    <row r="135" spans="1:23" x14ac:dyDescent="0.25">
      <c r="A135" t="s">
        <v>336</v>
      </c>
      <c r="B135" s="1">
        <v>45682</v>
      </c>
      <c r="C135" t="s">
        <v>337</v>
      </c>
      <c r="D135" t="s">
        <v>97</v>
      </c>
      <c r="E135" t="s">
        <v>46</v>
      </c>
      <c r="F135" t="s">
        <v>86</v>
      </c>
      <c r="G135" t="s">
        <v>180</v>
      </c>
      <c r="H135">
        <v>1</v>
      </c>
      <c r="I135" s="21">
        <v>35657</v>
      </c>
      <c r="J135">
        <v>10</v>
      </c>
      <c r="K135" s="21">
        <v>3565.7</v>
      </c>
      <c r="L135" s="21">
        <v>32091.3</v>
      </c>
      <c r="M135" s="21">
        <v>18767.36</v>
      </c>
      <c r="N135" s="21">
        <v>13323.94</v>
      </c>
      <c r="O135" t="s">
        <v>91</v>
      </c>
      <c r="P135" s="21">
        <v>350.16</v>
      </c>
      <c r="Q135" t="s">
        <v>83</v>
      </c>
      <c r="R135" t="s">
        <v>41</v>
      </c>
      <c r="S135">
        <v>2</v>
      </c>
      <c r="T135">
        <v>2</v>
      </c>
      <c r="U135" t="s">
        <v>32</v>
      </c>
      <c r="V135" t="s">
        <v>33</v>
      </c>
      <c r="W135">
        <v>2</v>
      </c>
    </row>
    <row r="136" spans="1:23" x14ac:dyDescent="0.25">
      <c r="A136" t="s">
        <v>338</v>
      </c>
      <c r="B136" s="1">
        <v>45714</v>
      </c>
      <c r="C136" t="s">
        <v>339</v>
      </c>
      <c r="D136" t="s">
        <v>97</v>
      </c>
      <c r="E136" t="s">
        <v>26</v>
      </c>
      <c r="F136" t="s">
        <v>86</v>
      </c>
      <c r="G136" t="s">
        <v>94</v>
      </c>
      <c r="H136">
        <v>1</v>
      </c>
      <c r="I136" s="21">
        <v>50922</v>
      </c>
      <c r="J136">
        <v>5</v>
      </c>
      <c r="K136" s="21">
        <v>2546.1</v>
      </c>
      <c r="L136" s="21">
        <v>48375.9</v>
      </c>
      <c r="M136" s="21">
        <v>28760.37</v>
      </c>
      <c r="N136" s="21">
        <v>19615.53</v>
      </c>
      <c r="O136" t="s">
        <v>29</v>
      </c>
      <c r="P136" s="21">
        <v>715.94</v>
      </c>
      <c r="Q136" t="s">
        <v>68</v>
      </c>
      <c r="R136" t="s">
        <v>31</v>
      </c>
      <c r="S136">
        <v>5</v>
      </c>
      <c r="T136">
        <v>3</v>
      </c>
      <c r="U136" t="s">
        <v>32</v>
      </c>
      <c r="V136" t="s">
        <v>33</v>
      </c>
      <c r="W136">
        <v>2</v>
      </c>
    </row>
    <row r="137" spans="1:23" x14ac:dyDescent="0.25">
      <c r="A137" t="s">
        <v>340</v>
      </c>
      <c r="B137" s="1">
        <v>45736</v>
      </c>
      <c r="C137" t="s">
        <v>341</v>
      </c>
      <c r="D137" t="s">
        <v>154</v>
      </c>
      <c r="E137" t="s">
        <v>46</v>
      </c>
      <c r="F137" t="s">
        <v>47</v>
      </c>
      <c r="G137" t="s">
        <v>138</v>
      </c>
      <c r="H137">
        <v>2</v>
      </c>
      <c r="I137" s="21">
        <v>31588</v>
      </c>
      <c r="J137">
        <v>0</v>
      </c>
      <c r="K137" s="21">
        <v>0</v>
      </c>
      <c r="L137" s="21">
        <v>63176</v>
      </c>
      <c r="M137" s="21">
        <v>44877.67</v>
      </c>
      <c r="N137" s="21">
        <v>18298.330000000002</v>
      </c>
      <c r="O137" t="s">
        <v>55</v>
      </c>
      <c r="P137" s="21">
        <v>2123.08</v>
      </c>
      <c r="Q137" t="s">
        <v>83</v>
      </c>
      <c r="R137" t="s">
        <v>31</v>
      </c>
      <c r="S137">
        <v>5</v>
      </c>
      <c r="T137">
        <v>8</v>
      </c>
      <c r="U137" t="s">
        <v>56</v>
      </c>
      <c r="V137" t="s">
        <v>33</v>
      </c>
      <c r="W137">
        <v>5</v>
      </c>
    </row>
    <row r="138" spans="1:23" x14ac:dyDescent="0.25">
      <c r="A138" t="s">
        <v>342</v>
      </c>
      <c r="B138" s="1">
        <v>45979</v>
      </c>
      <c r="C138" t="s">
        <v>343</v>
      </c>
      <c r="D138" t="s">
        <v>71</v>
      </c>
      <c r="E138" t="s">
        <v>26</v>
      </c>
      <c r="F138" t="s">
        <v>53</v>
      </c>
      <c r="G138" t="s">
        <v>54</v>
      </c>
      <c r="H138">
        <v>1</v>
      </c>
      <c r="I138" s="21">
        <v>29070</v>
      </c>
      <c r="J138">
        <v>0</v>
      </c>
      <c r="K138" s="21">
        <v>0</v>
      </c>
      <c r="L138" s="21">
        <v>29070</v>
      </c>
      <c r="M138" s="21">
        <v>21188.26</v>
      </c>
      <c r="N138" s="21">
        <v>7881.74</v>
      </c>
      <c r="O138" t="s">
        <v>55</v>
      </c>
      <c r="P138" s="21">
        <v>2110.5</v>
      </c>
      <c r="Q138" t="s">
        <v>83</v>
      </c>
      <c r="R138" t="s">
        <v>31</v>
      </c>
      <c r="S138">
        <v>5</v>
      </c>
      <c r="T138">
        <v>3</v>
      </c>
      <c r="U138" t="s">
        <v>32</v>
      </c>
      <c r="V138" t="s">
        <v>33</v>
      </c>
      <c r="W138">
        <v>4</v>
      </c>
    </row>
    <row r="139" spans="1:23" x14ac:dyDescent="0.25">
      <c r="A139" t="s">
        <v>344</v>
      </c>
      <c r="B139" s="1">
        <v>45739</v>
      </c>
      <c r="C139" t="s">
        <v>345</v>
      </c>
      <c r="D139" t="s">
        <v>63</v>
      </c>
      <c r="E139" t="s">
        <v>26</v>
      </c>
      <c r="F139" t="s">
        <v>37</v>
      </c>
      <c r="G139" t="s">
        <v>38</v>
      </c>
      <c r="H139">
        <v>1</v>
      </c>
      <c r="I139" s="21">
        <v>17216</v>
      </c>
      <c r="J139">
        <v>10</v>
      </c>
      <c r="K139" s="21">
        <v>1721.6</v>
      </c>
      <c r="L139" s="21">
        <v>15494.4</v>
      </c>
      <c r="M139" s="21">
        <v>11464.74</v>
      </c>
      <c r="N139" s="21">
        <v>4029.66</v>
      </c>
      <c r="O139" t="s">
        <v>55</v>
      </c>
      <c r="P139" s="21">
        <v>1460.72</v>
      </c>
      <c r="Q139" t="s">
        <v>68</v>
      </c>
      <c r="R139" t="s">
        <v>31</v>
      </c>
      <c r="S139">
        <v>5</v>
      </c>
      <c r="T139">
        <v>4</v>
      </c>
      <c r="U139" t="s">
        <v>32</v>
      </c>
      <c r="V139" t="s">
        <v>33</v>
      </c>
      <c r="W139">
        <v>1</v>
      </c>
    </row>
    <row r="140" spans="1:23" x14ac:dyDescent="0.25">
      <c r="A140" t="s">
        <v>346</v>
      </c>
      <c r="B140" s="1">
        <v>46006</v>
      </c>
      <c r="C140" t="s">
        <v>347</v>
      </c>
      <c r="D140" t="s">
        <v>90</v>
      </c>
      <c r="E140" t="s">
        <v>26</v>
      </c>
      <c r="F140" t="s">
        <v>27</v>
      </c>
      <c r="G140" t="s">
        <v>72</v>
      </c>
      <c r="H140">
        <v>3</v>
      </c>
      <c r="I140" s="21">
        <v>8387</v>
      </c>
      <c r="J140">
        <v>25</v>
      </c>
      <c r="K140" s="21">
        <v>6290.25</v>
      </c>
      <c r="L140" s="21">
        <v>18870.75</v>
      </c>
      <c r="M140" s="21">
        <v>10761.29</v>
      </c>
      <c r="N140" s="21">
        <v>8109.46</v>
      </c>
      <c r="O140" t="s">
        <v>55</v>
      </c>
      <c r="P140" s="21">
        <v>731.67</v>
      </c>
      <c r="Q140" t="s">
        <v>73</v>
      </c>
      <c r="R140" t="s">
        <v>31</v>
      </c>
      <c r="S140">
        <v>5</v>
      </c>
      <c r="T140">
        <v>2</v>
      </c>
      <c r="U140" t="s">
        <v>32</v>
      </c>
      <c r="V140" t="s">
        <v>50</v>
      </c>
      <c r="W140">
        <v>5</v>
      </c>
    </row>
    <row r="141" spans="1:23" x14ac:dyDescent="0.25">
      <c r="A141" t="s">
        <v>348</v>
      </c>
      <c r="B141" s="1">
        <v>45874</v>
      </c>
      <c r="C141" t="s">
        <v>349</v>
      </c>
      <c r="D141" t="s">
        <v>79</v>
      </c>
      <c r="E141" t="s">
        <v>36</v>
      </c>
      <c r="F141" t="s">
        <v>86</v>
      </c>
      <c r="G141" t="s">
        <v>127</v>
      </c>
      <c r="H141">
        <v>3</v>
      </c>
      <c r="I141" s="21">
        <v>46987</v>
      </c>
      <c r="J141">
        <v>0</v>
      </c>
      <c r="K141" s="21">
        <v>0</v>
      </c>
      <c r="L141" s="21">
        <v>140961</v>
      </c>
      <c r="M141" s="21">
        <v>109926.52</v>
      </c>
      <c r="N141" s="21">
        <v>31034.48</v>
      </c>
      <c r="O141" t="s">
        <v>91</v>
      </c>
      <c r="P141" s="21">
        <v>518.30999999999995</v>
      </c>
      <c r="Q141" t="s">
        <v>68</v>
      </c>
      <c r="R141" t="s">
        <v>31</v>
      </c>
      <c r="S141">
        <v>5</v>
      </c>
      <c r="T141">
        <v>2</v>
      </c>
      <c r="U141" t="s">
        <v>32</v>
      </c>
      <c r="V141" t="s">
        <v>33</v>
      </c>
      <c r="W141">
        <v>5</v>
      </c>
    </row>
    <row r="142" spans="1:23" x14ac:dyDescent="0.25">
      <c r="A142" t="s">
        <v>350</v>
      </c>
      <c r="B142" s="1">
        <v>45963</v>
      </c>
      <c r="C142" t="s">
        <v>351</v>
      </c>
      <c r="D142" t="s">
        <v>45</v>
      </c>
      <c r="E142" t="s">
        <v>36</v>
      </c>
      <c r="F142" t="s">
        <v>86</v>
      </c>
      <c r="G142" t="s">
        <v>94</v>
      </c>
      <c r="H142">
        <v>1</v>
      </c>
      <c r="I142" s="21">
        <v>29969</v>
      </c>
      <c r="J142">
        <v>15</v>
      </c>
      <c r="K142" s="21">
        <v>4495.3500000000004</v>
      </c>
      <c r="L142" s="21">
        <v>25473.65</v>
      </c>
      <c r="M142" s="21">
        <v>20629.169999999998</v>
      </c>
      <c r="N142" s="21">
        <v>4844.4799999999996</v>
      </c>
      <c r="O142" t="s">
        <v>39</v>
      </c>
      <c r="P142" s="21">
        <v>2156.54</v>
      </c>
      <c r="Q142" t="s">
        <v>30</v>
      </c>
      <c r="R142" t="s">
        <v>41</v>
      </c>
      <c r="S142">
        <v>2</v>
      </c>
      <c r="T142">
        <v>2</v>
      </c>
      <c r="U142" t="s">
        <v>32</v>
      </c>
      <c r="V142" t="s">
        <v>33</v>
      </c>
      <c r="W142">
        <v>5</v>
      </c>
    </row>
    <row r="143" spans="1:23" x14ac:dyDescent="0.25">
      <c r="A143" t="s">
        <v>352</v>
      </c>
      <c r="B143" s="1">
        <v>45690</v>
      </c>
      <c r="C143" t="s">
        <v>353</v>
      </c>
      <c r="D143" t="s">
        <v>90</v>
      </c>
      <c r="E143" t="s">
        <v>46</v>
      </c>
      <c r="F143" t="s">
        <v>47</v>
      </c>
      <c r="G143" t="s">
        <v>138</v>
      </c>
      <c r="H143">
        <v>3</v>
      </c>
      <c r="I143" s="21">
        <v>44286</v>
      </c>
      <c r="J143">
        <v>10</v>
      </c>
      <c r="K143" s="21">
        <v>13285.8</v>
      </c>
      <c r="L143" s="21">
        <v>119572.2</v>
      </c>
      <c r="M143" s="21">
        <v>85502.11</v>
      </c>
      <c r="N143" s="21">
        <v>34070.089999999997</v>
      </c>
      <c r="O143" t="s">
        <v>91</v>
      </c>
      <c r="P143" s="21">
        <v>459.76</v>
      </c>
      <c r="Q143" t="s">
        <v>30</v>
      </c>
      <c r="R143" t="s">
        <v>31</v>
      </c>
      <c r="S143">
        <v>5</v>
      </c>
      <c r="T143">
        <v>3</v>
      </c>
      <c r="U143" t="s">
        <v>32</v>
      </c>
      <c r="V143" t="s">
        <v>50</v>
      </c>
      <c r="W143">
        <v>4</v>
      </c>
    </row>
    <row r="144" spans="1:23" x14ac:dyDescent="0.25">
      <c r="A144" t="s">
        <v>354</v>
      </c>
      <c r="B144" s="1">
        <v>45855</v>
      </c>
      <c r="C144" t="s">
        <v>241</v>
      </c>
      <c r="D144" t="s">
        <v>63</v>
      </c>
      <c r="E144" t="s">
        <v>46</v>
      </c>
      <c r="F144" t="s">
        <v>27</v>
      </c>
      <c r="G144" t="s">
        <v>164</v>
      </c>
      <c r="H144">
        <v>2</v>
      </c>
      <c r="I144" s="21">
        <v>27216</v>
      </c>
      <c r="J144">
        <v>10</v>
      </c>
      <c r="K144" s="21">
        <v>5443.2</v>
      </c>
      <c r="L144" s="21">
        <v>48988.800000000003</v>
      </c>
      <c r="M144" s="21">
        <v>33809.96</v>
      </c>
      <c r="N144" s="21">
        <v>15178.84</v>
      </c>
      <c r="O144" t="s">
        <v>49</v>
      </c>
      <c r="P144" s="21">
        <v>376.99</v>
      </c>
      <c r="Q144" t="s">
        <v>30</v>
      </c>
      <c r="R144" t="s">
        <v>31</v>
      </c>
      <c r="S144">
        <v>5</v>
      </c>
      <c r="T144">
        <v>3</v>
      </c>
      <c r="U144" t="s">
        <v>32</v>
      </c>
      <c r="V144" t="s">
        <v>50</v>
      </c>
      <c r="W144">
        <v>5</v>
      </c>
    </row>
    <row r="145" spans="1:23" x14ac:dyDescent="0.25">
      <c r="A145" t="s">
        <v>355</v>
      </c>
      <c r="B145" s="1">
        <v>45853</v>
      </c>
      <c r="C145" t="s">
        <v>356</v>
      </c>
      <c r="D145" t="s">
        <v>97</v>
      </c>
      <c r="E145" t="s">
        <v>46</v>
      </c>
      <c r="F145" t="s">
        <v>86</v>
      </c>
      <c r="G145" t="s">
        <v>127</v>
      </c>
      <c r="H145">
        <v>2</v>
      </c>
      <c r="I145" s="21">
        <v>67510</v>
      </c>
      <c r="J145">
        <v>0</v>
      </c>
      <c r="K145" s="21">
        <v>0</v>
      </c>
      <c r="L145" s="21">
        <v>135020</v>
      </c>
      <c r="M145" s="21">
        <v>101654.68</v>
      </c>
      <c r="N145" s="21">
        <v>33365.32</v>
      </c>
      <c r="O145" t="s">
        <v>29</v>
      </c>
      <c r="P145" s="21">
        <v>2431.33</v>
      </c>
      <c r="Q145" t="s">
        <v>83</v>
      </c>
      <c r="R145" t="s">
        <v>31</v>
      </c>
      <c r="S145">
        <v>5</v>
      </c>
      <c r="T145">
        <v>5</v>
      </c>
      <c r="U145" t="s">
        <v>32</v>
      </c>
      <c r="V145" t="s">
        <v>33</v>
      </c>
      <c r="W145">
        <v>3</v>
      </c>
    </row>
    <row r="146" spans="1:23" x14ac:dyDescent="0.25">
      <c r="A146" t="s">
        <v>357</v>
      </c>
      <c r="B146" s="1">
        <v>45963</v>
      </c>
      <c r="C146" t="s">
        <v>358</v>
      </c>
      <c r="D146" t="s">
        <v>71</v>
      </c>
      <c r="E146" t="s">
        <v>36</v>
      </c>
      <c r="F146" t="s">
        <v>37</v>
      </c>
      <c r="G146" t="s">
        <v>161</v>
      </c>
      <c r="H146">
        <v>1</v>
      </c>
      <c r="I146" s="21">
        <v>36666</v>
      </c>
      <c r="J146">
        <v>20</v>
      </c>
      <c r="K146" s="21">
        <v>7333.2</v>
      </c>
      <c r="L146" s="21">
        <v>29332.799999999999</v>
      </c>
      <c r="M146" s="21">
        <v>18636.2</v>
      </c>
      <c r="N146" s="21">
        <v>10696.6</v>
      </c>
      <c r="O146" t="s">
        <v>60</v>
      </c>
      <c r="P146" s="21">
        <v>1127.9100000000001</v>
      </c>
      <c r="Q146" t="s">
        <v>83</v>
      </c>
      <c r="R146" t="s">
        <v>31</v>
      </c>
      <c r="S146">
        <v>5</v>
      </c>
      <c r="T146">
        <v>5</v>
      </c>
      <c r="U146" t="s">
        <v>32</v>
      </c>
      <c r="V146" t="s">
        <v>33</v>
      </c>
      <c r="W146">
        <v>1</v>
      </c>
    </row>
    <row r="147" spans="1:23" x14ac:dyDescent="0.25">
      <c r="A147" t="s">
        <v>359</v>
      </c>
      <c r="B147" s="1">
        <v>45897</v>
      </c>
      <c r="C147" t="s">
        <v>360</v>
      </c>
      <c r="D147" t="s">
        <v>79</v>
      </c>
      <c r="E147" t="s">
        <v>36</v>
      </c>
      <c r="F147" t="s">
        <v>37</v>
      </c>
      <c r="G147" t="s">
        <v>38</v>
      </c>
      <c r="H147">
        <v>2</v>
      </c>
      <c r="I147" s="21">
        <v>33898</v>
      </c>
      <c r="J147">
        <v>10</v>
      </c>
      <c r="K147" s="21">
        <v>6779.6</v>
      </c>
      <c r="L147" s="21">
        <v>61016.4</v>
      </c>
      <c r="M147" s="21">
        <v>39544.879999999997</v>
      </c>
      <c r="N147" s="21">
        <v>21471.52</v>
      </c>
      <c r="O147" t="s">
        <v>29</v>
      </c>
      <c r="P147" s="21">
        <v>1245.26</v>
      </c>
      <c r="Q147" t="s">
        <v>40</v>
      </c>
      <c r="R147" t="s">
        <v>31</v>
      </c>
      <c r="S147">
        <v>5</v>
      </c>
      <c r="T147">
        <v>6</v>
      </c>
      <c r="U147" t="s">
        <v>56</v>
      </c>
      <c r="V147" t="s">
        <v>33</v>
      </c>
      <c r="W147">
        <v>5</v>
      </c>
    </row>
    <row r="148" spans="1:23" x14ac:dyDescent="0.25">
      <c r="A148" t="s">
        <v>361</v>
      </c>
      <c r="B148" s="1">
        <v>45928</v>
      </c>
      <c r="C148" t="s">
        <v>362</v>
      </c>
      <c r="D148" t="s">
        <v>25</v>
      </c>
      <c r="E148" t="s">
        <v>26</v>
      </c>
      <c r="F148" t="s">
        <v>37</v>
      </c>
      <c r="G148" t="s">
        <v>38</v>
      </c>
      <c r="H148">
        <v>1</v>
      </c>
      <c r="I148" s="21">
        <v>27274</v>
      </c>
      <c r="J148">
        <v>10</v>
      </c>
      <c r="K148" s="21">
        <v>2727.4</v>
      </c>
      <c r="L148" s="21">
        <v>24546.6</v>
      </c>
      <c r="M148" s="21">
        <v>17130.490000000002</v>
      </c>
      <c r="N148" s="21">
        <v>7416.11</v>
      </c>
      <c r="O148" t="s">
        <v>49</v>
      </c>
      <c r="P148" s="21">
        <v>453.59</v>
      </c>
      <c r="Q148" t="s">
        <v>30</v>
      </c>
      <c r="R148" t="s">
        <v>31</v>
      </c>
      <c r="S148">
        <v>5</v>
      </c>
      <c r="T148">
        <v>2</v>
      </c>
      <c r="U148" t="s">
        <v>32</v>
      </c>
      <c r="V148" t="s">
        <v>33</v>
      </c>
      <c r="W148">
        <v>1</v>
      </c>
    </row>
    <row r="149" spans="1:23" x14ac:dyDescent="0.25">
      <c r="A149" t="s">
        <v>363</v>
      </c>
      <c r="B149" s="1">
        <v>45786</v>
      </c>
      <c r="C149" t="s">
        <v>364</v>
      </c>
      <c r="D149" t="s">
        <v>63</v>
      </c>
      <c r="E149" t="s">
        <v>46</v>
      </c>
      <c r="F149" t="s">
        <v>47</v>
      </c>
      <c r="G149" t="s">
        <v>105</v>
      </c>
      <c r="H149">
        <v>1</v>
      </c>
      <c r="I149" s="21">
        <v>21128</v>
      </c>
      <c r="J149">
        <v>10</v>
      </c>
      <c r="K149" s="21">
        <v>2112.8000000000002</v>
      </c>
      <c r="L149" s="21">
        <v>19015.2</v>
      </c>
      <c r="M149" s="21">
        <v>11011.64</v>
      </c>
      <c r="N149" s="21">
        <v>8003.56</v>
      </c>
      <c r="O149" t="s">
        <v>29</v>
      </c>
      <c r="P149" s="21">
        <v>2126.17</v>
      </c>
      <c r="Q149" t="s">
        <v>40</v>
      </c>
      <c r="R149" t="s">
        <v>31</v>
      </c>
      <c r="S149">
        <v>5</v>
      </c>
      <c r="T149">
        <v>2</v>
      </c>
      <c r="U149" t="s">
        <v>32</v>
      </c>
      <c r="V149" t="s">
        <v>33</v>
      </c>
      <c r="W149">
        <v>5</v>
      </c>
    </row>
    <row r="150" spans="1:23" x14ac:dyDescent="0.25">
      <c r="A150" t="s">
        <v>365</v>
      </c>
      <c r="B150" s="1">
        <v>45941</v>
      </c>
      <c r="C150" t="s">
        <v>78</v>
      </c>
      <c r="D150" t="s">
        <v>45</v>
      </c>
      <c r="E150" t="s">
        <v>46</v>
      </c>
      <c r="F150" t="s">
        <v>53</v>
      </c>
      <c r="G150" t="s">
        <v>54</v>
      </c>
      <c r="H150">
        <v>1</v>
      </c>
      <c r="I150" s="21">
        <v>78515</v>
      </c>
      <c r="J150">
        <v>25</v>
      </c>
      <c r="K150" s="21">
        <v>19628.75</v>
      </c>
      <c r="L150" s="21">
        <v>58886.25</v>
      </c>
      <c r="M150" s="21">
        <v>44806.080000000002</v>
      </c>
      <c r="N150" s="21">
        <v>14080.17</v>
      </c>
      <c r="O150" t="s">
        <v>29</v>
      </c>
      <c r="P150" s="21">
        <v>2075.06</v>
      </c>
      <c r="Q150" t="s">
        <v>83</v>
      </c>
      <c r="R150" t="s">
        <v>31</v>
      </c>
      <c r="S150">
        <v>5</v>
      </c>
      <c r="T150">
        <v>6</v>
      </c>
      <c r="U150" t="s">
        <v>56</v>
      </c>
      <c r="V150" t="s">
        <v>33</v>
      </c>
      <c r="W150">
        <v>5</v>
      </c>
    </row>
    <row r="151" spans="1:23" x14ac:dyDescent="0.25">
      <c r="A151" t="s">
        <v>366</v>
      </c>
      <c r="B151" s="1">
        <v>45663</v>
      </c>
      <c r="C151" t="s">
        <v>337</v>
      </c>
      <c r="D151" t="s">
        <v>97</v>
      </c>
      <c r="E151" t="s">
        <v>46</v>
      </c>
      <c r="F151" t="s">
        <v>27</v>
      </c>
      <c r="G151" t="s">
        <v>28</v>
      </c>
      <c r="H151">
        <v>2</v>
      </c>
      <c r="I151" s="21">
        <v>16537</v>
      </c>
      <c r="J151">
        <v>10</v>
      </c>
      <c r="K151" s="21">
        <v>3307.4</v>
      </c>
      <c r="L151" s="21">
        <v>29766.6</v>
      </c>
      <c r="M151" s="21">
        <v>20011.14</v>
      </c>
      <c r="N151" s="21">
        <v>9755.4599999999991</v>
      </c>
      <c r="O151" t="s">
        <v>60</v>
      </c>
      <c r="P151" s="21">
        <v>1585.81</v>
      </c>
      <c r="Q151" t="s">
        <v>40</v>
      </c>
      <c r="R151" t="s">
        <v>31</v>
      </c>
      <c r="S151">
        <v>5</v>
      </c>
      <c r="T151">
        <v>5</v>
      </c>
      <c r="U151" t="s">
        <v>32</v>
      </c>
      <c r="V151" t="s">
        <v>33</v>
      </c>
      <c r="W151">
        <v>4</v>
      </c>
    </row>
    <row r="152" spans="1:23" x14ac:dyDescent="0.25">
      <c r="A152" t="s">
        <v>367</v>
      </c>
      <c r="B152" s="1">
        <v>46006</v>
      </c>
      <c r="C152" t="s">
        <v>368</v>
      </c>
      <c r="D152" t="s">
        <v>97</v>
      </c>
      <c r="E152" t="s">
        <v>46</v>
      </c>
      <c r="F152" t="s">
        <v>86</v>
      </c>
      <c r="G152" t="s">
        <v>110</v>
      </c>
      <c r="H152">
        <v>1</v>
      </c>
      <c r="I152" s="21">
        <v>51258</v>
      </c>
      <c r="J152">
        <v>0</v>
      </c>
      <c r="K152" s="21">
        <v>0</v>
      </c>
      <c r="L152" s="21">
        <v>51258</v>
      </c>
      <c r="M152" s="21">
        <v>35165.61</v>
      </c>
      <c r="N152" s="21">
        <v>16092.39</v>
      </c>
      <c r="O152" t="s">
        <v>49</v>
      </c>
      <c r="P152" s="21">
        <v>392.35</v>
      </c>
      <c r="Q152" t="s">
        <v>40</v>
      </c>
      <c r="R152" t="s">
        <v>41</v>
      </c>
      <c r="S152">
        <v>2</v>
      </c>
      <c r="T152">
        <v>5</v>
      </c>
      <c r="U152" t="s">
        <v>32</v>
      </c>
      <c r="V152" t="s">
        <v>50</v>
      </c>
      <c r="W152">
        <v>1</v>
      </c>
    </row>
    <row r="153" spans="1:23" x14ac:dyDescent="0.25">
      <c r="A153" t="s">
        <v>369</v>
      </c>
      <c r="B153" s="1">
        <v>45716</v>
      </c>
      <c r="C153" t="s">
        <v>370</v>
      </c>
      <c r="D153" t="s">
        <v>71</v>
      </c>
      <c r="E153" t="s">
        <v>26</v>
      </c>
      <c r="F153" t="s">
        <v>27</v>
      </c>
      <c r="G153" t="s">
        <v>28</v>
      </c>
      <c r="H153">
        <v>2</v>
      </c>
      <c r="I153" s="21">
        <v>20628</v>
      </c>
      <c r="J153">
        <v>0</v>
      </c>
      <c r="K153" s="21">
        <v>0</v>
      </c>
      <c r="L153" s="21">
        <v>41256</v>
      </c>
      <c r="M153" s="21">
        <v>26933.360000000001</v>
      </c>
      <c r="N153" s="21">
        <v>14322.64</v>
      </c>
      <c r="O153" t="s">
        <v>49</v>
      </c>
      <c r="P153" s="21">
        <v>170.14</v>
      </c>
      <c r="Q153" t="s">
        <v>68</v>
      </c>
      <c r="R153" t="s">
        <v>31</v>
      </c>
      <c r="S153">
        <v>5</v>
      </c>
      <c r="T153">
        <v>5</v>
      </c>
      <c r="U153" t="s">
        <v>32</v>
      </c>
      <c r="V153" t="s">
        <v>33</v>
      </c>
      <c r="W153">
        <v>2</v>
      </c>
    </row>
    <row r="154" spans="1:23" x14ac:dyDescent="0.25">
      <c r="A154" t="s">
        <v>371</v>
      </c>
      <c r="B154" s="1">
        <v>46007</v>
      </c>
      <c r="C154" t="s">
        <v>372</v>
      </c>
      <c r="D154" t="s">
        <v>90</v>
      </c>
      <c r="E154" t="s">
        <v>26</v>
      </c>
      <c r="F154" t="s">
        <v>86</v>
      </c>
      <c r="G154" t="s">
        <v>94</v>
      </c>
      <c r="H154">
        <v>1</v>
      </c>
      <c r="I154" s="21">
        <v>53013</v>
      </c>
      <c r="J154">
        <v>25</v>
      </c>
      <c r="K154" s="21">
        <v>13253.25</v>
      </c>
      <c r="L154" s="21">
        <v>39759.75</v>
      </c>
      <c r="M154" s="21">
        <v>31152.05</v>
      </c>
      <c r="N154" s="21">
        <v>8607.7000000000007</v>
      </c>
      <c r="O154" t="s">
        <v>49</v>
      </c>
      <c r="P154" s="21">
        <v>402.94</v>
      </c>
      <c r="Q154" t="s">
        <v>73</v>
      </c>
      <c r="R154" t="s">
        <v>41</v>
      </c>
      <c r="S154">
        <v>2</v>
      </c>
      <c r="T154">
        <v>1</v>
      </c>
      <c r="U154" t="s">
        <v>32</v>
      </c>
      <c r="V154" t="s">
        <v>50</v>
      </c>
      <c r="W154">
        <v>5</v>
      </c>
    </row>
    <row r="155" spans="1:23" x14ac:dyDescent="0.25">
      <c r="A155" t="s">
        <v>373</v>
      </c>
      <c r="B155" s="1">
        <v>45932</v>
      </c>
      <c r="C155" t="s">
        <v>307</v>
      </c>
      <c r="D155" t="s">
        <v>71</v>
      </c>
      <c r="E155" t="s">
        <v>46</v>
      </c>
      <c r="F155" t="s">
        <v>53</v>
      </c>
      <c r="G155" t="s">
        <v>54</v>
      </c>
      <c r="H155">
        <v>2</v>
      </c>
      <c r="I155" s="21">
        <v>10699</v>
      </c>
      <c r="J155">
        <v>5</v>
      </c>
      <c r="K155" s="21">
        <v>1069.9000000000001</v>
      </c>
      <c r="L155" s="21">
        <v>20328.099999999999</v>
      </c>
      <c r="M155" s="21">
        <v>16183.23</v>
      </c>
      <c r="N155" s="21">
        <v>4144.87</v>
      </c>
      <c r="O155" t="s">
        <v>49</v>
      </c>
      <c r="P155" s="21">
        <v>295.98</v>
      </c>
      <c r="Q155" t="s">
        <v>40</v>
      </c>
      <c r="R155" t="s">
        <v>41</v>
      </c>
      <c r="S155">
        <v>2</v>
      </c>
      <c r="T155">
        <v>6</v>
      </c>
      <c r="U155" t="s">
        <v>32</v>
      </c>
      <c r="V155" t="s">
        <v>50</v>
      </c>
      <c r="W155">
        <v>5</v>
      </c>
    </row>
    <row r="156" spans="1:23" x14ac:dyDescent="0.25">
      <c r="A156" t="s">
        <v>374</v>
      </c>
      <c r="B156" s="1">
        <v>45794</v>
      </c>
      <c r="C156" t="s">
        <v>305</v>
      </c>
      <c r="D156" t="s">
        <v>67</v>
      </c>
      <c r="E156" t="s">
        <v>36</v>
      </c>
      <c r="F156" t="s">
        <v>47</v>
      </c>
      <c r="G156" t="s">
        <v>146</v>
      </c>
      <c r="H156">
        <v>1</v>
      </c>
      <c r="I156" s="21">
        <v>40675</v>
      </c>
      <c r="J156">
        <v>15</v>
      </c>
      <c r="K156" s="21">
        <v>6101.25</v>
      </c>
      <c r="L156" s="21">
        <v>34573.75</v>
      </c>
      <c r="M156" s="21">
        <v>21621.05</v>
      </c>
      <c r="N156" s="21">
        <v>12952.7</v>
      </c>
      <c r="O156" t="s">
        <v>91</v>
      </c>
      <c r="P156" s="21">
        <v>1543.17</v>
      </c>
      <c r="Q156" t="s">
        <v>73</v>
      </c>
      <c r="R156" t="s">
        <v>31</v>
      </c>
      <c r="S156">
        <v>5</v>
      </c>
      <c r="T156">
        <v>5</v>
      </c>
      <c r="U156" t="s">
        <v>32</v>
      </c>
      <c r="V156" t="s">
        <v>33</v>
      </c>
      <c r="W156">
        <v>2</v>
      </c>
    </row>
    <row r="157" spans="1:23" x14ac:dyDescent="0.25">
      <c r="A157" t="s">
        <v>375</v>
      </c>
      <c r="B157" s="1">
        <v>45986</v>
      </c>
      <c r="C157" t="s">
        <v>376</v>
      </c>
      <c r="D157" t="s">
        <v>154</v>
      </c>
      <c r="E157" t="s">
        <v>46</v>
      </c>
      <c r="F157" t="s">
        <v>53</v>
      </c>
      <c r="G157" t="s">
        <v>59</v>
      </c>
      <c r="H157">
        <v>1</v>
      </c>
      <c r="I157" s="21">
        <v>15665</v>
      </c>
      <c r="J157">
        <v>0</v>
      </c>
      <c r="K157" s="21">
        <v>0</v>
      </c>
      <c r="L157" s="21">
        <v>15665</v>
      </c>
      <c r="M157" s="21">
        <v>11931.85</v>
      </c>
      <c r="N157" s="21">
        <v>3733.15</v>
      </c>
      <c r="O157" t="s">
        <v>55</v>
      </c>
      <c r="P157" s="21">
        <v>1397.39</v>
      </c>
      <c r="Q157" t="s">
        <v>40</v>
      </c>
      <c r="R157" t="s">
        <v>31</v>
      </c>
      <c r="S157">
        <v>5</v>
      </c>
      <c r="T157">
        <v>3</v>
      </c>
      <c r="U157" t="s">
        <v>32</v>
      </c>
      <c r="V157" t="s">
        <v>33</v>
      </c>
      <c r="W157">
        <v>2</v>
      </c>
    </row>
    <row r="158" spans="1:23" x14ac:dyDescent="0.25">
      <c r="A158" t="s">
        <v>377</v>
      </c>
      <c r="B158" s="1">
        <v>45832</v>
      </c>
      <c r="C158" t="s">
        <v>378</v>
      </c>
      <c r="D158" t="s">
        <v>97</v>
      </c>
      <c r="E158" t="s">
        <v>46</v>
      </c>
      <c r="F158" t="s">
        <v>47</v>
      </c>
      <c r="G158" t="s">
        <v>105</v>
      </c>
      <c r="H158">
        <v>1</v>
      </c>
      <c r="I158" s="21">
        <v>50472</v>
      </c>
      <c r="J158">
        <v>10</v>
      </c>
      <c r="K158" s="21">
        <v>5047.2</v>
      </c>
      <c r="L158" s="21">
        <v>45424.800000000003</v>
      </c>
      <c r="M158" s="21">
        <v>27662.81</v>
      </c>
      <c r="N158" s="21">
        <v>17761.990000000002</v>
      </c>
      <c r="O158" t="s">
        <v>60</v>
      </c>
      <c r="P158" s="21">
        <v>2094.48</v>
      </c>
      <c r="Q158" t="s">
        <v>83</v>
      </c>
      <c r="R158" t="s">
        <v>41</v>
      </c>
      <c r="S158">
        <v>2</v>
      </c>
      <c r="T158">
        <v>4</v>
      </c>
      <c r="U158" t="s">
        <v>32</v>
      </c>
      <c r="V158" t="s">
        <v>42</v>
      </c>
    </row>
    <row r="159" spans="1:23" x14ac:dyDescent="0.25">
      <c r="A159" t="s">
        <v>379</v>
      </c>
      <c r="B159" s="1">
        <v>45715</v>
      </c>
      <c r="C159" t="s">
        <v>380</v>
      </c>
      <c r="D159" t="s">
        <v>124</v>
      </c>
      <c r="E159" t="s">
        <v>26</v>
      </c>
      <c r="F159" t="s">
        <v>53</v>
      </c>
      <c r="G159" t="s">
        <v>59</v>
      </c>
      <c r="H159">
        <v>2</v>
      </c>
      <c r="I159" s="21">
        <v>14226</v>
      </c>
      <c r="J159">
        <v>15</v>
      </c>
      <c r="K159" s="21">
        <v>4267.8</v>
      </c>
      <c r="L159" s="21">
        <v>24184.2</v>
      </c>
      <c r="M159" s="21">
        <v>14976.78</v>
      </c>
      <c r="N159" s="21">
        <v>9207.42</v>
      </c>
      <c r="O159" t="s">
        <v>49</v>
      </c>
      <c r="P159" s="21">
        <v>419.95</v>
      </c>
      <c r="Q159" t="s">
        <v>73</v>
      </c>
      <c r="R159" t="s">
        <v>41</v>
      </c>
      <c r="S159">
        <v>2</v>
      </c>
      <c r="T159">
        <v>0</v>
      </c>
      <c r="U159" t="s">
        <v>32</v>
      </c>
      <c r="V159" t="s">
        <v>50</v>
      </c>
      <c r="W159">
        <v>5</v>
      </c>
    </row>
    <row r="160" spans="1:23" x14ac:dyDescent="0.25">
      <c r="A160" t="s">
        <v>381</v>
      </c>
      <c r="B160" s="1">
        <v>45808</v>
      </c>
      <c r="C160" t="s">
        <v>380</v>
      </c>
      <c r="D160" t="s">
        <v>67</v>
      </c>
      <c r="E160" t="s">
        <v>46</v>
      </c>
      <c r="F160" t="s">
        <v>37</v>
      </c>
      <c r="G160" t="s">
        <v>38</v>
      </c>
      <c r="H160">
        <v>2</v>
      </c>
      <c r="I160" s="21">
        <v>14970</v>
      </c>
      <c r="J160">
        <v>25</v>
      </c>
      <c r="K160" s="21">
        <v>7485</v>
      </c>
      <c r="L160" s="21">
        <v>22455</v>
      </c>
      <c r="M160" s="21">
        <v>15583</v>
      </c>
      <c r="N160" s="21">
        <v>6872</v>
      </c>
      <c r="O160" t="s">
        <v>55</v>
      </c>
      <c r="P160" s="21">
        <v>1647.88</v>
      </c>
      <c r="Q160" t="s">
        <v>68</v>
      </c>
      <c r="R160" t="s">
        <v>31</v>
      </c>
      <c r="S160">
        <v>5</v>
      </c>
      <c r="T160">
        <v>1</v>
      </c>
      <c r="U160" t="s">
        <v>32</v>
      </c>
      <c r="V160" t="s">
        <v>50</v>
      </c>
      <c r="W160">
        <v>5</v>
      </c>
    </row>
    <row r="161" spans="1:23" x14ac:dyDescent="0.25">
      <c r="A161" t="s">
        <v>382</v>
      </c>
      <c r="B161" s="1">
        <v>45880</v>
      </c>
      <c r="C161" t="s">
        <v>163</v>
      </c>
      <c r="D161" t="s">
        <v>97</v>
      </c>
      <c r="E161" t="s">
        <v>36</v>
      </c>
      <c r="F161" t="s">
        <v>27</v>
      </c>
      <c r="G161" t="s">
        <v>164</v>
      </c>
      <c r="H161">
        <v>2</v>
      </c>
      <c r="I161" s="21">
        <v>27974</v>
      </c>
      <c r="J161">
        <v>0</v>
      </c>
      <c r="K161" s="21">
        <v>0</v>
      </c>
      <c r="L161" s="21">
        <v>55948</v>
      </c>
      <c r="M161" s="21">
        <v>37708.44</v>
      </c>
      <c r="N161" s="21">
        <v>18239.560000000001</v>
      </c>
      <c r="O161" t="s">
        <v>49</v>
      </c>
      <c r="P161" s="21">
        <v>82.96</v>
      </c>
      <c r="Q161" t="s">
        <v>68</v>
      </c>
      <c r="R161" t="s">
        <v>31</v>
      </c>
      <c r="S161">
        <v>5</v>
      </c>
      <c r="T161">
        <v>6</v>
      </c>
      <c r="U161" t="s">
        <v>56</v>
      </c>
      <c r="V161" t="s">
        <v>33</v>
      </c>
      <c r="W161">
        <v>1</v>
      </c>
    </row>
    <row r="162" spans="1:23" x14ac:dyDescent="0.25">
      <c r="A162" t="s">
        <v>383</v>
      </c>
      <c r="B162" s="1">
        <v>45738</v>
      </c>
      <c r="C162" t="s">
        <v>384</v>
      </c>
      <c r="D162" t="s">
        <v>45</v>
      </c>
      <c r="E162" t="s">
        <v>36</v>
      </c>
      <c r="F162" t="s">
        <v>86</v>
      </c>
      <c r="G162" t="s">
        <v>110</v>
      </c>
      <c r="H162">
        <v>1</v>
      </c>
      <c r="I162" s="21">
        <v>59011</v>
      </c>
      <c r="J162">
        <v>0</v>
      </c>
      <c r="K162" s="21">
        <v>0</v>
      </c>
      <c r="L162" s="21">
        <v>59011</v>
      </c>
      <c r="M162" s="21">
        <v>38661.97</v>
      </c>
      <c r="N162" s="21">
        <v>20349.03</v>
      </c>
      <c r="O162" t="s">
        <v>91</v>
      </c>
      <c r="P162" s="21">
        <v>1856.66</v>
      </c>
      <c r="Q162" t="s">
        <v>83</v>
      </c>
      <c r="R162" t="s">
        <v>31</v>
      </c>
      <c r="S162">
        <v>5</v>
      </c>
      <c r="T162">
        <v>3</v>
      </c>
      <c r="U162" t="s">
        <v>32</v>
      </c>
      <c r="V162" t="s">
        <v>33</v>
      </c>
      <c r="W162">
        <v>5</v>
      </c>
    </row>
    <row r="163" spans="1:23" x14ac:dyDescent="0.25">
      <c r="A163" t="s">
        <v>385</v>
      </c>
      <c r="B163" s="1">
        <v>45890</v>
      </c>
      <c r="C163" t="s">
        <v>386</v>
      </c>
      <c r="D163" t="s">
        <v>25</v>
      </c>
      <c r="E163" t="s">
        <v>46</v>
      </c>
      <c r="F163" t="s">
        <v>37</v>
      </c>
      <c r="G163" t="s">
        <v>224</v>
      </c>
      <c r="H163">
        <v>2</v>
      </c>
      <c r="I163" s="21">
        <v>32683</v>
      </c>
      <c r="J163">
        <v>15</v>
      </c>
      <c r="K163" s="21">
        <v>9804.9</v>
      </c>
      <c r="L163" s="21">
        <v>55561.1</v>
      </c>
      <c r="M163" s="21">
        <v>36485.9</v>
      </c>
      <c r="N163" s="21">
        <v>19075.2</v>
      </c>
      <c r="O163" t="s">
        <v>29</v>
      </c>
      <c r="P163" s="21">
        <v>1426.98</v>
      </c>
      <c r="Q163" t="s">
        <v>68</v>
      </c>
      <c r="R163" t="s">
        <v>31</v>
      </c>
      <c r="S163">
        <v>5</v>
      </c>
      <c r="T163">
        <v>3</v>
      </c>
      <c r="U163" t="s">
        <v>32</v>
      </c>
      <c r="V163" t="s">
        <v>50</v>
      </c>
      <c r="W163">
        <v>2</v>
      </c>
    </row>
    <row r="164" spans="1:23" x14ac:dyDescent="0.25">
      <c r="A164" t="s">
        <v>387</v>
      </c>
      <c r="B164" s="1">
        <v>45659</v>
      </c>
      <c r="C164" t="s">
        <v>388</v>
      </c>
      <c r="D164" t="s">
        <v>154</v>
      </c>
      <c r="E164" t="s">
        <v>26</v>
      </c>
      <c r="F164" t="s">
        <v>27</v>
      </c>
      <c r="G164" t="s">
        <v>28</v>
      </c>
      <c r="H164">
        <v>3</v>
      </c>
      <c r="I164" s="21">
        <v>3865</v>
      </c>
      <c r="J164">
        <v>0</v>
      </c>
      <c r="K164" s="21">
        <v>0</v>
      </c>
      <c r="L164" s="21">
        <v>11595</v>
      </c>
      <c r="M164" s="21">
        <v>6508.03</v>
      </c>
      <c r="N164" s="21">
        <v>5086.97</v>
      </c>
      <c r="O164" t="s">
        <v>39</v>
      </c>
      <c r="P164" s="21">
        <v>1459.31</v>
      </c>
      <c r="Q164" t="s">
        <v>83</v>
      </c>
      <c r="R164" t="s">
        <v>41</v>
      </c>
      <c r="S164">
        <v>2</v>
      </c>
      <c r="T164">
        <v>4</v>
      </c>
      <c r="U164" t="s">
        <v>32</v>
      </c>
      <c r="V164" t="s">
        <v>42</v>
      </c>
    </row>
    <row r="165" spans="1:23" x14ac:dyDescent="0.25">
      <c r="A165" t="s">
        <v>389</v>
      </c>
      <c r="B165" s="1">
        <v>45792</v>
      </c>
      <c r="C165" t="s">
        <v>390</v>
      </c>
      <c r="D165" t="s">
        <v>124</v>
      </c>
      <c r="E165" t="s">
        <v>36</v>
      </c>
      <c r="F165" t="s">
        <v>86</v>
      </c>
      <c r="G165" t="s">
        <v>87</v>
      </c>
      <c r="H165">
        <v>3</v>
      </c>
      <c r="I165" s="21">
        <v>30116</v>
      </c>
      <c r="J165">
        <v>5</v>
      </c>
      <c r="K165" s="21">
        <v>4517.3999999999996</v>
      </c>
      <c r="L165" s="21">
        <v>85830.6</v>
      </c>
      <c r="M165" s="21">
        <v>49863.12</v>
      </c>
      <c r="N165" s="21">
        <v>35967.480000000003</v>
      </c>
      <c r="O165" t="s">
        <v>60</v>
      </c>
      <c r="P165" s="21">
        <v>2344.4499999999998</v>
      </c>
      <c r="Q165" t="s">
        <v>40</v>
      </c>
      <c r="R165" t="s">
        <v>31</v>
      </c>
      <c r="S165">
        <v>5</v>
      </c>
      <c r="T165">
        <v>6</v>
      </c>
      <c r="U165" t="s">
        <v>32</v>
      </c>
      <c r="V165" t="s">
        <v>50</v>
      </c>
      <c r="W165">
        <v>5</v>
      </c>
    </row>
    <row r="166" spans="1:23" x14ac:dyDescent="0.25">
      <c r="A166" t="s">
        <v>391</v>
      </c>
      <c r="B166" s="1">
        <v>45914</v>
      </c>
      <c r="C166" t="s">
        <v>386</v>
      </c>
      <c r="D166" t="s">
        <v>63</v>
      </c>
      <c r="E166" t="s">
        <v>46</v>
      </c>
      <c r="F166" t="s">
        <v>27</v>
      </c>
      <c r="G166" t="s">
        <v>28</v>
      </c>
      <c r="H166">
        <v>1</v>
      </c>
      <c r="I166" s="21">
        <v>14341</v>
      </c>
      <c r="J166">
        <v>0</v>
      </c>
      <c r="K166" s="21">
        <v>0</v>
      </c>
      <c r="L166" s="21">
        <v>14341</v>
      </c>
      <c r="M166" s="21">
        <v>10486.85</v>
      </c>
      <c r="N166" s="21">
        <v>3854.15</v>
      </c>
      <c r="O166" t="s">
        <v>49</v>
      </c>
      <c r="P166" s="21">
        <v>328.78</v>
      </c>
      <c r="Q166" t="s">
        <v>68</v>
      </c>
      <c r="R166" t="s">
        <v>31</v>
      </c>
      <c r="S166">
        <v>5</v>
      </c>
      <c r="T166">
        <v>6</v>
      </c>
      <c r="U166" t="s">
        <v>56</v>
      </c>
      <c r="V166" t="s">
        <v>33</v>
      </c>
      <c r="W166">
        <v>3</v>
      </c>
    </row>
    <row r="167" spans="1:23" x14ac:dyDescent="0.25">
      <c r="A167" t="s">
        <v>392</v>
      </c>
      <c r="B167" s="1">
        <v>45749</v>
      </c>
      <c r="C167" t="s">
        <v>129</v>
      </c>
      <c r="D167" t="s">
        <v>25</v>
      </c>
      <c r="E167" t="s">
        <v>26</v>
      </c>
      <c r="F167" t="s">
        <v>86</v>
      </c>
      <c r="G167" t="s">
        <v>127</v>
      </c>
      <c r="H167">
        <v>2</v>
      </c>
      <c r="I167" s="21">
        <v>80299</v>
      </c>
      <c r="J167">
        <v>15</v>
      </c>
      <c r="K167" s="21">
        <v>24089.7</v>
      </c>
      <c r="L167" s="21">
        <v>136508.29999999999</v>
      </c>
      <c r="M167" s="21">
        <v>81295.149999999994</v>
      </c>
      <c r="N167" s="21">
        <v>55213.15</v>
      </c>
      <c r="O167" t="s">
        <v>29</v>
      </c>
      <c r="P167" s="21">
        <v>709.51</v>
      </c>
      <c r="Q167" t="s">
        <v>30</v>
      </c>
      <c r="R167" t="s">
        <v>31</v>
      </c>
      <c r="S167">
        <v>5</v>
      </c>
      <c r="T167">
        <v>5</v>
      </c>
      <c r="U167" t="s">
        <v>32</v>
      </c>
      <c r="V167" t="s">
        <v>33</v>
      </c>
      <c r="W167">
        <v>5</v>
      </c>
    </row>
    <row r="168" spans="1:23" x14ac:dyDescent="0.25">
      <c r="A168" t="s">
        <v>393</v>
      </c>
      <c r="B168" s="1">
        <v>45917</v>
      </c>
      <c r="C168" t="s">
        <v>394</v>
      </c>
      <c r="D168" t="s">
        <v>25</v>
      </c>
      <c r="E168" t="s">
        <v>26</v>
      </c>
      <c r="F168" t="s">
        <v>86</v>
      </c>
      <c r="G168" t="s">
        <v>94</v>
      </c>
      <c r="H168">
        <v>1</v>
      </c>
      <c r="I168" s="21">
        <v>78308</v>
      </c>
      <c r="J168">
        <v>0</v>
      </c>
      <c r="K168" s="21">
        <v>0</v>
      </c>
      <c r="L168" s="21">
        <v>78308</v>
      </c>
      <c r="M168" s="21">
        <v>60867.56</v>
      </c>
      <c r="N168" s="21">
        <v>17440.439999999999</v>
      </c>
      <c r="O168" t="s">
        <v>60</v>
      </c>
      <c r="P168" s="21">
        <v>1887.15</v>
      </c>
      <c r="Q168" t="s">
        <v>83</v>
      </c>
      <c r="R168" t="s">
        <v>31</v>
      </c>
      <c r="S168">
        <v>5</v>
      </c>
      <c r="T168">
        <v>6</v>
      </c>
      <c r="U168" t="s">
        <v>56</v>
      </c>
      <c r="V168" t="s">
        <v>33</v>
      </c>
      <c r="W168">
        <v>3</v>
      </c>
    </row>
    <row r="169" spans="1:23" x14ac:dyDescent="0.25">
      <c r="A169" t="s">
        <v>395</v>
      </c>
      <c r="B169" s="1">
        <v>45712</v>
      </c>
      <c r="C169" t="s">
        <v>396</v>
      </c>
      <c r="D169" t="s">
        <v>90</v>
      </c>
      <c r="E169" t="s">
        <v>26</v>
      </c>
      <c r="F169" t="s">
        <v>53</v>
      </c>
      <c r="G169" t="s">
        <v>151</v>
      </c>
      <c r="H169">
        <v>2</v>
      </c>
      <c r="I169" s="21">
        <v>36886</v>
      </c>
      <c r="J169">
        <v>25</v>
      </c>
      <c r="K169" s="21">
        <v>18443</v>
      </c>
      <c r="L169" s="21">
        <v>55329</v>
      </c>
      <c r="M169" s="21">
        <v>37483.629999999997</v>
      </c>
      <c r="N169" s="21">
        <v>17845.37</v>
      </c>
      <c r="O169" t="s">
        <v>29</v>
      </c>
      <c r="P169" s="21">
        <v>713.61</v>
      </c>
      <c r="Q169" t="s">
        <v>40</v>
      </c>
      <c r="R169" t="s">
        <v>41</v>
      </c>
      <c r="S169">
        <v>2</v>
      </c>
      <c r="T169">
        <v>5</v>
      </c>
      <c r="U169" t="s">
        <v>56</v>
      </c>
      <c r="V169" t="s">
        <v>33</v>
      </c>
      <c r="W169">
        <v>4</v>
      </c>
    </row>
    <row r="170" spans="1:23" x14ac:dyDescent="0.25">
      <c r="A170" t="s">
        <v>397</v>
      </c>
      <c r="B170" s="1">
        <v>45978</v>
      </c>
      <c r="C170" t="s">
        <v>398</v>
      </c>
      <c r="D170" t="s">
        <v>97</v>
      </c>
      <c r="E170" t="s">
        <v>46</v>
      </c>
      <c r="F170" t="s">
        <v>86</v>
      </c>
      <c r="G170" t="s">
        <v>87</v>
      </c>
      <c r="H170">
        <v>1</v>
      </c>
      <c r="I170" s="21">
        <v>37310</v>
      </c>
      <c r="J170">
        <v>25</v>
      </c>
      <c r="K170" s="21">
        <v>9327.5</v>
      </c>
      <c r="L170" s="21">
        <v>27982.5</v>
      </c>
      <c r="M170" s="21">
        <v>16450.91</v>
      </c>
      <c r="N170" s="21">
        <v>11531.59</v>
      </c>
      <c r="O170" t="s">
        <v>29</v>
      </c>
      <c r="P170" s="21">
        <v>2382.04</v>
      </c>
      <c r="Q170" t="s">
        <v>68</v>
      </c>
      <c r="R170" t="s">
        <v>31</v>
      </c>
      <c r="S170">
        <v>5</v>
      </c>
      <c r="T170">
        <v>4</v>
      </c>
      <c r="U170" t="s">
        <v>32</v>
      </c>
      <c r="V170" t="s">
        <v>33</v>
      </c>
      <c r="W170">
        <v>5</v>
      </c>
    </row>
    <row r="171" spans="1:23" x14ac:dyDescent="0.25">
      <c r="A171" t="s">
        <v>399</v>
      </c>
      <c r="B171" s="1">
        <v>45810</v>
      </c>
      <c r="C171" t="s">
        <v>400</v>
      </c>
      <c r="D171" t="s">
        <v>124</v>
      </c>
      <c r="E171" t="s">
        <v>46</v>
      </c>
      <c r="F171" t="s">
        <v>27</v>
      </c>
      <c r="G171" t="s">
        <v>72</v>
      </c>
      <c r="H171">
        <v>1</v>
      </c>
      <c r="I171" s="21">
        <v>20470</v>
      </c>
      <c r="J171">
        <v>15</v>
      </c>
      <c r="K171" s="21">
        <v>3070.5</v>
      </c>
      <c r="L171" s="21">
        <v>17399.5</v>
      </c>
      <c r="M171" s="21">
        <v>11776.19</v>
      </c>
      <c r="N171" s="21">
        <v>5623.31</v>
      </c>
      <c r="O171" t="s">
        <v>60</v>
      </c>
      <c r="P171" s="21">
        <v>2455.36</v>
      </c>
      <c r="Q171" t="s">
        <v>73</v>
      </c>
      <c r="R171" t="s">
        <v>31</v>
      </c>
      <c r="S171">
        <v>5</v>
      </c>
      <c r="T171">
        <v>3</v>
      </c>
      <c r="U171" t="s">
        <v>32</v>
      </c>
      <c r="V171" t="s">
        <v>33</v>
      </c>
      <c r="W171">
        <v>1</v>
      </c>
    </row>
    <row r="172" spans="1:23" x14ac:dyDescent="0.25">
      <c r="A172" t="s">
        <v>401</v>
      </c>
      <c r="B172" s="1">
        <v>45985</v>
      </c>
      <c r="C172" t="s">
        <v>402</v>
      </c>
      <c r="D172" t="s">
        <v>63</v>
      </c>
      <c r="E172" t="s">
        <v>26</v>
      </c>
      <c r="F172" t="s">
        <v>53</v>
      </c>
      <c r="G172" t="s">
        <v>82</v>
      </c>
      <c r="H172">
        <v>1</v>
      </c>
      <c r="I172" s="21">
        <v>94678</v>
      </c>
      <c r="J172">
        <v>25</v>
      </c>
      <c r="K172" s="21">
        <v>23669.5</v>
      </c>
      <c r="L172" s="21">
        <v>71008.5</v>
      </c>
      <c r="M172" s="21">
        <v>43878.16</v>
      </c>
      <c r="N172" s="21">
        <v>27130.34</v>
      </c>
      <c r="O172" t="s">
        <v>29</v>
      </c>
      <c r="P172" s="21">
        <v>2079.64</v>
      </c>
      <c r="Q172" t="s">
        <v>73</v>
      </c>
      <c r="R172" t="s">
        <v>41</v>
      </c>
      <c r="S172">
        <v>2</v>
      </c>
      <c r="T172">
        <v>1</v>
      </c>
      <c r="U172" t="s">
        <v>32</v>
      </c>
      <c r="V172" t="s">
        <v>33</v>
      </c>
      <c r="W172">
        <v>3</v>
      </c>
    </row>
    <row r="173" spans="1:23" x14ac:dyDescent="0.25">
      <c r="A173" t="s">
        <v>403</v>
      </c>
      <c r="B173" s="1">
        <v>45917</v>
      </c>
      <c r="C173" t="s">
        <v>404</v>
      </c>
      <c r="D173" t="s">
        <v>97</v>
      </c>
      <c r="E173" t="s">
        <v>46</v>
      </c>
      <c r="F173" t="s">
        <v>27</v>
      </c>
      <c r="G173" t="s">
        <v>113</v>
      </c>
      <c r="H173">
        <v>1</v>
      </c>
      <c r="I173" s="21">
        <v>10430</v>
      </c>
      <c r="J173">
        <v>0</v>
      </c>
      <c r="K173" s="21">
        <v>0</v>
      </c>
      <c r="L173" s="21">
        <v>10430</v>
      </c>
      <c r="M173" s="21">
        <v>6179.63</v>
      </c>
      <c r="N173" s="21">
        <v>4250.37</v>
      </c>
      <c r="O173" t="s">
        <v>91</v>
      </c>
      <c r="P173" s="21">
        <v>729.8</v>
      </c>
      <c r="Q173" t="s">
        <v>73</v>
      </c>
      <c r="R173" t="s">
        <v>31</v>
      </c>
      <c r="S173">
        <v>5</v>
      </c>
      <c r="T173">
        <v>5</v>
      </c>
      <c r="U173" t="s">
        <v>32</v>
      </c>
      <c r="V173" t="s">
        <v>42</v>
      </c>
    </row>
    <row r="174" spans="1:23" x14ac:dyDescent="0.25">
      <c r="A174" t="s">
        <v>405</v>
      </c>
      <c r="B174" s="1">
        <v>45969</v>
      </c>
      <c r="C174" t="s">
        <v>406</v>
      </c>
      <c r="D174" t="s">
        <v>67</v>
      </c>
      <c r="E174" t="s">
        <v>26</v>
      </c>
      <c r="F174" t="s">
        <v>53</v>
      </c>
      <c r="G174" t="s">
        <v>54</v>
      </c>
      <c r="H174">
        <v>2</v>
      </c>
      <c r="I174" s="21">
        <v>62857</v>
      </c>
      <c r="J174">
        <v>0</v>
      </c>
      <c r="K174" s="21">
        <v>0</v>
      </c>
      <c r="L174" s="21">
        <v>125714</v>
      </c>
      <c r="M174" s="21">
        <v>73715.61</v>
      </c>
      <c r="N174" s="21">
        <v>51998.39</v>
      </c>
      <c r="O174" t="s">
        <v>91</v>
      </c>
      <c r="P174" s="21">
        <v>537.79</v>
      </c>
      <c r="Q174" t="s">
        <v>68</v>
      </c>
      <c r="R174" t="s">
        <v>31</v>
      </c>
      <c r="S174">
        <v>5</v>
      </c>
      <c r="T174">
        <v>4</v>
      </c>
      <c r="U174" t="s">
        <v>32</v>
      </c>
      <c r="V174" t="s">
        <v>42</v>
      </c>
    </row>
    <row r="175" spans="1:23" x14ac:dyDescent="0.25">
      <c r="A175" t="s">
        <v>407</v>
      </c>
      <c r="B175" s="1">
        <v>45759</v>
      </c>
      <c r="C175" t="s">
        <v>112</v>
      </c>
      <c r="D175" t="s">
        <v>71</v>
      </c>
      <c r="E175" t="s">
        <v>36</v>
      </c>
      <c r="F175" t="s">
        <v>86</v>
      </c>
      <c r="G175" t="s">
        <v>87</v>
      </c>
      <c r="H175">
        <v>2</v>
      </c>
      <c r="I175" s="21">
        <v>43152</v>
      </c>
      <c r="J175">
        <v>20</v>
      </c>
      <c r="K175" s="21">
        <v>17260.8</v>
      </c>
      <c r="L175" s="21">
        <v>69043.199999999997</v>
      </c>
      <c r="M175" s="21">
        <v>49280.41</v>
      </c>
      <c r="N175" s="21">
        <v>19762.79</v>
      </c>
      <c r="O175" t="s">
        <v>29</v>
      </c>
      <c r="P175" s="21">
        <v>704.54</v>
      </c>
      <c r="Q175" t="s">
        <v>30</v>
      </c>
      <c r="R175" t="s">
        <v>41</v>
      </c>
      <c r="S175">
        <v>2</v>
      </c>
      <c r="T175">
        <v>2</v>
      </c>
      <c r="U175" t="s">
        <v>32</v>
      </c>
      <c r="V175" t="s">
        <v>33</v>
      </c>
      <c r="W175">
        <v>2</v>
      </c>
    </row>
    <row r="176" spans="1:23" x14ac:dyDescent="0.25">
      <c r="A176" t="s">
        <v>408</v>
      </c>
      <c r="B176" s="1">
        <v>45736</v>
      </c>
      <c r="C176" t="s">
        <v>409</v>
      </c>
      <c r="D176" t="s">
        <v>154</v>
      </c>
      <c r="E176" t="s">
        <v>26</v>
      </c>
      <c r="F176" t="s">
        <v>37</v>
      </c>
      <c r="G176" t="s">
        <v>161</v>
      </c>
      <c r="H176">
        <v>1</v>
      </c>
      <c r="I176" s="21">
        <v>8511</v>
      </c>
      <c r="J176">
        <v>5</v>
      </c>
      <c r="K176" s="21">
        <v>425.55</v>
      </c>
      <c r="L176" s="21">
        <v>8085.45</v>
      </c>
      <c r="M176" s="21">
        <v>5272.66</v>
      </c>
      <c r="N176" s="21">
        <v>2812.79</v>
      </c>
      <c r="O176" t="s">
        <v>29</v>
      </c>
      <c r="P176" s="21">
        <v>665.4</v>
      </c>
      <c r="Q176" t="s">
        <v>40</v>
      </c>
      <c r="R176" t="s">
        <v>31</v>
      </c>
      <c r="S176">
        <v>5</v>
      </c>
      <c r="T176">
        <v>5</v>
      </c>
      <c r="U176" t="s">
        <v>32</v>
      </c>
      <c r="V176" t="s">
        <v>33</v>
      </c>
      <c r="W176">
        <v>1</v>
      </c>
    </row>
    <row r="177" spans="1:23" x14ac:dyDescent="0.25">
      <c r="A177" t="s">
        <v>410</v>
      </c>
      <c r="B177" s="1">
        <v>45849</v>
      </c>
      <c r="C177" t="s">
        <v>411</v>
      </c>
      <c r="D177" t="s">
        <v>154</v>
      </c>
      <c r="E177" t="s">
        <v>36</v>
      </c>
      <c r="F177" t="s">
        <v>27</v>
      </c>
      <c r="G177" t="s">
        <v>76</v>
      </c>
      <c r="H177">
        <v>2</v>
      </c>
      <c r="I177" s="21">
        <v>28154</v>
      </c>
      <c r="J177">
        <v>0</v>
      </c>
      <c r="K177" s="21">
        <v>0</v>
      </c>
      <c r="L177" s="21">
        <v>56308</v>
      </c>
      <c r="M177" s="21">
        <v>38300.99</v>
      </c>
      <c r="N177" s="21">
        <v>18007.009999999998</v>
      </c>
      <c r="O177" t="s">
        <v>60</v>
      </c>
      <c r="P177" s="21">
        <v>1760.69</v>
      </c>
      <c r="Q177" t="s">
        <v>30</v>
      </c>
      <c r="R177" t="s">
        <v>31</v>
      </c>
      <c r="S177">
        <v>5</v>
      </c>
      <c r="T177">
        <v>6</v>
      </c>
      <c r="U177" t="s">
        <v>56</v>
      </c>
      <c r="V177" t="s">
        <v>33</v>
      </c>
      <c r="W177">
        <v>5</v>
      </c>
    </row>
    <row r="178" spans="1:23" x14ac:dyDescent="0.25">
      <c r="A178" t="s">
        <v>412</v>
      </c>
      <c r="B178" s="1">
        <v>45740</v>
      </c>
      <c r="C178" t="s">
        <v>121</v>
      </c>
      <c r="D178" t="s">
        <v>90</v>
      </c>
      <c r="E178" t="s">
        <v>26</v>
      </c>
      <c r="F178" t="s">
        <v>37</v>
      </c>
      <c r="G178" t="s">
        <v>100</v>
      </c>
      <c r="H178">
        <v>1</v>
      </c>
      <c r="I178" s="21">
        <v>10403</v>
      </c>
      <c r="J178">
        <v>15</v>
      </c>
      <c r="K178" s="21">
        <v>1560.45</v>
      </c>
      <c r="L178" s="21">
        <v>8842.5499999999993</v>
      </c>
      <c r="M178" s="21">
        <v>5183.05</v>
      </c>
      <c r="N178" s="21">
        <v>3659.5</v>
      </c>
      <c r="O178" t="s">
        <v>49</v>
      </c>
      <c r="P178" s="21">
        <v>87.72</v>
      </c>
      <c r="Q178" t="s">
        <v>40</v>
      </c>
      <c r="R178" t="s">
        <v>31</v>
      </c>
      <c r="S178">
        <v>5</v>
      </c>
      <c r="T178">
        <v>5</v>
      </c>
      <c r="U178" t="s">
        <v>32</v>
      </c>
      <c r="V178" t="s">
        <v>33</v>
      </c>
      <c r="W178">
        <v>5</v>
      </c>
    </row>
    <row r="179" spans="1:23" x14ac:dyDescent="0.25">
      <c r="A179" t="s">
        <v>413</v>
      </c>
      <c r="B179" s="1">
        <v>45934</v>
      </c>
      <c r="C179" t="s">
        <v>153</v>
      </c>
      <c r="D179" t="s">
        <v>124</v>
      </c>
      <c r="E179" t="s">
        <v>26</v>
      </c>
      <c r="F179" t="s">
        <v>37</v>
      </c>
      <c r="G179" t="s">
        <v>100</v>
      </c>
      <c r="H179">
        <v>2</v>
      </c>
      <c r="I179" s="21">
        <v>4471</v>
      </c>
      <c r="J179">
        <v>15</v>
      </c>
      <c r="K179" s="21">
        <v>1341.3</v>
      </c>
      <c r="L179" s="21">
        <v>7600.7</v>
      </c>
      <c r="M179" s="21">
        <v>5523.64</v>
      </c>
      <c r="N179" s="21">
        <v>2077.06</v>
      </c>
      <c r="O179" t="s">
        <v>55</v>
      </c>
      <c r="P179" s="21">
        <v>445.14</v>
      </c>
      <c r="Q179" t="s">
        <v>30</v>
      </c>
      <c r="R179" t="s">
        <v>41</v>
      </c>
      <c r="S179">
        <v>2</v>
      </c>
      <c r="T179">
        <v>3</v>
      </c>
      <c r="U179" t="s">
        <v>32</v>
      </c>
      <c r="V179" t="s">
        <v>50</v>
      </c>
      <c r="W179">
        <v>3</v>
      </c>
    </row>
    <row r="180" spans="1:23" x14ac:dyDescent="0.25">
      <c r="A180" t="s">
        <v>414</v>
      </c>
      <c r="B180" s="1">
        <v>45929</v>
      </c>
      <c r="C180" t="s">
        <v>415</v>
      </c>
      <c r="D180" t="s">
        <v>97</v>
      </c>
      <c r="E180" t="s">
        <v>26</v>
      </c>
      <c r="F180" t="s">
        <v>37</v>
      </c>
      <c r="G180" t="s">
        <v>313</v>
      </c>
      <c r="H180">
        <v>2</v>
      </c>
      <c r="I180" s="21">
        <v>35619</v>
      </c>
      <c r="J180">
        <v>0</v>
      </c>
      <c r="K180" s="21">
        <v>0</v>
      </c>
      <c r="L180" s="21">
        <v>71238</v>
      </c>
      <c r="M180" s="21">
        <v>46301.67</v>
      </c>
      <c r="N180" s="21">
        <v>24936.33</v>
      </c>
      <c r="O180" t="s">
        <v>60</v>
      </c>
      <c r="P180" s="21">
        <v>2473.5700000000002</v>
      </c>
      <c r="Q180" t="s">
        <v>40</v>
      </c>
      <c r="R180" t="s">
        <v>41</v>
      </c>
      <c r="S180">
        <v>2</v>
      </c>
      <c r="T180">
        <v>2</v>
      </c>
      <c r="U180" t="s">
        <v>32</v>
      </c>
      <c r="V180" t="s">
        <v>42</v>
      </c>
    </row>
    <row r="181" spans="1:23" x14ac:dyDescent="0.25">
      <c r="A181" t="s">
        <v>416</v>
      </c>
      <c r="B181" s="1">
        <v>45658</v>
      </c>
      <c r="C181" t="s">
        <v>417</v>
      </c>
      <c r="D181" t="s">
        <v>79</v>
      </c>
      <c r="E181" t="s">
        <v>46</v>
      </c>
      <c r="F181" t="s">
        <v>86</v>
      </c>
      <c r="G181" t="s">
        <v>127</v>
      </c>
      <c r="H181">
        <v>2</v>
      </c>
      <c r="I181" s="21">
        <v>34109</v>
      </c>
      <c r="J181">
        <v>10</v>
      </c>
      <c r="K181" s="21">
        <v>6821.8</v>
      </c>
      <c r="L181" s="21">
        <v>61396.2</v>
      </c>
      <c r="M181" s="21">
        <v>47043.64</v>
      </c>
      <c r="N181" s="21">
        <v>14352.56</v>
      </c>
      <c r="O181" t="s">
        <v>49</v>
      </c>
      <c r="P181" s="21">
        <v>225.1</v>
      </c>
      <c r="Q181" t="s">
        <v>83</v>
      </c>
      <c r="R181" t="s">
        <v>31</v>
      </c>
      <c r="S181">
        <v>5</v>
      </c>
      <c r="T181">
        <v>1</v>
      </c>
      <c r="U181" t="s">
        <v>32</v>
      </c>
      <c r="V181" t="s">
        <v>42</v>
      </c>
    </row>
    <row r="182" spans="1:23" x14ac:dyDescent="0.25">
      <c r="A182" t="s">
        <v>418</v>
      </c>
      <c r="B182" s="1">
        <v>45964</v>
      </c>
      <c r="C182" t="s">
        <v>419</v>
      </c>
      <c r="D182" t="s">
        <v>45</v>
      </c>
      <c r="E182" t="s">
        <v>46</v>
      </c>
      <c r="F182" t="s">
        <v>53</v>
      </c>
      <c r="G182" t="s">
        <v>268</v>
      </c>
      <c r="H182">
        <v>1</v>
      </c>
      <c r="I182" s="21">
        <v>57606</v>
      </c>
      <c r="J182">
        <v>15</v>
      </c>
      <c r="K182" s="21">
        <v>8640.9</v>
      </c>
      <c r="L182" s="21">
        <v>48965.1</v>
      </c>
      <c r="M182" s="21">
        <v>35047.78</v>
      </c>
      <c r="N182" s="21">
        <v>13917.32</v>
      </c>
      <c r="O182" t="s">
        <v>60</v>
      </c>
      <c r="P182" s="21">
        <v>2416.12</v>
      </c>
      <c r="Q182" t="s">
        <v>83</v>
      </c>
      <c r="R182" t="s">
        <v>41</v>
      </c>
      <c r="S182">
        <v>2</v>
      </c>
      <c r="T182">
        <v>5</v>
      </c>
      <c r="U182" t="s">
        <v>32</v>
      </c>
      <c r="V182" t="s">
        <v>42</v>
      </c>
    </row>
    <row r="183" spans="1:23" x14ac:dyDescent="0.25">
      <c r="A183" t="s">
        <v>420</v>
      </c>
      <c r="B183" s="1">
        <v>45823</v>
      </c>
      <c r="C183" t="s">
        <v>421</v>
      </c>
      <c r="D183" t="s">
        <v>90</v>
      </c>
      <c r="E183" t="s">
        <v>36</v>
      </c>
      <c r="F183" t="s">
        <v>47</v>
      </c>
      <c r="G183" t="s">
        <v>105</v>
      </c>
      <c r="H183">
        <v>3</v>
      </c>
      <c r="I183" s="21">
        <v>25743</v>
      </c>
      <c r="J183">
        <v>25</v>
      </c>
      <c r="K183" s="21">
        <v>19307.25</v>
      </c>
      <c r="L183" s="21">
        <v>57921.75</v>
      </c>
      <c r="M183" s="21">
        <v>42779.93</v>
      </c>
      <c r="N183" s="21">
        <v>15141.82</v>
      </c>
      <c r="O183" t="s">
        <v>91</v>
      </c>
      <c r="P183" s="21">
        <v>282.94</v>
      </c>
      <c r="Q183" t="s">
        <v>68</v>
      </c>
      <c r="R183" t="s">
        <v>31</v>
      </c>
      <c r="S183">
        <v>5</v>
      </c>
      <c r="T183">
        <v>5</v>
      </c>
      <c r="U183" t="s">
        <v>32</v>
      </c>
      <c r="V183" t="s">
        <v>42</v>
      </c>
    </row>
    <row r="184" spans="1:23" x14ac:dyDescent="0.25">
      <c r="A184" t="s">
        <v>422</v>
      </c>
      <c r="B184" s="1">
        <v>45908</v>
      </c>
      <c r="C184" t="s">
        <v>423</v>
      </c>
      <c r="D184" t="s">
        <v>63</v>
      </c>
      <c r="E184" t="s">
        <v>46</v>
      </c>
      <c r="F184" t="s">
        <v>53</v>
      </c>
      <c r="G184" t="s">
        <v>268</v>
      </c>
      <c r="H184">
        <v>1</v>
      </c>
      <c r="I184" s="21">
        <v>85818</v>
      </c>
      <c r="J184">
        <v>0</v>
      </c>
      <c r="K184" s="21">
        <v>0</v>
      </c>
      <c r="L184" s="21">
        <v>85818</v>
      </c>
      <c r="M184" s="21">
        <v>59934.43</v>
      </c>
      <c r="N184" s="21">
        <v>25883.57</v>
      </c>
      <c r="O184" t="s">
        <v>60</v>
      </c>
      <c r="P184" s="21">
        <v>835.97</v>
      </c>
      <c r="Q184" t="s">
        <v>40</v>
      </c>
      <c r="R184" t="s">
        <v>41</v>
      </c>
      <c r="S184">
        <v>2</v>
      </c>
      <c r="T184">
        <v>2</v>
      </c>
      <c r="U184" t="s">
        <v>32</v>
      </c>
      <c r="V184" t="s">
        <v>50</v>
      </c>
      <c r="W184">
        <v>5</v>
      </c>
    </row>
    <row r="185" spans="1:23" x14ac:dyDescent="0.25">
      <c r="A185" t="s">
        <v>424</v>
      </c>
      <c r="B185" s="1">
        <v>45667</v>
      </c>
      <c r="C185" t="s">
        <v>425</v>
      </c>
      <c r="D185" t="s">
        <v>45</v>
      </c>
      <c r="E185" t="s">
        <v>46</v>
      </c>
      <c r="F185" t="s">
        <v>47</v>
      </c>
      <c r="G185" t="s">
        <v>105</v>
      </c>
      <c r="H185">
        <v>1</v>
      </c>
      <c r="I185" s="21">
        <v>43610</v>
      </c>
      <c r="J185">
        <v>10</v>
      </c>
      <c r="K185" s="21">
        <v>4361</v>
      </c>
      <c r="L185" s="21">
        <v>39249</v>
      </c>
      <c r="M185" s="21">
        <v>31622.69</v>
      </c>
      <c r="N185" s="21">
        <v>7626.31</v>
      </c>
      <c r="O185" t="s">
        <v>55</v>
      </c>
      <c r="P185" s="21">
        <v>2070.2399999999998</v>
      </c>
      <c r="Q185" t="s">
        <v>40</v>
      </c>
      <c r="R185" t="s">
        <v>41</v>
      </c>
      <c r="S185">
        <v>2</v>
      </c>
      <c r="T185">
        <v>4</v>
      </c>
      <c r="U185" t="s">
        <v>32</v>
      </c>
      <c r="V185" t="s">
        <v>42</v>
      </c>
    </row>
    <row r="186" spans="1:23" x14ac:dyDescent="0.25">
      <c r="A186" t="s">
        <v>426</v>
      </c>
      <c r="B186" s="1">
        <v>45715</v>
      </c>
      <c r="C186" t="s">
        <v>427</v>
      </c>
      <c r="D186" t="s">
        <v>45</v>
      </c>
      <c r="E186" t="s">
        <v>26</v>
      </c>
      <c r="F186" t="s">
        <v>86</v>
      </c>
      <c r="G186" t="s">
        <v>127</v>
      </c>
      <c r="H186">
        <v>2</v>
      </c>
      <c r="I186" s="21">
        <v>66387</v>
      </c>
      <c r="J186">
        <v>20</v>
      </c>
      <c r="K186" s="21">
        <v>26554.799999999999</v>
      </c>
      <c r="L186" s="21">
        <v>106219.2</v>
      </c>
      <c r="M186" s="21">
        <v>61755.040000000001</v>
      </c>
      <c r="N186" s="21">
        <v>44464.160000000003</v>
      </c>
      <c r="O186" t="s">
        <v>60</v>
      </c>
      <c r="P186" s="21">
        <v>2013.91</v>
      </c>
      <c r="Q186" t="s">
        <v>68</v>
      </c>
      <c r="R186" t="s">
        <v>41</v>
      </c>
      <c r="S186">
        <v>2</v>
      </c>
      <c r="T186">
        <v>1</v>
      </c>
      <c r="U186" t="s">
        <v>32</v>
      </c>
      <c r="V186" t="s">
        <v>33</v>
      </c>
      <c r="W186">
        <v>5</v>
      </c>
    </row>
    <row r="187" spans="1:23" x14ac:dyDescent="0.25">
      <c r="A187" t="s">
        <v>428</v>
      </c>
      <c r="B187" s="1">
        <v>45843</v>
      </c>
      <c r="C187" t="s">
        <v>429</v>
      </c>
      <c r="D187" t="s">
        <v>25</v>
      </c>
      <c r="E187" t="s">
        <v>26</v>
      </c>
      <c r="F187" t="s">
        <v>47</v>
      </c>
      <c r="G187" t="s">
        <v>48</v>
      </c>
      <c r="H187">
        <v>2</v>
      </c>
      <c r="I187" s="21">
        <v>23269</v>
      </c>
      <c r="J187">
        <v>10</v>
      </c>
      <c r="K187" s="21">
        <v>4653.8</v>
      </c>
      <c r="L187" s="21">
        <v>41884.199999999997</v>
      </c>
      <c r="M187" s="21">
        <v>23896.1</v>
      </c>
      <c r="N187" s="21">
        <v>17988.099999999999</v>
      </c>
      <c r="O187" t="s">
        <v>29</v>
      </c>
      <c r="P187" s="21">
        <v>1013.14</v>
      </c>
      <c r="Q187" t="s">
        <v>40</v>
      </c>
      <c r="R187" t="s">
        <v>41</v>
      </c>
      <c r="S187">
        <v>2</v>
      </c>
      <c r="T187">
        <v>3</v>
      </c>
      <c r="U187" t="s">
        <v>56</v>
      </c>
      <c r="V187" t="s">
        <v>33</v>
      </c>
      <c r="W187">
        <v>3</v>
      </c>
    </row>
    <row r="188" spans="1:23" x14ac:dyDescent="0.25">
      <c r="A188" t="s">
        <v>430</v>
      </c>
      <c r="B188" s="1">
        <v>45815</v>
      </c>
      <c r="C188" t="s">
        <v>303</v>
      </c>
      <c r="D188" t="s">
        <v>67</v>
      </c>
      <c r="E188" t="s">
        <v>46</v>
      </c>
      <c r="F188" t="s">
        <v>86</v>
      </c>
      <c r="G188" t="s">
        <v>87</v>
      </c>
      <c r="H188">
        <v>2</v>
      </c>
      <c r="I188" s="21">
        <v>36042</v>
      </c>
      <c r="J188">
        <v>10</v>
      </c>
      <c r="K188" s="21">
        <v>7208.4</v>
      </c>
      <c r="L188" s="21">
        <v>64875.6</v>
      </c>
      <c r="M188" s="21">
        <v>38414.06</v>
      </c>
      <c r="N188" s="21">
        <v>26461.54</v>
      </c>
      <c r="O188" t="s">
        <v>49</v>
      </c>
      <c r="P188" s="21">
        <v>354.12</v>
      </c>
      <c r="Q188" t="s">
        <v>30</v>
      </c>
      <c r="R188" t="s">
        <v>31</v>
      </c>
      <c r="S188">
        <v>5</v>
      </c>
      <c r="T188">
        <v>5</v>
      </c>
      <c r="U188" t="s">
        <v>32</v>
      </c>
      <c r="V188" t="s">
        <v>33</v>
      </c>
      <c r="W188">
        <v>1</v>
      </c>
    </row>
    <row r="189" spans="1:23" x14ac:dyDescent="0.25">
      <c r="A189" t="s">
        <v>431</v>
      </c>
      <c r="B189" s="1">
        <v>45780</v>
      </c>
      <c r="C189" t="s">
        <v>267</v>
      </c>
      <c r="D189" t="s">
        <v>90</v>
      </c>
      <c r="E189" t="s">
        <v>46</v>
      </c>
      <c r="F189" t="s">
        <v>37</v>
      </c>
      <c r="G189" t="s">
        <v>224</v>
      </c>
      <c r="H189">
        <v>1</v>
      </c>
      <c r="I189" s="21">
        <v>37497</v>
      </c>
      <c r="J189">
        <v>10</v>
      </c>
      <c r="K189" s="21">
        <v>3749.7</v>
      </c>
      <c r="L189" s="21">
        <v>33747.300000000003</v>
      </c>
      <c r="M189" s="21">
        <v>22186.400000000001</v>
      </c>
      <c r="N189" s="21">
        <v>11560.9</v>
      </c>
      <c r="O189" t="s">
        <v>60</v>
      </c>
      <c r="P189" s="21">
        <v>1409.19</v>
      </c>
      <c r="Q189" t="s">
        <v>30</v>
      </c>
      <c r="R189" t="s">
        <v>31</v>
      </c>
      <c r="S189">
        <v>5</v>
      </c>
      <c r="T189">
        <v>0</v>
      </c>
      <c r="U189" t="s">
        <v>32</v>
      </c>
      <c r="V189" t="s">
        <v>42</v>
      </c>
    </row>
    <row r="190" spans="1:23" x14ac:dyDescent="0.25">
      <c r="A190" t="s">
        <v>432</v>
      </c>
      <c r="B190" s="1">
        <v>45687</v>
      </c>
      <c r="C190" t="s">
        <v>102</v>
      </c>
      <c r="D190" t="s">
        <v>97</v>
      </c>
      <c r="E190" t="s">
        <v>46</v>
      </c>
      <c r="F190" t="s">
        <v>27</v>
      </c>
      <c r="G190" t="s">
        <v>28</v>
      </c>
      <c r="H190">
        <v>2</v>
      </c>
      <c r="I190" s="21">
        <v>26380</v>
      </c>
      <c r="J190">
        <v>20</v>
      </c>
      <c r="K190" s="21">
        <v>10552</v>
      </c>
      <c r="L190" s="21">
        <v>42208</v>
      </c>
      <c r="M190" s="21">
        <v>26811.61</v>
      </c>
      <c r="N190" s="21">
        <v>15396.39</v>
      </c>
      <c r="O190" t="s">
        <v>39</v>
      </c>
      <c r="P190" s="21">
        <v>684.73</v>
      </c>
      <c r="Q190" t="s">
        <v>40</v>
      </c>
      <c r="R190" t="s">
        <v>31</v>
      </c>
      <c r="S190">
        <v>5</v>
      </c>
      <c r="T190">
        <v>3</v>
      </c>
      <c r="U190" t="s">
        <v>32</v>
      </c>
      <c r="V190" t="s">
        <v>33</v>
      </c>
      <c r="W190">
        <v>5</v>
      </c>
    </row>
    <row r="191" spans="1:23" x14ac:dyDescent="0.25">
      <c r="A191" t="s">
        <v>433</v>
      </c>
      <c r="B191" s="1">
        <v>45781</v>
      </c>
      <c r="C191" t="s">
        <v>434</v>
      </c>
      <c r="D191" t="s">
        <v>45</v>
      </c>
      <c r="E191" t="s">
        <v>46</v>
      </c>
      <c r="F191" t="s">
        <v>53</v>
      </c>
      <c r="G191" t="s">
        <v>59</v>
      </c>
      <c r="H191">
        <v>1</v>
      </c>
      <c r="I191" s="21">
        <v>44311</v>
      </c>
      <c r="J191">
        <v>20</v>
      </c>
      <c r="K191" s="21">
        <v>8862.2000000000007</v>
      </c>
      <c r="L191" s="21">
        <v>35448.800000000003</v>
      </c>
      <c r="M191" s="21">
        <v>23554.47</v>
      </c>
      <c r="N191" s="21">
        <v>11894.33</v>
      </c>
      <c r="O191" t="s">
        <v>39</v>
      </c>
      <c r="P191" s="21">
        <v>2164.9499999999998</v>
      </c>
      <c r="Q191" t="s">
        <v>73</v>
      </c>
      <c r="R191" t="s">
        <v>41</v>
      </c>
      <c r="S191">
        <v>2</v>
      </c>
      <c r="T191">
        <v>1</v>
      </c>
      <c r="U191" t="s">
        <v>32</v>
      </c>
      <c r="V191" t="s">
        <v>33</v>
      </c>
      <c r="W191">
        <v>3</v>
      </c>
    </row>
    <row r="192" spans="1:23" x14ac:dyDescent="0.25">
      <c r="A192" t="s">
        <v>435</v>
      </c>
      <c r="B192" s="1">
        <v>45948</v>
      </c>
      <c r="C192" t="s">
        <v>310</v>
      </c>
      <c r="D192" t="s">
        <v>154</v>
      </c>
      <c r="E192" t="s">
        <v>26</v>
      </c>
      <c r="F192" t="s">
        <v>27</v>
      </c>
      <c r="G192" t="s">
        <v>76</v>
      </c>
      <c r="H192">
        <v>2</v>
      </c>
      <c r="I192" s="21">
        <v>21697</v>
      </c>
      <c r="J192">
        <v>15</v>
      </c>
      <c r="K192" s="21">
        <v>6509.1</v>
      </c>
      <c r="L192" s="21">
        <v>36884.9</v>
      </c>
      <c r="M192" s="21">
        <v>22239.27</v>
      </c>
      <c r="N192" s="21">
        <v>14645.63</v>
      </c>
      <c r="O192" t="s">
        <v>29</v>
      </c>
      <c r="P192" s="21">
        <v>222.41</v>
      </c>
      <c r="Q192" t="s">
        <v>30</v>
      </c>
      <c r="R192" t="s">
        <v>31</v>
      </c>
      <c r="S192">
        <v>5</v>
      </c>
      <c r="T192">
        <v>3</v>
      </c>
      <c r="U192" t="s">
        <v>32</v>
      </c>
      <c r="V192" t="s">
        <v>50</v>
      </c>
      <c r="W192">
        <v>5</v>
      </c>
    </row>
    <row r="193" spans="1:23" x14ac:dyDescent="0.25">
      <c r="A193" t="s">
        <v>436</v>
      </c>
      <c r="B193" s="1">
        <v>45698</v>
      </c>
      <c r="C193" t="s">
        <v>112</v>
      </c>
      <c r="D193" t="s">
        <v>97</v>
      </c>
      <c r="E193" t="s">
        <v>46</v>
      </c>
      <c r="F193" t="s">
        <v>27</v>
      </c>
      <c r="G193" t="s">
        <v>76</v>
      </c>
      <c r="H193">
        <v>1</v>
      </c>
      <c r="I193" s="21">
        <v>5063</v>
      </c>
      <c r="J193">
        <v>0</v>
      </c>
      <c r="K193" s="21">
        <v>0</v>
      </c>
      <c r="L193" s="21">
        <v>5063</v>
      </c>
      <c r="M193" s="21">
        <v>3728.63</v>
      </c>
      <c r="N193" s="21">
        <v>1334.37</v>
      </c>
      <c r="O193" t="s">
        <v>49</v>
      </c>
      <c r="P193" s="21">
        <v>164.43</v>
      </c>
      <c r="Q193" t="s">
        <v>83</v>
      </c>
      <c r="R193" t="s">
        <v>31</v>
      </c>
      <c r="S193">
        <v>5</v>
      </c>
      <c r="T193">
        <v>6</v>
      </c>
      <c r="U193" t="s">
        <v>56</v>
      </c>
      <c r="V193" t="s">
        <v>33</v>
      </c>
      <c r="W193">
        <v>5</v>
      </c>
    </row>
    <row r="194" spans="1:23" x14ac:dyDescent="0.25">
      <c r="A194" t="s">
        <v>437</v>
      </c>
      <c r="B194" s="1">
        <v>45701</v>
      </c>
      <c r="C194" t="s">
        <v>438</v>
      </c>
      <c r="D194" t="s">
        <v>25</v>
      </c>
      <c r="E194" t="s">
        <v>26</v>
      </c>
      <c r="F194" t="s">
        <v>27</v>
      </c>
      <c r="G194" t="s">
        <v>72</v>
      </c>
      <c r="H194">
        <v>3</v>
      </c>
      <c r="I194" s="21">
        <v>16992</v>
      </c>
      <c r="J194">
        <v>10</v>
      </c>
      <c r="K194" s="21">
        <v>5097.6000000000004</v>
      </c>
      <c r="L194" s="21">
        <v>45878.400000000001</v>
      </c>
      <c r="M194" s="21">
        <v>35977.360000000001</v>
      </c>
      <c r="N194" s="21">
        <v>9901.0400000000009</v>
      </c>
      <c r="O194" t="s">
        <v>39</v>
      </c>
      <c r="P194" s="21">
        <v>1524.56</v>
      </c>
      <c r="Q194" t="s">
        <v>40</v>
      </c>
      <c r="R194" t="s">
        <v>31</v>
      </c>
      <c r="S194">
        <v>5</v>
      </c>
      <c r="T194">
        <v>4</v>
      </c>
      <c r="U194" t="s">
        <v>32</v>
      </c>
      <c r="V194" t="s">
        <v>42</v>
      </c>
    </row>
    <row r="195" spans="1:23" x14ac:dyDescent="0.25">
      <c r="A195" t="s">
        <v>439</v>
      </c>
      <c r="B195" s="1">
        <v>45906</v>
      </c>
      <c r="C195" t="s">
        <v>440</v>
      </c>
      <c r="D195" t="s">
        <v>25</v>
      </c>
      <c r="E195" t="s">
        <v>26</v>
      </c>
      <c r="F195" t="s">
        <v>47</v>
      </c>
      <c r="G195" t="s">
        <v>48</v>
      </c>
      <c r="H195">
        <v>2</v>
      </c>
      <c r="I195" s="21">
        <v>12138</v>
      </c>
      <c r="J195">
        <v>20</v>
      </c>
      <c r="K195" s="21">
        <v>4855.2</v>
      </c>
      <c r="L195" s="21">
        <v>19420.8</v>
      </c>
      <c r="M195" s="21">
        <v>13993.9</v>
      </c>
      <c r="N195" s="21">
        <v>5426.9</v>
      </c>
      <c r="O195" t="s">
        <v>49</v>
      </c>
      <c r="P195" s="21">
        <v>413.47</v>
      </c>
      <c r="Q195" t="s">
        <v>73</v>
      </c>
      <c r="R195" t="s">
        <v>31</v>
      </c>
      <c r="S195">
        <v>5</v>
      </c>
      <c r="T195">
        <v>2</v>
      </c>
      <c r="U195" t="s">
        <v>32</v>
      </c>
      <c r="V195" t="s">
        <v>33</v>
      </c>
      <c r="W195">
        <v>5</v>
      </c>
    </row>
    <row r="196" spans="1:23" x14ac:dyDescent="0.25">
      <c r="A196" t="s">
        <v>441</v>
      </c>
      <c r="B196" s="1">
        <v>45693</v>
      </c>
      <c r="C196" t="s">
        <v>310</v>
      </c>
      <c r="D196" t="s">
        <v>71</v>
      </c>
      <c r="E196" t="s">
        <v>46</v>
      </c>
      <c r="F196" t="s">
        <v>27</v>
      </c>
      <c r="G196" t="s">
        <v>28</v>
      </c>
      <c r="H196">
        <v>1</v>
      </c>
      <c r="I196" s="21">
        <v>26779</v>
      </c>
      <c r="J196">
        <v>15</v>
      </c>
      <c r="K196" s="21">
        <v>4016.85</v>
      </c>
      <c r="L196" s="21">
        <v>22762.15</v>
      </c>
      <c r="M196" s="21">
        <v>14186.21</v>
      </c>
      <c r="N196" s="21">
        <v>8575.94</v>
      </c>
      <c r="O196" t="s">
        <v>55</v>
      </c>
      <c r="P196" s="21">
        <v>1549.92</v>
      </c>
      <c r="Q196" t="s">
        <v>30</v>
      </c>
      <c r="R196" t="s">
        <v>41</v>
      </c>
      <c r="S196">
        <v>2</v>
      </c>
      <c r="T196">
        <v>2</v>
      </c>
      <c r="U196" t="s">
        <v>32</v>
      </c>
      <c r="V196" t="s">
        <v>33</v>
      </c>
      <c r="W196">
        <v>5</v>
      </c>
    </row>
    <row r="197" spans="1:23" x14ac:dyDescent="0.25">
      <c r="A197" t="s">
        <v>442</v>
      </c>
      <c r="B197" s="1">
        <v>45930</v>
      </c>
      <c r="C197" t="s">
        <v>221</v>
      </c>
      <c r="D197" t="s">
        <v>90</v>
      </c>
      <c r="E197" t="s">
        <v>26</v>
      </c>
      <c r="F197" t="s">
        <v>27</v>
      </c>
      <c r="G197" t="s">
        <v>76</v>
      </c>
      <c r="H197">
        <v>2</v>
      </c>
      <c r="I197" s="21">
        <v>10400</v>
      </c>
      <c r="J197">
        <v>15</v>
      </c>
      <c r="K197" s="21">
        <v>3120</v>
      </c>
      <c r="L197" s="21">
        <v>17680</v>
      </c>
      <c r="M197" s="21">
        <v>10215.73</v>
      </c>
      <c r="N197" s="21">
        <v>7464.27</v>
      </c>
      <c r="O197" t="s">
        <v>91</v>
      </c>
      <c r="P197" s="21">
        <v>323.8</v>
      </c>
      <c r="Q197" t="s">
        <v>30</v>
      </c>
      <c r="R197" t="s">
        <v>41</v>
      </c>
      <c r="S197">
        <v>2</v>
      </c>
      <c r="T197">
        <v>2</v>
      </c>
      <c r="U197" t="s">
        <v>32</v>
      </c>
      <c r="V197" t="s">
        <v>33</v>
      </c>
      <c r="W197">
        <v>5</v>
      </c>
    </row>
    <row r="198" spans="1:23" x14ac:dyDescent="0.25">
      <c r="A198" t="s">
        <v>443</v>
      </c>
      <c r="B198" s="1">
        <v>45722</v>
      </c>
      <c r="C198" t="s">
        <v>85</v>
      </c>
      <c r="D198" t="s">
        <v>63</v>
      </c>
      <c r="E198" t="s">
        <v>46</v>
      </c>
      <c r="F198" t="s">
        <v>37</v>
      </c>
      <c r="G198" t="s">
        <v>224</v>
      </c>
      <c r="H198">
        <v>2</v>
      </c>
      <c r="I198" s="21">
        <v>22623</v>
      </c>
      <c r="J198">
        <v>20</v>
      </c>
      <c r="K198" s="21">
        <v>9049.2000000000007</v>
      </c>
      <c r="L198" s="21">
        <v>36196.800000000003</v>
      </c>
      <c r="M198" s="21">
        <v>26030.92</v>
      </c>
      <c r="N198" s="21">
        <v>10165.879999999999</v>
      </c>
      <c r="O198" t="s">
        <v>29</v>
      </c>
      <c r="P198" s="21">
        <v>280.86</v>
      </c>
      <c r="Q198" t="s">
        <v>73</v>
      </c>
      <c r="R198" t="s">
        <v>31</v>
      </c>
      <c r="S198">
        <v>5</v>
      </c>
      <c r="T198">
        <v>3</v>
      </c>
      <c r="U198" t="s">
        <v>32</v>
      </c>
      <c r="V198" t="s">
        <v>33</v>
      </c>
      <c r="W198">
        <v>1</v>
      </c>
    </row>
    <row r="199" spans="1:23" x14ac:dyDescent="0.25">
      <c r="A199" t="s">
        <v>444</v>
      </c>
      <c r="B199" s="1">
        <v>45723</v>
      </c>
      <c r="C199" t="s">
        <v>445</v>
      </c>
      <c r="D199" t="s">
        <v>97</v>
      </c>
      <c r="E199" t="s">
        <v>26</v>
      </c>
      <c r="F199" t="s">
        <v>86</v>
      </c>
      <c r="G199" t="s">
        <v>127</v>
      </c>
      <c r="H199">
        <v>1</v>
      </c>
      <c r="I199" s="21">
        <v>29204</v>
      </c>
      <c r="J199">
        <v>15</v>
      </c>
      <c r="K199" s="21">
        <v>4380.6000000000004</v>
      </c>
      <c r="L199" s="21">
        <v>24823.4</v>
      </c>
      <c r="M199" s="21">
        <v>17161.259999999998</v>
      </c>
      <c r="N199" s="21">
        <v>7662.14</v>
      </c>
      <c r="O199" t="s">
        <v>39</v>
      </c>
      <c r="P199" s="21">
        <v>1441.24</v>
      </c>
      <c r="Q199" t="s">
        <v>83</v>
      </c>
      <c r="R199" t="s">
        <v>41</v>
      </c>
      <c r="S199">
        <v>2</v>
      </c>
      <c r="T199">
        <v>2</v>
      </c>
      <c r="U199" t="s">
        <v>32</v>
      </c>
      <c r="V199" t="s">
        <v>50</v>
      </c>
      <c r="W199">
        <v>4</v>
      </c>
    </row>
    <row r="200" spans="1:23" x14ac:dyDescent="0.25">
      <c r="A200" t="s">
        <v>446</v>
      </c>
      <c r="B200" s="1">
        <v>45995</v>
      </c>
      <c r="C200" t="s">
        <v>447</v>
      </c>
      <c r="D200" t="s">
        <v>71</v>
      </c>
      <c r="E200" t="s">
        <v>46</v>
      </c>
      <c r="F200" t="s">
        <v>27</v>
      </c>
      <c r="G200" t="s">
        <v>72</v>
      </c>
      <c r="H200">
        <v>1</v>
      </c>
      <c r="I200" s="21">
        <v>12896</v>
      </c>
      <c r="J200">
        <v>25</v>
      </c>
      <c r="K200" s="21">
        <v>3224</v>
      </c>
      <c r="L200" s="21">
        <v>9672</v>
      </c>
      <c r="M200" s="21">
        <v>5341.32</v>
      </c>
      <c r="N200" s="21">
        <v>4330.68</v>
      </c>
      <c r="O200" t="s">
        <v>39</v>
      </c>
      <c r="P200" s="21">
        <v>221</v>
      </c>
      <c r="Q200" t="s">
        <v>30</v>
      </c>
      <c r="R200" t="s">
        <v>41</v>
      </c>
      <c r="S200">
        <v>2</v>
      </c>
      <c r="T200">
        <v>2</v>
      </c>
      <c r="U200" t="s">
        <v>32</v>
      </c>
      <c r="V200" t="s">
        <v>33</v>
      </c>
      <c r="W200">
        <v>3</v>
      </c>
    </row>
    <row r="201" spans="1:23" x14ac:dyDescent="0.25">
      <c r="A201" t="s">
        <v>448</v>
      </c>
      <c r="B201" s="1">
        <v>45901</v>
      </c>
      <c r="C201" t="s">
        <v>449</v>
      </c>
      <c r="D201" t="s">
        <v>90</v>
      </c>
      <c r="E201" t="s">
        <v>46</v>
      </c>
      <c r="F201" t="s">
        <v>86</v>
      </c>
      <c r="G201" t="s">
        <v>110</v>
      </c>
      <c r="H201">
        <v>1</v>
      </c>
      <c r="I201" s="21">
        <v>57740</v>
      </c>
      <c r="J201">
        <v>15</v>
      </c>
      <c r="K201" s="21">
        <v>8661</v>
      </c>
      <c r="L201" s="21">
        <v>49079</v>
      </c>
      <c r="M201" s="21">
        <v>37971.21</v>
      </c>
      <c r="N201" s="21">
        <v>11107.79</v>
      </c>
      <c r="O201" t="s">
        <v>29</v>
      </c>
      <c r="P201" s="21">
        <v>1171.1500000000001</v>
      </c>
      <c r="Q201" t="s">
        <v>68</v>
      </c>
      <c r="R201" t="s">
        <v>41</v>
      </c>
      <c r="S201">
        <v>2</v>
      </c>
      <c r="T201">
        <v>1</v>
      </c>
      <c r="U201" t="s">
        <v>32</v>
      </c>
      <c r="V201" t="s">
        <v>33</v>
      </c>
      <c r="W201">
        <v>1</v>
      </c>
    </row>
    <row r="202" spans="1:23" x14ac:dyDescent="0.25">
      <c r="A202" t="s">
        <v>450</v>
      </c>
      <c r="B202" s="1">
        <v>45939</v>
      </c>
      <c r="C202" t="s">
        <v>451</v>
      </c>
      <c r="D202" t="s">
        <v>63</v>
      </c>
      <c r="E202" t="s">
        <v>26</v>
      </c>
      <c r="F202" t="s">
        <v>37</v>
      </c>
      <c r="G202" t="s">
        <v>38</v>
      </c>
      <c r="H202">
        <v>2</v>
      </c>
      <c r="I202" s="21">
        <v>12953</v>
      </c>
      <c r="J202">
        <v>10</v>
      </c>
      <c r="K202" s="21">
        <v>2590.6</v>
      </c>
      <c r="L202" s="21">
        <v>23315.4</v>
      </c>
      <c r="M202" s="21">
        <v>13518.18</v>
      </c>
      <c r="N202" s="21">
        <v>9797.2199999999993</v>
      </c>
      <c r="O202" t="s">
        <v>49</v>
      </c>
      <c r="P202" s="21">
        <v>365.21</v>
      </c>
      <c r="Q202" t="s">
        <v>30</v>
      </c>
      <c r="R202" t="s">
        <v>41</v>
      </c>
      <c r="S202">
        <v>2</v>
      </c>
      <c r="T202">
        <v>2</v>
      </c>
      <c r="U202" t="s">
        <v>32</v>
      </c>
      <c r="V202" t="s">
        <v>33</v>
      </c>
      <c r="W202">
        <v>3</v>
      </c>
    </row>
    <row r="203" spans="1:23" x14ac:dyDescent="0.25">
      <c r="A203" t="s">
        <v>452</v>
      </c>
      <c r="B203" s="1">
        <v>45742</v>
      </c>
      <c r="C203" t="s">
        <v>453</v>
      </c>
      <c r="D203" t="s">
        <v>154</v>
      </c>
      <c r="E203" t="s">
        <v>36</v>
      </c>
      <c r="F203" t="s">
        <v>47</v>
      </c>
      <c r="G203" t="s">
        <v>48</v>
      </c>
      <c r="H203">
        <v>1</v>
      </c>
      <c r="I203" s="21">
        <v>25488</v>
      </c>
      <c r="J203">
        <v>0</v>
      </c>
      <c r="K203" s="21">
        <v>0</v>
      </c>
      <c r="L203" s="21">
        <v>25488</v>
      </c>
      <c r="M203" s="21">
        <v>15620.55</v>
      </c>
      <c r="N203" s="21">
        <v>9867.4500000000007</v>
      </c>
      <c r="P203" s="21">
        <v>699.53</v>
      </c>
      <c r="Q203" t="s">
        <v>30</v>
      </c>
      <c r="R203" t="s">
        <v>31</v>
      </c>
      <c r="S203">
        <v>5</v>
      </c>
      <c r="T203">
        <v>6</v>
      </c>
      <c r="U203" t="s">
        <v>56</v>
      </c>
      <c r="V203" t="s">
        <v>33</v>
      </c>
      <c r="W203">
        <v>4</v>
      </c>
    </row>
    <row r="204" spans="1:23" x14ac:dyDescent="0.25">
      <c r="A204" t="s">
        <v>454</v>
      </c>
      <c r="B204" s="1">
        <v>45793</v>
      </c>
      <c r="C204" t="s">
        <v>455</v>
      </c>
      <c r="D204" t="s">
        <v>67</v>
      </c>
      <c r="E204" t="s">
        <v>26</v>
      </c>
      <c r="F204" t="s">
        <v>86</v>
      </c>
      <c r="G204" t="s">
        <v>127</v>
      </c>
      <c r="H204">
        <v>1</v>
      </c>
      <c r="I204" s="21">
        <v>13345</v>
      </c>
      <c r="J204">
        <v>0</v>
      </c>
      <c r="K204" s="21">
        <v>0</v>
      </c>
      <c r="L204" s="21">
        <v>13345</v>
      </c>
      <c r="M204" s="21">
        <v>9296.9500000000007</v>
      </c>
      <c r="N204" s="21">
        <v>4048.05</v>
      </c>
      <c r="O204" t="s">
        <v>49</v>
      </c>
      <c r="P204" s="21">
        <v>162.54</v>
      </c>
      <c r="Q204" t="s">
        <v>30</v>
      </c>
      <c r="R204" t="s">
        <v>31</v>
      </c>
      <c r="S204">
        <v>5</v>
      </c>
      <c r="T204">
        <v>7</v>
      </c>
      <c r="U204" t="s">
        <v>56</v>
      </c>
      <c r="V204" t="s">
        <v>33</v>
      </c>
      <c r="W204">
        <v>5</v>
      </c>
    </row>
    <row r="205" spans="1:23" x14ac:dyDescent="0.25">
      <c r="A205" t="s">
        <v>456</v>
      </c>
      <c r="B205" s="1">
        <v>45928</v>
      </c>
      <c r="C205" t="s">
        <v>156</v>
      </c>
      <c r="D205" t="s">
        <v>71</v>
      </c>
      <c r="E205" t="s">
        <v>46</v>
      </c>
      <c r="F205" t="s">
        <v>53</v>
      </c>
      <c r="G205" t="s">
        <v>151</v>
      </c>
      <c r="H205">
        <v>4</v>
      </c>
      <c r="I205" s="21">
        <v>35106</v>
      </c>
      <c r="J205">
        <v>20</v>
      </c>
      <c r="K205" s="21">
        <v>28084.799999999999</v>
      </c>
      <c r="L205" s="21">
        <v>112339.2</v>
      </c>
      <c r="M205" s="21">
        <v>73589.279999999999</v>
      </c>
      <c r="N205" s="21">
        <v>38749.919999999998</v>
      </c>
      <c r="O205" t="s">
        <v>60</v>
      </c>
      <c r="P205" s="21">
        <v>1647.08</v>
      </c>
      <c r="Q205" t="s">
        <v>83</v>
      </c>
      <c r="R205" t="s">
        <v>41</v>
      </c>
      <c r="S205">
        <v>2</v>
      </c>
      <c r="T205">
        <v>4</v>
      </c>
      <c r="U205" t="s">
        <v>56</v>
      </c>
      <c r="V205" t="s">
        <v>33</v>
      </c>
      <c r="W205">
        <v>2</v>
      </c>
    </row>
    <row r="206" spans="1:23" x14ac:dyDescent="0.25">
      <c r="A206" t="s">
        <v>457</v>
      </c>
      <c r="B206" s="1">
        <v>45968</v>
      </c>
      <c r="C206" t="s">
        <v>458</v>
      </c>
      <c r="D206" t="s">
        <v>63</v>
      </c>
      <c r="E206" t="s">
        <v>26</v>
      </c>
      <c r="F206" t="s">
        <v>37</v>
      </c>
      <c r="G206" t="s">
        <v>38</v>
      </c>
      <c r="H206">
        <v>1</v>
      </c>
      <c r="I206" s="21">
        <v>19464</v>
      </c>
      <c r="J206">
        <v>15</v>
      </c>
      <c r="K206" s="21">
        <v>2919.6</v>
      </c>
      <c r="L206" s="21">
        <v>16544.400000000001</v>
      </c>
      <c r="M206" s="21">
        <v>10549.02</v>
      </c>
      <c r="N206" s="21">
        <v>5995.38</v>
      </c>
      <c r="O206" t="s">
        <v>60</v>
      </c>
      <c r="P206" s="21">
        <v>475.19</v>
      </c>
      <c r="Q206" t="s">
        <v>68</v>
      </c>
      <c r="R206" t="s">
        <v>41</v>
      </c>
      <c r="S206">
        <v>2</v>
      </c>
      <c r="T206">
        <v>1</v>
      </c>
      <c r="U206" t="s">
        <v>32</v>
      </c>
      <c r="V206" t="s">
        <v>33</v>
      </c>
      <c r="W206">
        <v>5</v>
      </c>
    </row>
    <row r="207" spans="1:23" x14ac:dyDescent="0.25">
      <c r="A207" t="s">
        <v>459</v>
      </c>
      <c r="B207" s="1">
        <v>45874</v>
      </c>
      <c r="C207" t="s">
        <v>460</v>
      </c>
      <c r="D207" t="s">
        <v>67</v>
      </c>
      <c r="E207" t="s">
        <v>26</v>
      </c>
      <c r="F207" t="s">
        <v>53</v>
      </c>
      <c r="G207" t="s">
        <v>151</v>
      </c>
      <c r="H207">
        <v>1</v>
      </c>
      <c r="I207" s="21">
        <v>20728</v>
      </c>
      <c r="J207">
        <v>10</v>
      </c>
      <c r="K207" s="21">
        <v>2072.8000000000002</v>
      </c>
      <c r="L207" s="21">
        <v>18655.2</v>
      </c>
      <c r="M207" s="21">
        <v>14948.96</v>
      </c>
      <c r="N207" s="21">
        <v>3706.24</v>
      </c>
      <c r="O207" t="s">
        <v>49</v>
      </c>
      <c r="P207" s="21">
        <v>340.06</v>
      </c>
      <c r="Q207" t="s">
        <v>40</v>
      </c>
      <c r="R207" t="s">
        <v>31</v>
      </c>
      <c r="S207">
        <v>5</v>
      </c>
      <c r="T207">
        <v>0</v>
      </c>
      <c r="U207" t="s">
        <v>32</v>
      </c>
      <c r="V207" t="s">
        <v>50</v>
      </c>
      <c r="W207">
        <v>3</v>
      </c>
    </row>
    <row r="208" spans="1:23" x14ac:dyDescent="0.25">
      <c r="A208" t="s">
        <v>461</v>
      </c>
      <c r="B208" s="1">
        <v>45766</v>
      </c>
      <c r="C208" t="s">
        <v>462</v>
      </c>
      <c r="D208" t="s">
        <v>124</v>
      </c>
      <c r="E208" t="s">
        <v>36</v>
      </c>
      <c r="F208" t="s">
        <v>53</v>
      </c>
      <c r="G208" t="s">
        <v>268</v>
      </c>
      <c r="H208">
        <v>2</v>
      </c>
      <c r="I208" s="21">
        <v>108181</v>
      </c>
      <c r="J208">
        <v>0</v>
      </c>
      <c r="K208" s="21">
        <v>0</v>
      </c>
      <c r="L208" s="21">
        <v>216362</v>
      </c>
      <c r="M208" s="21">
        <v>159263.53</v>
      </c>
      <c r="N208" s="21">
        <v>57098.47</v>
      </c>
      <c r="O208" t="s">
        <v>39</v>
      </c>
      <c r="P208" s="21">
        <v>2266.9299999999998</v>
      </c>
      <c r="Q208" t="s">
        <v>30</v>
      </c>
      <c r="R208" t="s">
        <v>31</v>
      </c>
      <c r="S208">
        <v>5</v>
      </c>
      <c r="T208">
        <v>6</v>
      </c>
      <c r="U208" t="s">
        <v>56</v>
      </c>
      <c r="V208" t="s">
        <v>33</v>
      </c>
      <c r="W208">
        <v>3</v>
      </c>
    </row>
    <row r="209" spans="1:23" x14ac:dyDescent="0.25">
      <c r="A209" t="s">
        <v>463</v>
      </c>
      <c r="B209" s="1">
        <v>45934</v>
      </c>
      <c r="C209" t="s">
        <v>305</v>
      </c>
      <c r="D209" t="s">
        <v>97</v>
      </c>
      <c r="E209" t="s">
        <v>26</v>
      </c>
      <c r="F209" t="s">
        <v>27</v>
      </c>
      <c r="G209" t="s">
        <v>28</v>
      </c>
      <c r="H209">
        <v>2</v>
      </c>
      <c r="I209" s="21">
        <v>27499</v>
      </c>
      <c r="J209">
        <v>10</v>
      </c>
      <c r="K209" s="21">
        <v>5499.8</v>
      </c>
      <c r="L209" s="21">
        <v>49498.2</v>
      </c>
      <c r="M209" s="21">
        <v>38819.89</v>
      </c>
      <c r="N209" s="21">
        <v>10678.31</v>
      </c>
      <c r="O209" t="s">
        <v>49</v>
      </c>
      <c r="P209" s="21">
        <v>289.01</v>
      </c>
      <c r="Q209" t="s">
        <v>30</v>
      </c>
      <c r="R209" t="s">
        <v>31</v>
      </c>
      <c r="S209">
        <v>5</v>
      </c>
      <c r="T209">
        <v>0</v>
      </c>
      <c r="U209" t="s">
        <v>32</v>
      </c>
      <c r="V209" t="s">
        <v>42</v>
      </c>
    </row>
    <row r="210" spans="1:23" x14ac:dyDescent="0.25">
      <c r="A210" t="s">
        <v>464</v>
      </c>
      <c r="B210" s="1">
        <v>46011</v>
      </c>
      <c r="C210" t="s">
        <v>267</v>
      </c>
      <c r="D210" t="s">
        <v>25</v>
      </c>
      <c r="E210" t="s">
        <v>46</v>
      </c>
      <c r="F210" t="s">
        <v>86</v>
      </c>
      <c r="G210" t="s">
        <v>94</v>
      </c>
      <c r="H210">
        <v>2</v>
      </c>
      <c r="I210" s="21">
        <v>8453</v>
      </c>
      <c r="J210">
        <v>5</v>
      </c>
      <c r="K210" s="21">
        <v>845.3</v>
      </c>
      <c r="L210" s="21">
        <v>16060.7</v>
      </c>
      <c r="M210" s="21">
        <v>10224.040000000001</v>
      </c>
      <c r="N210" s="21">
        <v>5836.66</v>
      </c>
      <c r="O210" t="s">
        <v>60</v>
      </c>
      <c r="P210" s="21">
        <v>1405.36</v>
      </c>
      <c r="Q210" t="s">
        <v>30</v>
      </c>
      <c r="R210" t="s">
        <v>41</v>
      </c>
      <c r="S210">
        <v>2</v>
      </c>
      <c r="T210">
        <v>3</v>
      </c>
      <c r="U210" t="s">
        <v>56</v>
      </c>
      <c r="V210" t="s">
        <v>33</v>
      </c>
      <c r="W210">
        <v>2</v>
      </c>
    </row>
    <row r="211" spans="1:23" x14ac:dyDescent="0.25">
      <c r="A211" t="s">
        <v>465</v>
      </c>
      <c r="B211" s="1">
        <v>45760</v>
      </c>
      <c r="C211" t="s">
        <v>466</v>
      </c>
      <c r="D211" t="s">
        <v>25</v>
      </c>
      <c r="E211" t="s">
        <v>26</v>
      </c>
      <c r="F211" t="s">
        <v>37</v>
      </c>
      <c r="G211" t="s">
        <v>161</v>
      </c>
      <c r="H211">
        <v>1</v>
      </c>
      <c r="I211" s="21">
        <v>12504</v>
      </c>
      <c r="J211">
        <v>0</v>
      </c>
      <c r="K211" s="21">
        <v>0</v>
      </c>
      <c r="L211" s="21">
        <v>12504</v>
      </c>
      <c r="M211" s="21">
        <v>9826.18</v>
      </c>
      <c r="N211" s="21">
        <v>2677.82</v>
      </c>
      <c r="O211" t="s">
        <v>60</v>
      </c>
      <c r="P211" s="21">
        <v>640.72</v>
      </c>
      <c r="Q211" t="s">
        <v>83</v>
      </c>
      <c r="R211" t="s">
        <v>31</v>
      </c>
      <c r="S211">
        <v>5</v>
      </c>
      <c r="T211">
        <v>12</v>
      </c>
      <c r="U211" t="s">
        <v>56</v>
      </c>
      <c r="V211" t="s">
        <v>33</v>
      </c>
      <c r="W211">
        <v>4</v>
      </c>
    </row>
    <row r="212" spans="1:23" x14ac:dyDescent="0.25">
      <c r="A212" t="s">
        <v>467</v>
      </c>
      <c r="B212" s="1">
        <v>45817</v>
      </c>
      <c r="C212" t="s">
        <v>468</v>
      </c>
      <c r="D212" t="s">
        <v>97</v>
      </c>
      <c r="E212" t="s">
        <v>26</v>
      </c>
      <c r="F212" t="s">
        <v>37</v>
      </c>
      <c r="G212" t="s">
        <v>100</v>
      </c>
      <c r="H212">
        <v>1</v>
      </c>
      <c r="I212" s="21">
        <v>17679</v>
      </c>
      <c r="J212">
        <v>20</v>
      </c>
      <c r="K212" s="21">
        <v>3535.8</v>
      </c>
      <c r="L212" s="21">
        <v>14143.2</v>
      </c>
      <c r="M212" s="21">
        <v>11324.02</v>
      </c>
      <c r="N212" s="21">
        <v>2819.18</v>
      </c>
      <c r="O212" t="s">
        <v>29</v>
      </c>
      <c r="P212" s="21">
        <v>1669.51</v>
      </c>
      <c r="Q212" t="s">
        <v>73</v>
      </c>
      <c r="R212" t="s">
        <v>41</v>
      </c>
      <c r="S212">
        <v>2</v>
      </c>
      <c r="T212">
        <v>3</v>
      </c>
      <c r="U212" t="s">
        <v>56</v>
      </c>
      <c r="V212" t="s">
        <v>33</v>
      </c>
      <c r="W212">
        <v>5</v>
      </c>
    </row>
    <row r="213" spans="1:23" x14ac:dyDescent="0.25">
      <c r="A213" t="s">
        <v>469</v>
      </c>
      <c r="B213" s="1">
        <v>45862</v>
      </c>
      <c r="C213" t="s">
        <v>470</v>
      </c>
      <c r="D213" t="s">
        <v>90</v>
      </c>
      <c r="E213" t="s">
        <v>46</v>
      </c>
      <c r="F213" t="s">
        <v>37</v>
      </c>
      <c r="G213" t="s">
        <v>100</v>
      </c>
      <c r="H213">
        <v>1</v>
      </c>
      <c r="I213" s="21">
        <v>38044</v>
      </c>
      <c r="J213">
        <v>0</v>
      </c>
      <c r="K213" s="21">
        <v>0</v>
      </c>
      <c r="L213" s="21">
        <v>38044</v>
      </c>
      <c r="M213" s="21">
        <v>21963.97</v>
      </c>
      <c r="N213" s="21">
        <v>16080.03</v>
      </c>
      <c r="O213" t="s">
        <v>29</v>
      </c>
      <c r="P213" s="21">
        <v>644.16999999999996</v>
      </c>
      <c r="Q213" t="s">
        <v>68</v>
      </c>
      <c r="R213" t="s">
        <v>41</v>
      </c>
      <c r="S213">
        <v>2</v>
      </c>
      <c r="T213">
        <v>4</v>
      </c>
      <c r="U213" t="s">
        <v>56</v>
      </c>
      <c r="V213" t="s">
        <v>33</v>
      </c>
      <c r="W213">
        <v>2</v>
      </c>
    </row>
    <row r="214" spans="1:23" x14ac:dyDescent="0.25">
      <c r="A214" t="s">
        <v>471</v>
      </c>
      <c r="B214" s="1">
        <v>46001</v>
      </c>
      <c r="C214" t="s">
        <v>472</v>
      </c>
      <c r="D214" t="s">
        <v>97</v>
      </c>
      <c r="E214" t="s">
        <v>26</v>
      </c>
      <c r="F214" t="s">
        <v>37</v>
      </c>
      <c r="G214" t="s">
        <v>161</v>
      </c>
      <c r="H214">
        <v>2</v>
      </c>
      <c r="I214" s="21">
        <v>31988</v>
      </c>
      <c r="J214">
        <v>0</v>
      </c>
      <c r="K214" s="21">
        <v>0</v>
      </c>
      <c r="L214" s="21">
        <v>63976</v>
      </c>
      <c r="M214" s="21">
        <v>38068.18</v>
      </c>
      <c r="N214" s="21">
        <v>25907.82</v>
      </c>
      <c r="O214" t="s">
        <v>60</v>
      </c>
      <c r="P214" s="21">
        <v>976.28</v>
      </c>
      <c r="Q214" t="s">
        <v>68</v>
      </c>
      <c r="R214" t="s">
        <v>41</v>
      </c>
      <c r="S214">
        <v>2</v>
      </c>
      <c r="T214">
        <v>3</v>
      </c>
      <c r="U214" t="s">
        <v>56</v>
      </c>
      <c r="V214" t="s">
        <v>33</v>
      </c>
      <c r="W214">
        <v>5</v>
      </c>
    </row>
    <row r="215" spans="1:23" x14ac:dyDescent="0.25">
      <c r="A215" t="s">
        <v>473</v>
      </c>
      <c r="B215" s="1">
        <v>45990</v>
      </c>
      <c r="C215" t="s">
        <v>474</v>
      </c>
      <c r="D215" t="s">
        <v>25</v>
      </c>
      <c r="E215" t="s">
        <v>26</v>
      </c>
      <c r="F215" t="s">
        <v>37</v>
      </c>
      <c r="G215" t="s">
        <v>38</v>
      </c>
      <c r="H215">
        <v>4</v>
      </c>
      <c r="I215" s="21">
        <v>32219</v>
      </c>
      <c r="J215">
        <v>10</v>
      </c>
      <c r="K215" s="21">
        <v>12887.6</v>
      </c>
      <c r="L215" s="21">
        <v>115988.4</v>
      </c>
      <c r="M215" s="21">
        <v>82847.22</v>
      </c>
      <c r="N215" s="21">
        <v>33141.18</v>
      </c>
      <c r="O215" t="s">
        <v>39</v>
      </c>
      <c r="P215" s="21">
        <v>1961.13</v>
      </c>
      <c r="Q215" t="s">
        <v>73</v>
      </c>
      <c r="R215" t="s">
        <v>31</v>
      </c>
      <c r="S215">
        <v>5</v>
      </c>
      <c r="T215">
        <v>3</v>
      </c>
      <c r="U215" t="s">
        <v>32</v>
      </c>
      <c r="V215" t="s">
        <v>42</v>
      </c>
    </row>
    <row r="216" spans="1:23" x14ac:dyDescent="0.25">
      <c r="A216" t="s">
        <v>475</v>
      </c>
      <c r="B216" s="1">
        <v>45849</v>
      </c>
      <c r="C216" t="s">
        <v>476</v>
      </c>
      <c r="D216" t="s">
        <v>71</v>
      </c>
      <c r="E216" t="s">
        <v>26</v>
      </c>
      <c r="F216" t="s">
        <v>86</v>
      </c>
      <c r="G216" t="s">
        <v>127</v>
      </c>
      <c r="H216">
        <v>4</v>
      </c>
      <c r="I216" s="21">
        <v>73844</v>
      </c>
      <c r="J216">
        <v>0</v>
      </c>
      <c r="K216" s="21">
        <v>0</v>
      </c>
      <c r="L216" s="21">
        <v>295376</v>
      </c>
      <c r="M216" s="21">
        <v>186408.89</v>
      </c>
      <c r="N216" s="21">
        <v>108967.11</v>
      </c>
      <c r="O216" t="s">
        <v>55</v>
      </c>
      <c r="P216" s="21">
        <v>924.28</v>
      </c>
      <c r="Q216" t="s">
        <v>73</v>
      </c>
      <c r="R216" t="s">
        <v>31</v>
      </c>
      <c r="S216">
        <v>5</v>
      </c>
      <c r="T216">
        <v>4</v>
      </c>
      <c r="U216" t="s">
        <v>32</v>
      </c>
      <c r="V216" t="s">
        <v>33</v>
      </c>
      <c r="W216">
        <v>5</v>
      </c>
    </row>
    <row r="217" spans="1:23" x14ac:dyDescent="0.25">
      <c r="A217" t="s">
        <v>477</v>
      </c>
      <c r="B217" s="1">
        <v>45882</v>
      </c>
      <c r="C217" t="s">
        <v>478</v>
      </c>
      <c r="D217" t="s">
        <v>45</v>
      </c>
      <c r="E217" t="s">
        <v>46</v>
      </c>
      <c r="F217" t="s">
        <v>37</v>
      </c>
      <c r="G217" t="s">
        <v>38</v>
      </c>
      <c r="H217">
        <v>1</v>
      </c>
      <c r="I217" s="21">
        <v>28057</v>
      </c>
      <c r="J217">
        <v>5</v>
      </c>
      <c r="K217" s="21">
        <v>1402.85</v>
      </c>
      <c r="L217" s="21">
        <v>26654.15</v>
      </c>
      <c r="M217" s="21">
        <v>16336.55</v>
      </c>
      <c r="N217" s="21">
        <v>10317.6</v>
      </c>
      <c r="O217" t="s">
        <v>29</v>
      </c>
      <c r="P217" s="21">
        <v>1119.54</v>
      </c>
      <c r="Q217" t="s">
        <v>68</v>
      </c>
      <c r="R217" t="s">
        <v>31</v>
      </c>
      <c r="S217">
        <v>5</v>
      </c>
      <c r="T217">
        <v>6</v>
      </c>
      <c r="U217" t="s">
        <v>56</v>
      </c>
      <c r="V217" t="s">
        <v>33</v>
      </c>
      <c r="W217">
        <v>5</v>
      </c>
    </row>
    <row r="218" spans="1:23" x14ac:dyDescent="0.25">
      <c r="A218" t="s">
        <v>479</v>
      </c>
      <c r="B218" s="1">
        <v>45922</v>
      </c>
      <c r="C218" t="s">
        <v>480</v>
      </c>
      <c r="D218" t="s">
        <v>154</v>
      </c>
      <c r="E218" t="s">
        <v>36</v>
      </c>
      <c r="F218" t="s">
        <v>53</v>
      </c>
      <c r="G218" t="s">
        <v>59</v>
      </c>
      <c r="H218">
        <v>2</v>
      </c>
      <c r="I218" s="21">
        <v>84527</v>
      </c>
      <c r="J218">
        <v>0</v>
      </c>
      <c r="K218" s="21">
        <v>0</v>
      </c>
      <c r="L218" s="21">
        <v>169054</v>
      </c>
      <c r="M218" s="21">
        <v>126336.27</v>
      </c>
      <c r="N218" s="21">
        <v>42717.73</v>
      </c>
      <c r="O218" t="s">
        <v>60</v>
      </c>
      <c r="P218" s="21">
        <v>1994.28</v>
      </c>
      <c r="Q218" t="s">
        <v>73</v>
      </c>
      <c r="R218" t="s">
        <v>41</v>
      </c>
      <c r="S218">
        <v>2</v>
      </c>
      <c r="T218">
        <v>0</v>
      </c>
      <c r="U218" t="s">
        <v>32</v>
      </c>
      <c r="V218" t="s">
        <v>42</v>
      </c>
    </row>
    <row r="219" spans="1:23" x14ac:dyDescent="0.25">
      <c r="A219" t="s">
        <v>481</v>
      </c>
      <c r="B219" s="1">
        <v>45889</v>
      </c>
      <c r="C219" t="s">
        <v>482</v>
      </c>
      <c r="D219" t="s">
        <v>79</v>
      </c>
      <c r="E219" t="s">
        <v>26</v>
      </c>
      <c r="F219" t="s">
        <v>86</v>
      </c>
      <c r="G219" t="s">
        <v>127</v>
      </c>
      <c r="H219">
        <v>2</v>
      </c>
      <c r="I219" s="21">
        <v>56133</v>
      </c>
      <c r="J219">
        <v>25</v>
      </c>
      <c r="K219" s="21">
        <v>28066.5</v>
      </c>
      <c r="L219" s="21">
        <v>84199.5</v>
      </c>
      <c r="M219" s="21">
        <v>47245.96</v>
      </c>
      <c r="N219" s="21">
        <v>36953.54</v>
      </c>
      <c r="O219" t="s">
        <v>91</v>
      </c>
      <c r="P219" s="21">
        <v>1355.52</v>
      </c>
      <c r="Q219" t="s">
        <v>68</v>
      </c>
      <c r="R219" t="s">
        <v>31</v>
      </c>
      <c r="S219">
        <v>5</v>
      </c>
      <c r="T219">
        <v>2</v>
      </c>
      <c r="U219" t="s">
        <v>32</v>
      </c>
      <c r="V219" t="s">
        <v>42</v>
      </c>
    </row>
    <row r="220" spans="1:23" x14ac:dyDescent="0.25">
      <c r="A220" t="s">
        <v>483</v>
      </c>
      <c r="B220" s="1">
        <v>45719</v>
      </c>
      <c r="C220" t="s">
        <v>484</v>
      </c>
      <c r="D220" t="s">
        <v>67</v>
      </c>
      <c r="E220" t="s">
        <v>26</v>
      </c>
      <c r="F220" t="s">
        <v>47</v>
      </c>
      <c r="G220" t="s">
        <v>138</v>
      </c>
      <c r="H220">
        <v>1</v>
      </c>
      <c r="I220" s="21">
        <v>25991</v>
      </c>
      <c r="J220">
        <v>10</v>
      </c>
      <c r="K220" s="21">
        <v>2599.1</v>
      </c>
      <c r="L220" s="21">
        <v>23391.9</v>
      </c>
      <c r="M220" s="21">
        <v>13386.88</v>
      </c>
      <c r="N220" s="21">
        <v>10005.02</v>
      </c>
      <c r="O220" t="s">
        <v>29</v>
      </c>
      <c r="P220" s="21">
        <v>1118.1400000000001</v>
      </c>
      <c r="Q220" t="s">
        <v>83</v>
      </c>
      <c r="R220" t="s">
        <v>31</v>
      </c>
      <c r="S220">
        <v>5</v>
      </c>
      <c r="T220">
        <v>4</v>
      </c>
      <c r="U220" t="s">
        <v>32</v>
      </c>
      <c r="V220" t="s">
        <v>42</v>
      </c>
    </row>
    <row r="221" spans="1:23" x14ac:dyDescent="0.25">
      <c r="A221" t="s">
        <v>485</v>
      </c>
      <c r="B221" s="1">
        <v>45784</v>
      </c>
      <c r="C221" t="s">
        <v>193</v>
      </c>
      <c r="D221" t="s">
        <v>154</v>
      </c>
      <c r="E221" t="s">
        <v>26</v>
      </c>
      <c r="F221" t="s">
        <v>27</v>
      </c>
      <c r="G221" t="s">
        <v>28</v>
      </c>
      <c r="H221">
        <v>1</v>
      </c>
      <c r="I221" s="21">
        <v>9925</v>
      </c>
      <c r="J221">
        <v>5</v>
      </c>
      <c r="K221" s="21">
        <v>496.25</v>
      </c>
      <c r="L221" s="21">
        <v>9428.75</v>
      </c>
      <c r="M221" s="21">
        <v>5802.69</v>
      </c>
      <c r="N221" s="21">
        <v>3626.06</v>
      </c>
      <c r="O221" t="s">
        <v>91</v>
      </c>
      <c r="P221" s="21">
        <v>1774.9</v>
      </c>
      <c r="Q221" t="s">
        <v>40</v>
      </c>
      <c r="R221" t="s">
        <v>41</v>
      </c>
      <c r="S221">
        <v>2</v>
      </c>
      <c r="T221">
        <v>2</v>
      </c>
      <c r="U221" t="s">
        <v>32</v>
      </c>
      <c r="V221" t="s">
        <v>33</v>
      </c>
      <c r="W221">
        <v>3</v>
      </c>
    </row>
    <row r="222" spans="1:23" x14ac:dyDescent="0.25">
      <c r="A222" t="s">
        <v>486</v>
      </c>
      <c r="B222" s="1">
        <v>45773</v>
      </c>
      <c r="C222" t="s">
        <v>487</v>
      </c>
      <c r="D222" t="s">
        <v>71</v>
      </c>
      <c r="E222" t="s">
        <v>46</v>
      </c>
      <c r="F222" t="s">
        <v>53</v>
      </c>
      <c r="G222" t="s">
        <v>151</v>
      </c>
      <c r="H222">
        <v>1</v>
      </c>
      <c r="I222" s="21">
        <v>86840</v>
      </c>
      <c r="J222">
        <v>0</v>
      </c>
      <c r="K222" s="21">
        <v>0</v>
      </c>
      <c r="L222" s="21">
        <v>86840</v>
      </c>
      <c r="M222" s="21">
        <v>70919.28</v>
      </c>
      <c r="N222" s="21">
        <v>15920.72</v>
      </c>
      <c r="O222" t="s">
        <v>39</v>
      </c>
      <c r="P222" s="21">
        <v>535.38</v>
      </c>
      <c r="Q222" t="s">
        <v>83</v>
      </c>
      <c r="R222" t="s">
        <v>41</v>
      </c>
      <c r="S222">
        <v>2</v>
      </c>
      <c r="T222">
        <v>4</v>
      </c>
      <c r="U222" t="s">
        <v>32</v>
      </c>
      <c r="V222" t="s">
        <v>42</v>
      </c>
    </row>
    <row r="223" spans="1:23" x14ac:dyDescent="0.25">
      <c r="A223" t="s">
        <v>488</v>
      </c>
      <c r="B223" s="1">
        <v>45690</v>
      </c>
      <c r="C223" t="s">
        <v>188</v>
      </c>
      <c r="D223" t="s">
        <v>154</v>
      </c>
      <c r="E223" t="s">
        <v>36</v>
      </c>
      <c r="F223" t="s">
        <v>47</v>
      </c>
      <c r="G223" t="s">
        <v>146</v>
      </c>
      <c r="H223">
        <v>1</v>
      </c>
      <c r="I223" s="21">
        <v>22928</v>
      </c>
      <c r="J223">
        <v>10</v>
      </c>
      <c r="K223" s="21">
        <v>2292.8000000000002</v>
      </c>
      <c r="L223" s="21">
        <v>20635.2</v>
      </c>
      <c r="M223" s="21">
        <v>15214.84</v>
      </c>
      <c r="N223" s="21">
        <v>5420.36</v>
      </c>
      <c r="O223" t="s">
        <v>49</v>
      </c>
      <c r="P223" s="21">
        <v>262.04000000000002</v>
      </c>
      <c r="Q223" t="s">
        <v>73</v>
      </c>
      <c r="R223" t="s">
        <v>41</v>
      </c>
      <c r="S223">
        <v>2</v>
      </c>
      <c r="T223">
        <v>1</v>
      </c>
      <c r="U223" t="s">
        <v>32</v>
      </c>
      <c r="V223" t="s">
        <v>33</v>
      </c>
      <c r="W223">
        <v>4</v>
      </c>
    </row>
    <row r="224" spans="1:23" x14ac:dyDescent="0.25">
      <c r="A224" t="s">
        <v>489</v>
      </c>
      <c r="B224" s="1">
        <v>45831</v>
      </c>
      <c r="C224" t="s">
        <v>490</v>
      </c>
      <c r="D224" t="s">
        <v>124</v>
      </c>
      <c r="E224" t="s">
        <v>26</v>
      </c>
      <c r="F224" t="s">
        <v>47</v>
      </c>
      <c r="G224" t="s">
        <v>64</v>
      </c>
      <c r="H224">
        <v>1</v>
      </c>
      <c r="I224" s="21">
        <v>47831</v>
      </c>
      <c r="J224">
        <v>15</v>
      </c>
      <c r="K224" s="21">
        <v>7174.65</v>
      </c>
      <c r="L224" s="21">
        <v>40656.35</v>
      </c>
      <c r="M224" s="21">
        <v>28760.76</v>
      </c>
      <c r="N224" s="21">
        <v>11895.59</v>
      </c>
      <c r="O224" t="s">
        <v>29</v>
      </c>
      <c r="P224" s="21">
        <v>338.25</v>
      </c>
      <c r="Q224" t="s">
        <v>68</v>
      </c>
      <c r="R224" t="s">
        <v>31</v>
      </c>
      <c r="S224">
        <v>5</v>
      </c>
      <c r="T224">
        <v>2</v>
      </c>
      <c r="U224" t="s">
        <v>32</v>
      </c>
      <c r="V224" t="s">
        <v>50</v>
      </c>
      <c r="W224">
        <v>2</v>
      </c>
    </row>
    <row r="225" spans="1:23" x14ac:dyDescent="0.25">
      <c r="A225" t="s">
        <v>491</v>
      </c>
      <c r="B225" s="1">
        <v>45668</v>
      </c>
      <c r="C225" t="s">
        <v>492</v>
      </c>
      <c r="D225" t="s">
        <v>67</v>
      </c>
      <c r="E225" t="s">
        <v>36</v>
      </c>
      <c r="F225" t="s">
        <v>37</v>
      </c>
      <c r="G225" t="s">
        <v>313</v>
      </c>
      <c r="H225">
        <v>1</v>
      </c>
      <c r="I225" s="21">
        <v>5250</v>
      </c>
      <c r="J225">
        <v>10</v>
      </c>
      <c r="K225" s="21">
        <v>525</v>
      </c>
      <c r="L225" s="21">
        <v>4725</v>
      </c>
      <c r="M225" s="21">
        <v>3705.35</v>
      </c>
      <c r="N225" s="21">
        <v>1019.65</v>
      </c>
      <c r="O225" t="s">
        <v>49</v>
      </c>
      <c r="P225" s="21">
        <v>278.83999999999997</v>
      </c>
      <c r="Q225" t="s">
        <v>83</v>
      </c>
      <c r="R225" t="s">
        <v>41</v>
      </c>
      <c r="S225">
        <v>2</v>
      </c>
      <c r="T225">
        <v>1</v>
      </c>
      <c r="U225" t="s">
        <v>32</v>
      </c>
      <c r="V225" t="s">
        <v>50</v>
      </c>
      <c r="W225">
        <v>4</v>
      </c>
    </row>
    <row r="226" spans="1:23" x14ac:dyDescent="0.25">
      <c r="A226" t="s">
        <v>493</v>
      </c>
      <c r="B226" s="1">
        <v>45959</v>
      </c>
      <c r="C226" t="s">
        <v>494</v>
      </c>
      <c r="D226" t="s">
        <v>79</v>
      </c>
      <c r="E226" t="s">
        <v>46</v>
      </c>
      <c r="F226" t="s">
        <v>86</v>
      </c>
      <c r="G226" t="s">
        <v>127</v>
      </c>
      <c r="H226">
        <v>3</v>
      </c>
      <c r="I226" s="21">
        <v>8816</v>
      </c>
      <c r="J226">
        <v>25</v>
      </c>
      <c r="K226" s="21">
        <v>6612</v>
      </c>
      <c r="L226" s="21">
        <v>19836</v>
      </c>
      <c r="M226" s="21">
        <v>12542.91</v>
      </c>
      <c r="N226" s="21">
        <v>7293.09</v>
      </c>
      <c r="O226" t="s">
        <v>91</v>
      </c>
      <c r="P226" s="21">
        <v>561.11</v>
      </c>
      <c r="Q226" t="s">
        <v>73</v>
      </c>
      <c r="R226" t="s">
        <v>41</v>
      </c>
      <c r="S226">
        <v>2</v>
      </c>
      <c r="T226">
        <v>1</v>
      </c>
      <c r="U226" t="s">
        <v>32</v>
      </c>
      <c r="V226" t="s">
        <v>33</v>
      </c>
      <c r="W226">
        <v>5</v>
      </c>
    </row>
    <row r="227" spans="1:23" x14ac:dyDescent="0.25">
      <c r="A227" t="s">
        <v>495</v>
      </c>
      <c r="B227" s="1">
        <v>45941</v>
      </c>
      <c r="C227" t="s">
        <v>496</v>
      </c>
      <c r="D227" t="s">
        <v>124</v>
      </c>
      <c r="E227" t="s">
        <v>46</v>
      </c>
      <c r="F227" t="s">
        <v>86</v>
      </c>
      <c r="G227" t="s">
        <v>94</v>
      </c>
      <c r="H227">
        <v>1</v>
      </c>
      <c r="I227" s="21">
        <v>9862</v>
      </c>
      <c r="J227">
        <v>5</v>
      </c>
      <c r="K227" s="21">
        <v>493.1</v>
      </c>
      <c r="L227" s="21">
        <v>9368.9</v>
      </c>
      <c r="M227" s="21">
        <v>5536.66</v>
      </c>
      <c r="N227" s="21">
        <v>3832.24</v>
      </c>
      <c r="O227" t="s">
        <v>29</v>
      </c>
      <c r="P227" s="21">
        <v>1878.75</v>
      </c>
      <c r="Q227" t="s">
        <v>40</v>
      </c>
      <c r="R227" t="s">
        <v>31</v>
      </c>
      <c r="S227">
        <v>5</v>
      </c>
      <c r="T227">
        <v>7</v>
      </c>
      <c r="U227" t="s">
        <v>56</v>
      </c>
      <c r="V227" t="s">
        <v>33</v>
      </c>
      <c r="W227">
        <v>1</v>
      </c>
    </row>
    <row r="228" spans="1:23" x14ac:dyDescent="0.25">
      <c r="A228" t="s">
        <v>497</v>
      </c>
      <c r="B228" s="1">
        <v>45775</v>
      </c>
      <c r="C228" t="s">
        <v>498</v>
      </c>
      <c r="D228" t="s">
        <v>124</v>
      </c>
      <c r="E228" t="s">
        <v>46</v>
      </c>
      <c r="F228" t="s">
        <v>37</v>
      </c>
      <c r="G228" t="s">
        <v>161</v>
      </c>
      <c r="H228">
        <v>4</v>
      </c>
      <c r="I228" s="21">
        <v>12635</v>
      </c>
      <c r="J228">
        <v>5</v>
      </c>
      <c r="K228" s="21">
        <v>2527</v>
      </c>
      <c r="L228" s="21">
        <v>48013</v>
      </c>
      <c r="M228" s="21">
        <v>34865.49</v>
      </c>
      <c r="N228" s="21">
        <v>13147.51</v>
      </c>
      <c r="O228" t="s">
        <v>29</v>
      </c>
      <c r="P228" s="21">
        <v>517.65</v>
      </c>
      <c r="Q228" t="s">
        <v>40</v>
      </c>
      <c r="R228" t="s">
        <v>31</v>
      </c>
      <c r="S228">
        <v>5</v>
      </c>
      <c r="T228">
        <v>6</v>
      </c>
      <c r="U228" t="s">
        <v>32</v>
      </c>
      <c r="V228" t="s">
        <v>42</v>
      </c>
    </row>
    <row r="229" spans="1:23" x14ac:dyDescent="0.25">
      <c r="A229" t="s">
        <v>499</v>
      </c>
      <c r="B229" s="1">
        <v>45959</v>
      </c>
      <c r="C229" t="s">
        <v>500</v>
      </c>
      <c r="E229" t="s">
        <v>46</v>
      </c>
      <c r="F229" t="s">
        <v>47</v>
      </c>
      <c r="G229" t="s">
        <v>105</v>
      </c>
      <c r="H229">
        <v>2</v>
      </c>
      <c r="I229" s="21">
        <v>14758</v>
      </c>
      <c r="J229">
        <v>0</v>
      </c>
      <c r="K229" s="21">
        <v>0</v>
      </c>
      <c r="L229" s="21">
        <v>29516</v>
      </c>
      <c r="M229" s="21">
        <v>22333.8</v>
      </c>
      <c r="N229" s="21">
        <v>7182.2</v>
      </c>
      <c r="O229" t="s">
        <v>91</v>
      </c>
      <c r="P229" s="21">
        <v>1218.9100000000001</v>
      </c>
      <c r="Q229" t="s">
        <v>73</v>
      </c>
      <c r="R229" t="s">
        <v>41</v>
      </c>
      <c r="S229">
        <v>2</v>
      </c>
      <c r="T229">
        <v>1</v>
      </c>
      <c r="U229" t="s">
        <v>32</v>
      </c>
      <c r="V229" t="s">
        <v>33</v>
      </c>
      <c r="W229">
        <v>3</v>
      </c>
    </row>
    <row r="230" spans="1:23" x14ac:dyDescent="0.25">
      <c r="A230" t="s">
        <v>501</v>
      </c>
      <c r="B230" s="1">
        <v>45770</v>
      </c>
      <c r="C230" t="s">
        <v>364</v>
      </c>
      <c r="D230" t="s">
        <v>154</v>
      </c>
      <c r="E230" t="s">
        <v>46</v>
      </c>
      <c r="F230" t="s">
        <v>47</v>
      </c>
      <c r="G230" t="s">
        <v>146</v>
      </c>
      <c r="H230">
        <v>4</v>
      </c>
      <c r="I230" s="21">
        <v>24489</v>
      </c>
      <c r="J230">
        <v>5</v>
      </c>
      <c r="K230" s="21">
        <v>4897.8</v>
      </c>
      <c r="L230" s="21">
        <v>93058.2</v>
      </c>
      <c r="M230" s="21">
        <v>56983.85</v>
      </c>
      <c r="N230" s="21">
        <v>36074.35</v>
      </c>
      <c r="O230" t="s">
        <v>91</v>
      </c>
      <c r="P230" s="21">
        <v>1782.72</v>
      </c>
      <c r="Q230" t="s">
        <v>30</v>
      </c>
      <c r="R230" t="s">
        <v>41</v>
      </c>
      <c r="S230">
        <v>2</v>
      </c>
      <c r="T230">
        <v>1</v>
      </c>
      <c r="U230" t="s">
        <v>32</v>
      </c>
      <c r="V230" t="s">
        <v>33</v>
      </c>
      <c r="W230">
        <v>1</v>
      </c>
    </row>
    <row r="231" spans="1:23" x14ac:dyDescent="0.25">
      <c r="A231" t="s">
        <v>502</v>
      </c>
      <c r="B231" s="1">
        <v>45661</v>
      </c>
      <c r="C231" t="s">
        <v>75</v>
      </c>
      <c r="D231" t="s">
        <v>25</v>
      </c>
      <c r="E231" t="s">
        <v>36</v>
      </c>
      <c r="F231" t="s">
        <v>47</v>
      </c>
      <c r="G231" t="s">
        <v>64</v>
      </c>
      <c r="H231">
        <v>1</v>
      </c>
      <c r="I231" s="21">
        <v>17733</v>
      </c>
      <c r="J231">
        <v>15</v>
      </c>
      <c r="K231" s="21">
        <v>2659.95</v>
      </c>
      <c r="L231" s="21">
        <v>15073.05</v>
      </c>
      <c r="M231" s="21">
        <v>11401.64</v>
      </c>
      <c r="N231" s="21">
        <v>3671.41</v>
      </c>
      <c r="O231" t="s">
        <v>91</v>
      </c>
      <c r="P231" s="21">
        <v>711.87</v>
      </c>
      <c r="Q231" t="s">
        <v>68</v>
      </c>
      <c r="R231" t="s">
        <v>41</v>
      </c>
      <c r="S231">
        <v>2</v>
      </c>
      <c r="T231">
        <v>3</v>
      </c>
      <c r="U231" t="s">
        <v>56</v>
      </c>
      <c r="V231" t="s">
        <v>33</v>
      </c>
      <c r="W231">
        <v>4</v>
      </c>
    </row>
    <row r="232" spans="1:23" x14ac:dyDescent="0.25">
      <c r="A232" t="s">
        <v>503</v>
      </c>
      <c r="B232" s="1">
        <v>45694</v>
      </c>
      <c r="C232" t="s">
        <v>504</v>
      </c>
      <c r="D232" t="s">
        <v>67</v>
      </c>
      <c r="E232" t="s">
        <v>26</v>
      </c>
      <c r="F232" t="s">
        <v>47</v>
      </c>
      <c r="G232" t="s">
        <v>138</v>
      </c>
      <c r="H232">
        <v>1</v>
      </c>
      <c r="I232" s="21">
        <v>23173</v>
      </c>
      <c r="J232">
        <v>15</v>
      </c>
      <c r="K232" s="21">
        <v>3475.95</v>
      </c>
      <c r="L232" s="21">
        <v>19697.05</v>
      </c>
      <c r="M232" s="21">
        <v>14663.55</v>
      </c>
      <c r="N232" s="21">
        <v>5033.5</v>
      </c>
      <c r="O232" t="s">
        <v>29</v>
      </c>
      <c r="P232" s="21">
        <v>451.43</v>
      </c>
      <c r="Q232" t="s">
        <v>30</v>
      </c>
      <c r="R232" t="s">
        <v>31</v>
      </c>
      <c r="S232">
        <v>5</v>
      </c>
      <c r="T232">
        <v>3</v>
      </c>
      <c r="U232" t="s">
        <v>32</v>
      </c>
      <c r="V232" t="s">
        <v>33</v>
      </c>
      <c r="W232">
        <v>5</v>
      </c>
    </row>
    <row r="233" spans="1:23" x14ac:dyDescent="0.25">
      <c r="A233" t="s">
        <v>505</v>
      </c>
      <c r="B233" s="1">
        <v>46020</v>
      </c>
      <c r="C233" t="s">
        <v>506</v>
      </c>
      <c r="D233" t="s">
        <v>97</v>
      </c>
      <c r="E233" t="s">
        <v>36</v>
      </c>
      <c r="F233" t="s">
        <v>53</v>
      </c>
      <c r="G233" t="s">
        <v>268</v>
      </c>
      <c r="H233">
        <v>1</v>
      </c>
      <c r="I233" s="21">
        <v>59777</v>
      </c>
      <c r="J233">
        <v>20</v>
      </c>
      <c r="K233" s="21">
        <v>11955.4</v>
      </c>
      <c r="L233" s="21">
        <v>47821.599999999999</v>
      </c>
      <c r="M233" s="21">
        <v>31441.3</v>
      </c>
      <c r="N233" s="21">
        <v>16380.3</v>
      </c>
      <c r="O233" t="s">
        <v>60</v>
      </c>
      <c r="P233" s="21">
        <v>582.91999999999996</v>
      </c>
      <c r="Q233" t="s">
        <v>73</v>
      </c>
      <c r="R233" t="s">
        <v>41</v>
      </c>
      <c r="S233">
        <v>2</v>
      </c>
      <c r="T233">
        <v>2</v>
      </c>
      <c r="U233" t="s">
        <v>32</v>
      </c>
      <c r="V233" t="s">
        <v>33</v>
      </c>
      <c r="W233">
        <v>4</v>
      </c>
    </row>
    <row r="234" spans="1:23" x14ac:dyDescent="0.25">
      <c r="A234" t="s">
        <v>507</v>
      </c>
      <c r="B234" s="1">
        <v>45981</v>
      </c>
      <c r="C234" t="s">
        <v>112</v>
      </c>
      <c r="D234" t="s">
        <v>154</v>
      </c>
      <c r="E234" t="s">
        <v>36</v>
      </c>
      <c r="F234" t="s">
        <v>37</v>
      </c>
      <c r="G234" t="s">
        <v>224</v>
      </c>
      <c r="H234">
        <v>1</v>
      </c>
      <c r="I234" s="21">
        <v>39809</v>
      </c>
      <c r="J234">
        <v>0</v>
      </c>
      <c r="K234" s="21">
        <v>0</v>
      </c>
      <c r="L234" s="21">
        <v>39809</v>
      </c>
      <c r="M234" s="21">
        <v>26119.8</v>
      </c>
      <c r="N234" s="21">
        <v>13689.2</v>
      </c>
      <c r="O234" t="s">
        <v>60</v>
      </c>
      <c r="P234" s="21">
        <v>611.41999999999996</v>
      </c>
      <c r="Q234" t="s">
        <v>40</v>
      </c>
      <c r="R234" t="s">
        <v>41</v>
      </c>
      <c r="S234">
        <v>2</v>
      </c>
      <c r="T234">
        <v>2</v>
      </c>
      <c r="U234" t="s">
        <v>32</v>
      </c>
      <c r="V234" t="s">
        <v>33</v>
      </c>
      <c r="W234">
        <v>1</v>
      </c>
    </row>
    <row r="235" spans="1:23" x14ac:dyDescent="0.25">
      <c r="A235" t="s">
        <v>508</v>
      </c>
      <c r="B235" s="1">
        <v>45688</v>
      </c>
      <c r="C235" t="s">
        <v>509</v>
      </c>
      <c r="D235" t="s">
        <v>63</v>
      </c>
      <c r="E235" t="s">
        <v>26</v>
      </c>
      <c r="F235" t="s">
        <v>47</v>
      </c>
      <c r="G235" t="s">
        <v>105</v>
      </c>
      <c r="H235">
        <v>3</v>
      </c>
      <c r="I235" s="21">
        <v>17747</v>
      </c>
      <c r="J235">
        <v>20</v>
      </c>
      <c r="K235" s="21">
        <v>10648.2</v>
      </c>
      <c r="L235" s="21">
        <v>42592.800000000003</v>
      </c>
      <c r="M235" s="21">
        <v>30717.91</v>
      </c>
      <c r="N235" s="21">
        <v>11874.89</v>
      </c>
      <c r="O235" t="s">
        <v>39</v>
      </c>
      <c r="P235" s="21">
        <v>2019.45</v>
      </c>
      <c r="Q235" t="s">
        <v>40</v>
      </c>
      <c r="R235" t="s">
        <v>41</v>
      </c>
      <c r="S235">
        <v>2</v>
      </c>
      <c r="T235">
        <v>1</v>
      </c>
      <c r="U235" t="s">
        <v>32</v>
      </c>
      <c r="V235" t="s">
        <v>33</v>
      </c>
      <c r="W235">
        <v>5</v>
      </c>
    </row>
    <row r="236" spans="1:23" x14ac:dyDescent="0.25">
      <c r="A236" t="s">
        <v>510</v>
      </c>
      <c r="B236" s="1">
        <v>45775</v>
      </c>
      <c r="C236" t="s">
        <v>511</v>
      </c>
      <c r="D236" t="s">
        <v>97</v>
      </c>
      <c r="E236" t="s">
        <v>46</v>
      </c>
      <c r="F236" t="s">
        <v>37</v>
      </c>
      <c r="G236" t="s">
        <v>161</v>
      </c>
      <c r="H236">
        <v>1</v>
      </c>
      <c r="I236" s="21">
        <v>13476</v>
      </c>
      <c r="J236">
        <v>0</v>
      </c>
      <c r="K236" s="21">
        <v>0</v>
      </c>
      <c r="L236" s="21">
        <v>13476</v>
      </c>
      <c r="M236" s="21">
        <v>10210.39</v>
      </c>
      <c r="N236" s="21">
        <v>3265.61</v>
      </c>
      <c r="O236" t="s">
        <v>60</v>
      </c>
      <c r="P236" s="21">
        <v>911.89</v>
      </c>
      <c r="Q236" t="s">
        <v>30</v>
      </c>
      <c r="R236" t="s">
        <v>41</v>
      </c>
      <c r="S236">
        <v>2</v>
      </c>
      <c r="T236">
        <v>6</v>
      </c>
      <c r="U236" t="s">
        <v>56</v>
      </c>
      <c r="V236" t="s">
        <v>33</v>
      </c>
      <c r="W236">
        <v>3</v>
      </c>
    </row>
    <row r="237" spans="1:23" x14ac:dyDescent="0.25">
      <c r="A237" t="s">
        <v>512</v>
      </c>
      <c r="B237" s="1">
        <v>45692</v>
      </c>
      <c r="C237" t="s">
        <v>345</v>
      </c>
      <c r="D237" t="s">
        <v>154</v>
      </c>
      <c r="E237" t="s">
        <v>46</v>
      </c>
      <c r="F237" t="s">
        <v>86</v>
      </c>
      <c r="G237" t="s">
        <v>87</v>
      </c>
      <c r="H237">
        <v>2</v>
      </c>
      <c r="I237" s="21">
        <v>71225</v>
      </c>
      <c r="J237">
        <v>0</v>
      </c>
      <c r="K237" s="21">
        <v>0</v>
      </c>
      <c r="L237" s="21">
        <v>142450</v>
      </c>
      <c r="M237" s="21">
        <v>101731.47</v>
      </c>
      <c r="N237" s="21">
        <v>40718.53</v>
      </c>
      <c r="O237" t="s">
        <v>91</v>
      </c>
      <c r="P237" s="21">
        <v>1554.38</v>
      </c>
      <c r="Q237" t="s">
        <v>30</v>
      </c>
      <c r="R237" t="s">
        <v>31</v>
      </c>
      <c r="S237">
        <v>5</v>
      </c>
      <c r="T237">
        <v>6</v>
      </c>
      <c r="U237" t="s">
        <v>56</v>
      </c>
      <c r="V237" t="s">
        <v>33</v>
      </c>
      <c r="W237">
        <v>2</v>
      </c>
    </row>
    <row r="238" spans="1:23" x14ac:dyDescent="0.25">
      <c r="A238" t="s">
        <v>513</v>
      </c>
      <c r="B238" s="1">
        <v>45674</v>
      </c>
      <c r="C238" t="s">
        <v>514</v>
      </c>
      <c r="D238" t="s">
        <v>79</v>
      </c>
      <c r="E238" t="s">
        <v>26</v>
      </c>
      <c r="F238" t="s">
        <v>27</v>
      </c>
      <c r="G238" t="s">
        <v>113</v>
      </c>
      <c r="H238">
        <v>1</v>
      </c>
      <c r="I238" s="21">
        <v>10303</v>
      </c>
      <c r="J238">
        <v>0</v>
      </c>
      <c r="K238" s="21">
        <v>0</v>
      </c>
      <c r="L238" s="21">
        <v>10303</v>
      </c>
      <c r="M238" s="21">
        <v>6079.07</v>
      </c>
      <c r="N238" s="21">
        <v>4223.93</v>
      </c>
      <c r="O238" t="s">
        <v>29</v>
      </c>
      <c r="P238" s="21">
        <v>2163.81</v>
      </c>
      <c r="Q238" t="s">
        <v>40</v>
      </c>
      <c r="R238" t="s">
        <v>41</v>
      </c>
      <c r="S238">
        <v>2</v>
      </c>
      <c r="T238">
        <v>0</v>
      </c>
      <c r="U238" t="s">
        <v>32</v>
      </c>
      <c r="V238" t="s">
        <v>50</v>
      </c>
      <c r="W238">
        <v>2</v>
      </c>
    </row>
    <row r="239" spans="1:23" x14ac:dyDescent="0.25">
      <c r="A239" t="s">
        <v>515</v>
      </c>
      <c r="B239" s="1">
        <v>45827</v>
      </c>
      <c r="C239" t="s">
        <v>316</v>
      </c>
      <c r="D239" t="s">
        <v>79</v>
      </c>
      <c r="E239" t="s">
        <v>46</v>
      </c>
      <c r="F239" t="s">
        <v>37</v>
      </c>
      <c r="G239" t="s">
        <v>313</v>
      </c>
      <c r="H239">
        <v>4</v>
      </c>
      <c r="I239" s="21">
        <v>15627</v>
      </c>
      <c r="J239">
        <v>20</v>
      </c>
      <c r="K239" s="21">
        <v>12501.6</v>
      </c>
      <c r="L239" s="21">
        <v>50006.400000000001</v>
      </c>
      <c r="M239" s="21">
        <v>37620.83</v>
      </c>
      <c r="N239" s="21">
        <v>12385.57</v>
      </c>
      <c r="O239" t="s">
        <v>55</v>
      </c>
      <c r="P239" s="21">
        <v>1967.58</v>
      </c>
      <c r="Q239" t="s">
        <v>73</v>
      </c>
      <c r="R239" t="s">
        <v>31</v>
      </c>
      <c r="S239">
        <v>5</v>
      </c>
      <c r="T239">
        <v>5</v>
      </c>
      <c r="U239" t="s">
        <v>32</v>
      </c>
      <c r="V239" t="s">
        <v>33</v>
      </c>
      <c r="W239">
        <v>1</v>
      </c>
    </row>
    <row r="240" spans="1:23" x14ac:dyDescent="0.25">
      <c r="A240" t="s">
        <v>516</v>
      </c>
      <c r="B240" s="1">
        <v>45694</v>
      </c>
      <c r="C240" t="s">
        <v>517</v>
      </c>
      <c r="D240" t="s">
        <v>71</v>
      </c>
      <c r="E240" t="s">
        <v>46</v>
      </c>
      <c r="F240" t="s">
        <v>86</v>
      </c>
      <c r="G240" t="s">
        <v>127</v>
      </c>
      <c r="H240">
        <v>1</v>
      </c>
      <c r="I240" s="21">
        <v>41968</v>
      </c>
      <c r="J240">
        <v>15</v>
      </c>
      <c r="K240" s="21">
        <v>6295.2</v>
      </c>
      <c r="L240" s="21">
        <v>35672.800000000003</v>
      </c>
      <c r="M240" s="21">
        <v>24673.25</v>
      </c>
      <c r="N240" s="21">
        <v>10999.55</v>
      </c>
      <c r="O240" t="s">
        <v>29</v>
      </c>
      <c r="P240" s="21">
        <v>451.4</v>
      </c>
      <c r="Q240" t="s">
        <v>40</v>
      </c>
      <c r="R240" t="s">
        <v>31</v>
      </c>
      <c r="S240">
        <v>5</v>
      </c>
      <c r="T240">
        <v>4</v>
      </c>
      <c r="U240" t="s">
        <v>32</v>
      </c>
      <c r="V240" t="s">
        <v>50</v>
      </c>
      <c r="W240">
        <v>1</v>
      </c>
    </row>
    <row r="241" spans="1:23" x14ac:dyDescent="0.25">
      <c r="A241" t="s">
        <v>518</v>
      </c>
      <c r="B241" s="1">
        <v>45921</v>
      </c>
      <c r="C241" t="s">
        <v>519</v>
      </c>
      <c r="D241" t="s">
        <v>71</v>
      </c>
      <c r="E241" t="s">
        <v>36</v>
      </c>
      <c r="F241" t="s">
        <v>53</v>
      </c>
      <c r="G241" t="s">
        <v>54</v>
      </c>
      <c r="H241">
        <v>1</v>
      </c>
      <c r="I241" s="21">
        <v>84385</v>
      </c>
      <c r="J241">
        <v>25</v>
      </c>
      <c r="K241" s="21">
        <v>21096.25</v>
      </c>
      <c r="L241" s="21">
        <v>63288.75</v>
      </c>
      <c r="M241" s="21">
        <v>47269.09</v>
      </c>
      <c r="N241" s="21">
        <v>16019.66</v>
      </c>
      <c r="O241" t="s">
        <v>29</v>
      </c>
      <c r="P241" s="21">
        <v>613.79</v>
      </c>
      <c r="Q241" t="s">
        <v>40</v>
      </c>
      <c r="R241" t="s">
        <v>41</v>
      </c>
      <c r="S241">
        <v>2</v>
      </c>
      <c r="T241">
        <v>3</v>
      </c>
      <c r="U241" t="s">
        <v>56</v>
      </c>
      <c r="V241" t="s">
        <v>33</v>
      </c>
      <c r="W241">
        <v>5</v>
      </c>
    </row>
    <row r="242" spans="1:23" x14ac:dyDescent="0.25">
      <c r="A242" t="s">
        <v>520</v>
      </c>
      <c r="B242" s="1">
        <v>45779</v>
      </c>
      <c r="C242" t="s">
        <v>521</v>
      </c>
      <c r="D242" t="s">
        <v>90</v>
      </c>
      <c r="E242" t="s">
        <v>46</v>
      </c>
      <c r="F242" t="s">
        <v>47</v>
      </c>
      <c r="G242" t="s">
        <v>48</v>
      </c>
      <c r="H242">
        <v>2</v>
      </c>
      <c r="I242" s="21">
        <v>20587</v>
      </c>
      <c r="J242">
        <v>10</v>
      </c>
      <c r="K242" s="21">
        <v>4117.3999999999996</v>
      </c>
      <c r="L242" s="21">
        <v>37056.6</v>
      </c>
      <c r="M242" s="21">
        <v>23879.48</v>
      </c>
      <c r="N242" s="21">
        <v>13177.12</v>
      </c>
      <c r="O242" t="s">
        <v>55</v>
      </c>
      <c r="P242" s="21">
        <v>662.73</v>
      </c>
      <c r="Q242" t="s">
        <v>73</v>
      </c>
      <c r="R242" t="s">
        <v>31</v>
      </c>
      <c r="S242">
        <v>5</v>
      </c>
      <c r="T242">
        <v>0</v>
      </c>
      <c r="U242" t="s">
        <v>32</v>
      </c>
      <c r="V242" t="s">
        <v>50</v>
      </c>
      <c r="W242">
        <v>5</v>
      </c>
    </row>
    <row r="243" spans="1:23" x14ac:dyDescent="0.25">
      <c r="A243" t="s">
        <v>522</v>
      </c>
      <c r="B243" s="1">
        <v>45800</v>
      </c>
      <c r="C243" t="s">
        <v>201</v>
      </c>
      <c r="D243" t="s">
        <v>63</v>
      </c>
      <c r="E243" t="s">
        <v>26</v>
      </c>
      <c r="F243" t="s">
        <v>86</v>
      </c>
      <c r="G243" t="s">
        <v>180</v>
      </c>
      <c r="H243">
        <v>2</v>
      </c>
      <c r="I243" s="21">
        <v>49684</v>
      </c>
      <c r="J243">
        <v>0</v>
      </c>
      <c r="K243" s="21">
        <v>0</v>
      </c>
      <c r="L243" s="21">
        <v>99368</v>
      </c>
      <c r="M243" s="21">
        <v>76975.58</v>
      </c>
      <c r="N243" s="21">
        <v>22392.42</v>
      </c>
      <c r="O243" t="s">
        <v>29</v>
      </c>
      <c r="P243" s="21">
        <v>977.25</v>
      </c>
      <c r="Q243" t="s">
        <v>30</v>
      </c>
      <c r="R243" t="s">
        <v>41</v>
      </c>
      <c r="S243">
        <v>2</v>
      </c>
      <c r="T243">
        <v>1</v>
      </c>
      <c r="U243" t="s">
        <v>32</v>
      </c>
      <c r="V243" t="s">
        <v>33</v>
      </c>
      <c r="W243">
        <v>5</v>
      </c>
    </row>
    <row r="244" spans="1:23" x14ac:dyDescent="0.25">
      <c r="A244" t="s">
        <v>523</v>
      </c>
      <c r="B244" s="1">
        <v>46000</v>
      </c>
      <c r="C244" t="s">
        <v>524</v>
      </c>
      <c r="D244" t="s">
        <v>67</v>
      </c>
      <c r="E244" t="s">
        <v>26</v>
      </c>
      <c r="F244" t="s">
        <v>27</v>
      </c>
      <c r="G244" t="s">
        <v>164</v>
      </c>
      <c r="H244">
        <v>3</v>
      </c>
      <c r="I244" s="21">
        <v>29189</v>
      </c>
      <c r="J244">
        <v>0</v>
      </c>
      <c r="K244" s="21">
        <v>0</v>
      </c>
      <c r="L244" s="21">
        <v>87567</v>
      </c>
      <c r="M244" s="21">
        <v>67906.33</v>
      </c>
      <c r="N244" s="21">
        <v>19660.669999999998</v>
      </c>
      <c r="O244" t="s">
        <v>91</v>
      </c>
      <c r="P244" s="21">
        <v>1432.54</v>
      </c>
      <c r="Q244" t="s">
        <v>68</v>
      </c>
      <c r="R244" t="s">
        <v>41</v>
      </c>
      <c r="S244">
        <v>2</v>
      </c>
      <c r="T244">
        <v>3</v>
      </c>
      <c r="U244" t="s">
        <v>56</v>
      </c>
      <c r="V244" t="s">
        <v>33</v>
      </c>
      <c r="W244">
        <v>5</v>
      </c>
    </row>
    <row r="245" spans="1:23" x14ac:dyDescent="0.25">
      <c r="A245" t="s">
        <v>525</v>
      </c>
      <c r="B245" s="1">
        <v>45906</v>
      </c>
      <c r="C245" t="s">
        <v>526</v>
      </c>
      <c r="D245" t="s">
        <v>79</v>
      </c>
      <c r="E245" t="s">
        <v>46</v>
      </c>
      <c r="F245" t="s">
        <v>37</v>
      </c>
      <c r="G245" t="s">
        <v>313</v>
      </c>
      <c r="H245">
        <v>1</v>
      </c>
      <c r="I245" s="21">
        <v>29530</v>
      </c>
      <c r="J245">
        <v>0</v>
      </c>
      <c r="K245" s="21">
        <v>0</v>
      </c>
      <c r="L245" s="21">
        <v>29530</v>
      </c>
      <c r="M245" s="21">
        <v>20987.02</v>
      </c>
      <c r="N245" s="21">
        <v>8542.98</v>
      </c>
      <c r="O245" t="s">
        <v>91</v>
      </c>
      <c r="P245" s="21">
        <v>272.74</v>
      </c>
      <c r="Q245" t="s">
        <v>30</v>
      </c>
      <c r="R245" t="s">
        <v>41</v>
      </c>
      <c r="S245">
        <v>2</v>
      </c>
      <c r="T245">
        <v>3</v>
      </c>
      <c r="U245" t="s">
        <v>56</v>
      </c>
      <c r="V245" t="s">
        <v>33</v>
      </c>
      <c r="W245">
        <v>5</v>
      </c>
    </row>
    <row r="246" spans="1:23" x14ac:dyDescent="0.25">
      <c r="A246" t="s">
        <v>527</v>
      </c>
      <c r="B246" s="1">
        <v>45767</v>
      </c>
      <c r="C246" t="s">
        <v>528</v>
      </c>
      <c r="D246" t="s">
        <v>25</v>
      </c>
      <c r="E246" t="s">
        <v>36</v>
      </c>
      <c r="F246" t="s">
        <v>53</v>
      </c>
      <c r="G246" t="s">
        <v>54</v>
      </c>
      <c r="H246">
        <v>1</v>
      </c>
      <c r="I246" s="21">
        <v>77825</v>
      </c>
      <c r="J246">
        <v>0</v>
      </c>
      <c r="K246" s="21">
        <v>0</v>
      </c>
      <c r="L246" s="21">
        <v>77825</v>
      </c>
      <c r="M246" s="21">
        <v>59147.27</v>
      </c>
      <c r="N246" s="21">
        <v>18677.73</v>
      </c>
      <c r="O246" t="s">
        <v>60</v>
      </c>
      <c r="P246" s="21">
        <v>257.35000000000002</v>
      </c>
      <c r="Q246" t="s">
        <v>30</v>
      </c>
      <c r="R246" t="s">
        <v>41</v>
      </c>
      <c r="S246">
        <v>2</v>
      </c>
      <c r="T246">
        <v>1</v>
      </c>
      <c r="U246" t="s">
        <v>32</v>
      </c>
      <c r="V246" t="s">
        <v>33</v>
      </c>
      <c r="W246">
        <v>5</v>
      </c>
    </row>
    <row r="247" spans="1:23" x14ac:dyDescent="0.25">
      <c r="A247" t="s">
        <v>529</v>
      </c>
      <c r="B247" s="1">
        <v>45934</v>
      </c>
      <c r="C247" t="s">
        <v>303</v>
      </c>
      <c r="D247" t="s">
        <v>25</v>
      </c>
      <c r="E247" t="s">
        <v>26</v>
      </c>
      <c r="F247" t="s">
        <v>37</v>
      </c>
      <c r="G247" t="s">
        <v>161</v>
      </c>
      <c r="H247">
        <v>1</v>
      </c>
      <c r="I247" s="21">
        <v>10439</v>
      </c>
      <c r="J247">
        <v>25</v>
      </c>
      <c r="K247" s="21">
        <v>2609.75</v>
      </c>
      <c r="L247" s="21">
        <v>7829.25</v>
      </c>
      <c r="M247" s="21">
        <v>5736.6</v>
      </c>
      <c r="N247" s="21">
        <v>2092.65</v>
      </c>
      <c r="O247" t="s">
        <v>60</v>
      </c>
      <c r="P247" s="21">
        <v>284.07</v>
      </c>
      <c r="Q247" t="s">
        <v>30</v>
      </c>
      <c r="R247" t="s">
        <v>31</v>
      </c>
      <c r="S247">
        <v>5</v>
      </c>
      <c r="T247">
        <v>4</v>
      </c>
      <c r="U247" t="s">
        <v>32</v>
      </c>
      <c r="V247" t="s">
        <v>33</v>
      </c>
      <c r="W247">
        <v>5</v>
      </c>
    </row>
    <row r="248" spans="1:23" x14ac:dyDescent="0.25">
      <c r="A248" t="s">
        <v>530</v>
      </c>
      <c r="B248" s="1">
        <v>45725</v>
      </c>
      <c r="C248" t="s">
        <v>531</v>
      </c>
      <c r="D248" t="s">
        <v>63</v>
      </c>
      <c r="E248" t="s">
        <v>26</v>
      </c>
      <c r="F248" t="s">
        <v>37</v>
      </c>
      <c r="G248" t="s">
        <v>224</v>
      </c>
      <c r="H248">
        <v>2</v>
      </c>
      <c r="I248" s="21">
        <v>10756</v>
      </c>
      <c r="J248">
        <v>25</v>
      </c>
      <c r="K248" s="21">
        <v>5378</v>
      </c>
      <c r="L248" s="21">
        <v>16134</v>
      </c>
      <c r="M248" s="21">
        <v>12211.32</v>
      </c>
      <c r="N248" s="21">
        <v>3922.68</v>
      </c>
      <c r="O248" t="s">
        <v>55</v>
      </c>
      <c r="P248" s="21">
        <v>1944.54</v>
      </c>
      <c r="Q248" t="s">
        <v>68</v>
      </c>
      <c r="R248" t="s">
        <v>41</v>
      </c>
      <c r="S248">
        <v>2</v>
      </c>
      <c r="T248">
        <v>0</v>
      </c>
      <c r="U248" t="s">
        <v>32</v>
      </c>
      <c r="V248" t="s">
        <v>50</v>
      </c>
      <c r="W248">
        <v>5</v>
      </c>
    </row>
    <row r="249" spans="1:23" x14ac:dyDescent="0.25">
      <c r="A249" t="s">
        <v>532</v>
      </c>
      <c r="B249" s="1">
        <v>45950</v>
      </c>
      <c r="C249" t="s">
        <v>533</v>
      </c>
      <c r="D249" t="s">
        <v>63</v>
      </c>
      <c r="E249" t="s">
        <v>26</v>
      </c>
      <c r="F249" t="s">
        <v>86</v>
      </c>
      <c r="G249" t="s">
        <v>87</v>
      </c>
      <c r="H249">
        <v>2</v>
      </c>
      <c r="I249" s="21">
        <v>41737</v>
      </c>
      <c r="J249">
        <v>10</v>
      </c>
      <c r="K249" s="21">
        <v>8347.4</v>
      </c>
      <c r="L249" s="21">
        <v>75126.600000000006</v>
      </c>
      <c r="M249" s="21">
        <v>43641.37</v>
      </c>
      <c r="N249" s="21">
        <v>31485.23</v>
      </c>
      <c r="O249" t="s">
        <v>39</v>
      </c>
      <c r="P249" s="21">
        <v>1447.82</v>
      </c>
      <c r="Q249" t="s">
        <v>40</v>
      </c>
      <c r="R249" t="s">
        <v>31</v>
      </c>
      <c r="S249">
        <v>5</v>
      </c>
      <c r="T249">
        <v>1</v>
      </c>
      <c r="U249" t="s">
        <v>32</v>
      </c>
      <c r="V249" t="s">
        <v>42</v>
      </c>
    </row>
    <row r="250" spans="1:23" x14ac:dyDescent="0.25">
      <c r="A250" t="s">
        <v>534</v>
      </c>
      <c r="B250" s="1">
        <v>45953</v>
      </c>
      <c r="C250" t="s">
        <v>535</v>
      </c>
      <c r="D250" t="s">
        <v>63</v>
      </c>
      <c r="E250" t="s">
        <v>46</v>
      </c>
      <c r="F250" t="s">
        <v>86</v>
      </c>
      <c r="G250" t="s">
        <v>94</v>
      </c>
      <c r="H250">
        <v>1</v>
      </c>
      <c r="I250" s="21">
        <v>76854</v>
      </c>
      <c r="J250">
        <v>0</v>
      </c>
      <c r="K250" s="21">
        <v>0</v>
      </c>
      <c r="L250" s="21">
        <v>76854</v>
      </c>
      <c r="M250" s="21">
        <v>42871.32</v>
      </c>
      <c r="N250" s="21">
        <v>33982.68</v>
      </c>
      <c r="O250" t="s">
        <v>29</v>
      </c>
      <c r="P250" s="21">
        <v>323.74</v>
      </c>
      <c r="Q250" t="s">
        <v>30</v>
      </c>
      <c r="R250" t="s">
        <v>31</v>
      </c>
      <c r="S250">
        <v>5</v>
      </c>
      <c r="T250">
        <v>0</v>
      </c>
      <c r="U250" t="s">
        <v>32</v>
      </c>
      <c r="V250" t="s">
        <v>50</v>
      </c>
      <c r="W250">
        <v>4</v>
      </c>
    </row>
    <row r="251" spans="1:23" x14ac:dyDescent="0.25">
      <c r="A251" t="s">
        <v>536</v>
      </c>
      <c r="B251" s="1">
        <v>45900</v>
      </c>
      <c r="C251" t="s">
        <v>380</v>
      </c>
      <c r="D251" t="s">
        <v>45</v>
      </c>
      <c r="E251" t="s">
        <v>46</v>
      </c>
      <c r="F251" t="s">
        <v>27</v>
      </c>
      <c r="G251" t="s">
        <v>76</v>
      </c>
      <c r="H251">
        <v>2</v>
      </c>
      <c r="I251" s="21">
        <v>6073</v>
      </c>
      <c r="J251">
        <v>0</v>
      </c>
      <c r="K251" s="21">
        <v>0</v>
      </c>
      <c r="L251" s="21">
        <v>12146</v>
      </c>
      <c r="M251" s="21">
        <v>6985.01</v>
      </c>
      <c r="N251" s="21">
        <v>5160.99</v>
      </c>
      <c r="O251" t="s">
        <v>39</v>
      </c>
      <c r="P251" s="21">
        <v>913.9</v>
      </c>
      <c r="Q251" t="s">
        <v>30</v>
      </c>
      <c r="R251" t="s">
        <v>41</v>
      </c>
      <c r="S251">
        <v>2</v>
      </c>
      <c r="T251">
        <v>0</v>
      </c>
      <c r="U251" t="s">
        <v>32</v>
      </c>
      <c r="V251" t="s">
        <v>50</v>
      </c>
      <c r="W251">
        <v>4</v>
      </c>
    </row>
    <row r="252" spans="1:23" x14ac:dyDescent="0.25">
      <c r="A252" t="s">
        <v>537</v>
      </c>
      <c r="B252" s="1">
        <v>45782</v>
      </c>
      <c r="C252" t="s">
        <v>538</v>
      </c>
      <c r="D252" t="s">
        <v>154</v>
      </c>
      <c r="E252" t="s">
        <v>46</v>
      </c>
      <c r="F252" t="s">
        <v>27</v>
      </c>
      <c r="G252" t="s">
        <v>76</v>
      </c>
      <c r="H252">
        <v>1</v>
      </c>
      <c r="I252" s="21">
        <v>29346</v>
      </c>
      <c r="J252">
        <v>20</v>
      </c>
      <c r="K252" s="21">
        <v>5869.2</v>
      </c>
      <c r="L252" s="21">
        <v>23476.799999999999</v>
      </c>
      <c r="M252" s="21">
        <v>16002.42</v>
      </c>
      <c r="N252" s="21">
        <v>7474.38</v>
      </c>
      <c r="O252" t="s">
        <v>29</v>
      </c>
      <c r="P252" s="21">
        <v>1008.31</v>
      </c>
      <c r="Q252" t="s">
        <v>30</v>
      </c>
      <c r="R252" t="s">
        <v>41</v>
      </c>
      <c r="S252">
        <v>2</v>
      </c>
      <c r="T252">
        <v>1</v>
      </c>
      <c r="U252" t="s">
        <v>32</v>
      </c>
      <c r="V252" t="s">
        <v>33</v>
      </c>
      <c r="W252">
        <v>1</v>
      </c>
    </row>
    <row r="253" spans="1:23" x14ac:dyDescent="0.25">
      <c r="A253" t="s">
        <v>539</v>
      </c>
      <c r="B253" s="1">
        <v>45900</v>
      </c>
      <c r="C253" t="s">
        <v>540</v>
      </c>
      <c r="D253" t="s">
        <v>45</v>
      </c>
      <c r="E253" t="s">
        <v>46</v>
      </c>
      <c r="F253" t="s">
        <v>47</v>
      </c>
      <c r="G253" t="s">
        <v>48</v>
      </c>
      <c r="H253">
        <v>1</v>
      </c>
      <c r="I253" s="21">
        <v>53810</v>
      </c>
      <c r="J253">
        <v>10</v>
      </c>
      <c r="K253" s="21">
        <v>5381</v>
      </c>
      <c r="L253" s="21">
        <v>48429</v>
      </c>
      <c r="M253" s="21">
        <v>33602.04</v>
      </c>
      <c r="N253" s="21">
        <v>14826.96</v>
      </c>
      <c r="O253" t="s">
        <v>29</v>
      </c>
      <c r="P253" s="21">
        <v>1628.01</v>
      </c>
      <c r="Q253" t="s">
        <v>40</v>
      </c>
      <c r="R253" t="s">
        <v>41</v>
      </c>
      <c r="S253">
        <v>2</v>
      </c>
      <c r="T253">
        <v>3</v>
      </c>
      <c r="U253" t="s">
        <v>56</v>
      </c>
      <c r="V253" t="s">
        <v>33</v>
      </c>
      <c r="W253">
        <v>2</v>
      </c>
    </row>
    <row r="254" spans="1:23" x14ac:dyDescent="0.25">
      <c r="A254" t="s">
        <v>541</v>
      </c>
      <c r="B254" s="1">
        <v>45866</v>
      </c>
      <c r="C254" t="s">
        <v>249</v>
      </c>
      <c r="D254" t="s">
        <v>79</v>
      </c>
      <c r="E254" t="s">
        <v>46</v>
      </c>
      <c r="F254" t="s">
        <v>47</v>
      </c>
      <c r="G254" t="s">
        <v>105</v>
      </c>
      <c r="H254">
        <v>2</v>
      </c>
      <c r="I254" s="21">
        <v>35531</v>
      </c>
      <c r="J254">
        <v>25</v>
      </c>
      <c r="K254" s="21">
        <v>17765.5</v>
      </c>
      <c r="L254" s="21">
        <v>53296.5</v>
      </c>
      <c r="M254" s="21">
        <v>39301.69</v>
      </c>
      <c r="N254" s="21">
        <v>13994.81</v>
      </c>
      <c r="O254" t="s">
        <v>39</v>
      </c>
      <c r="P254" s="21">
        <v>2340.9899999999998</v>
      </c>
      <c r="Q254" t="s">
        <v>40</v>
      </c>
      <c r="R254" t="s">
        <v>31</v>
      </c>
      <c r="S254">
        <v>5</v>
      </c>
      <c r="T254">
        <v>9</v>
      </c>
      <c r="U254" t="s">
        <v>56</v>
      </c>
      <c r="V254" t="s">
        <v>33</v>
      </c>
      <c r="W254">
        <v>5</v>
      </c>
    </row>
    <row r="255" spans="1:23" x14ac:dyDescent="0.25">
      <c r="A255" t="s">
        <v>542</v>
      </c>
      <c r="B255" s="1">
        <v>45755</v>
      </c>
      <c r="C255" t="s">
        <v>543</v>
      </c>
      <c r="D255" t="s">
        <v>25</v>
      </c>
      <c r="E255" t="s">
        <v>46</v>
      </c>
      <c r="F255" t="s">
        <v>27</v>
      </c>
      <c r="G255" t="s">
        <v>164</v>
      </c>
      <c r="H255">
        <v>1</v>
      </c>
      <c r="I255" s="21">
        <v>23103</v>
      </c>
      <c r="J255">
        <v>15</v>
      </c>
      <c r="K255" s="21">
        <v>3465.45</v>
      </c>
      <c r="L255" s="21">
        <v>19637.55</v>
      </c>
      <c r="M255" s="21">
        <v>12536.62</v>
      </c>
      <c r="N255" s="21">
        <v>7100.93</v>
      </c>
      <c r="O255" t="s">
        <v>29</v>
      </c>
      <c r="P255" s="21">
        <v>2079.1799999999998</v>
      </c>
      <c r="Q255" t="s">
        <v>40</v>
      </c>
      <c r="R255" t="s">
        <v>31</v>
      </c>
      <c r="S255">
        <v>5</v>
      </c>
      <c r="T255">
        <v>0</v>
      </c>
      <c r="U255" t="s">
        <v>32</v>
      </c>
      <c r="V255" t="s">
        <v>50</v>
      </c>
      <c r="W255">
        <v>2</v>
      </c>
    </row>
    <row r="256" spans="1:23" x14ac:dyDescent="0.25">
      <c r="A256" t="s">
        <v>544</v>
      </c>
      <c r="B256" s="1">
        <v>45706</v>
      </c>
      <c r="C256" t="s">
        <v>356</v>
      </c>
      <c r="D256" t="s">
        <v>67</v>
      </c>
      <c r="E256" t="s">
        <v>46</v>
      </c>
      <c r="F256" t="s">
        <v>53</v>
      </c>
      <c r="G256" t="s">
        <v>268</v>
      </c>
      <c r="H256">
        <v>2</v>
      </c>
      <c r="I256" s="21">
        <v>67610</v>
      </c>
      <c r="J256">
        <v>10</v>
      </c>
      <c r="K256" s="21">
        <v>13522</v>
      </c>
      <c r="L256" s="21">
        <v>121698</v>
      </c>
      <c r="M256" s="21">
        <v>85672.3</v>
      </c>
      <c r="N256" s="21">
        <v>36025.699999999997</v>
      </c>
      <c r="O256" t="s">
        <v>29</v>
      </c>
      <c r="P256" s="21">
        <v>2459.9299999999998</v>
      </c>
      <c r="Q256" t="s">
        <v>73</v>
      </c>
      <c r="R256" t="s">
        <v>41</v>
      </c>
      <c r="S256">
        <v>2</v>
      </c>
      <c r="T256">
        <v>3</v>
      </c>
      <c r="U256" t="s">
        <v>32</v>
      </c>
      <c r="V256" t="s">
        <v>50</v>
      </c>
      <c r="W256">
        <v>5</v>
      </c>
    </row>
    <row r="257" spans="1:23" x14ac:dyDescent="0.25">
      <c r="A257" t="s">
        <v>545</v>
      </c>
      <c r="B257" s="1">
        <v>45707</v>
      </c>
      <c r="C257" t="s">
        <v>546</v>
      </c>
      <c r="D257" t="s">
        <v>45</v>
      </c>
      <c r="E257" t="s">
        <v>46</v>
      </c>
      <c r="F257" t="s">
        <v>53</v>
      </c>
      <c r="G257" t="s">
        <v>82</v>
      </c>
      <c r="H257">
        <v>1</v>
      </c>
      <c r="I257" s="21">
        <v>47559</v>
      </c>
      <c r="J257">
        <v>0</v>
      </c>
      <c r="K257" s="21">
        <v>0</v>
      </c>
      <c r="L257" s="21">
        <v>47559</v>
      </c>
      <c r="M257" s="21">
        <v>35189.17</v>
      </c>
      <c r="N257" s="21">
        <v>12369.83</v>
      </c>
      <c r="O257" t="s">
        <v>29</v>
      </c>
      <c r="P257" s="21">
        <v>849.08</v>
      </c>
      <c r="Q257" t="s">
        <v>83</v>
      </c>
      <c r="R257" t="s">
        <v>31</v>
      </c>
      <c r="S257">
        <v>5</v>
      </c>
      <c r="T257">
        <v>4</v>
      </c>
      <c r="U257" t="s">
        <v>32</v>
      </c>
      <c r="V257" t="s">
        <v>33</v>
      </c>
      <c r="W257">
        <v>5</v>
      </c>
    </row>
    <row r="258" spans="1:23" x14ac:dyDescent="0.25">
      <c r="A258" t="s">
        <v>547</v>
      </c>
      <c r="B258" s="1">
        <v>45995</v>
      </c>
      <c r="C258" t="s">
        <v>548</v>
      </c>
      <c r="D258" t="s">
        <v>25</v>
      </c>
      <c r="E258" t="s">
        <v>46</v>
      </c>
      <c r="F258" t="s">
        <v>47</v>
      </c>
      <c r="G258" t="s">
        <v>105</v>
      </c>
      <c r="H258">
        <v>1</v>
      </c>
      <c r="I258" s="21">
        <v>20842</v>
      </c>
      <c r="J258">
        <v>5</v>
      </c>
      <c r="K258" s="21">
        <v>1042.0999999999999</v>
      </c>
      <c r="L258" s="21">
        <v>19799.900000000001</v>
      </c>
      <c r="M258" s="21">
        <v>13859.21</v>
      </c>
      <c r="N258" s="21">
        <v>5940.69</v>
      </c>
      <c r="O258" t="s">
        <v>49</v>
      </c>
      <c r="P258" s="21">
        <v>179.81</v>
      </c>
      <c r="Q258" t="s">
        <v>68</v>
      </c>
      <c r="R258" t="s">
        <v>41</v>
      </c>
      <c r="S258">
        <v>2</v>
      </c>
      <c r="T258">
        <v>4</v>
      </c>
      <c r="U258" t="s">
        <v>56</v>
      </c>
      <c r="V258" t="s">
        <v>33</v>
      </c>
      <c r="W258">
        <v>2</v>
      </c>
    </row>
    <row r="259" spans="1:23" x14ac:dyDescent="0.25">
      <c r="A259" t="s">
        <v>549</v>
      </c>
      <c r="B259" s="1">
        <v>45878</v>
      </c>
      <c r="C259" t="s">
        <v>550</v>
      </c>
      <c r="D259" t="s">
        <v>90</v>
      </c>
      <c r="E259" t="s">
        <v>26</v>
      </c>
      <c r="F259" t="s">
        <v>47</v>
      </c>
      <c r="G259" t="s">
        <v>138</v>
      </c>
      <c r="H259">
        <v>1</v>
      </c>
      <c r="I259" s="21">
        <v>15898</v>
      </c>
      <c r="J259">
        <v>20</v>
      </c>
      <c r="K259" s="21">
        <v>3179.6</v>
      </c>
      <c r="L259" s="21">
        <v>12718.4</v>
      </c>
      <c r="M259" s="21">
        <v>10063.65</v>
      </c>
      <c r="N259" s="21">
        <v>2654.75</v>
      </c>
      <c r="O259" t="s">
        <v>91</v>
      </c>
      <c r="P259" s="21">
        <v>1245.1099999999999</v>
      </c>
      <c r="Q259" t="s">
        <v>30</v>
      </c>
      <c r="R259" t="s">
        <v>41</v>
      </c>
      <c r="S259">
        <v>2</v>
      </c>
      <c r="T259">
        <v>4</v>
      </c>
      <c r="U259" t="s">
        <v>32</v>
      </c>
      <c r="V259" t="s">
        <v>50</v>
      </c>
      <c r="W259">
        <v>2</v>
      </c>
    </row>
    <row r="260" spans="1:23" x14ac:dyDescent="0.25">
      <c r="A260" t="s">
        <v>551</v>
      </c>
      <c r="B260" s="1">
        <v>45839</v>
      </c>
      <c r="C260" t="s">
        <v>249</v>
      </c>
      <c r="D260" t="s">
        <v>25</v>
      </c>
      <c r="E260" t="s">
        <v>46</v>
      </c>
      <c r="F260" t="s">
        <v>37</v>
      </c>
      <c r="G260" t="s">
        <v>100</v>
      </c>
      <c r="H260">
        <v>2</v>
      </c>
      <c r="I260" s="21">
        <v>36881</v>
      </c>
      <c r="J260">
        <v>10</v>
      </c>
      <c r="K260" s="21">
        <v>7376.2</v>
      </c>
      <c r="L260" s="21">
        <v>66385.8</v>
      </c>
      <c r="M260" s="21">
        <v>43876.12</v>
      </c>
      <c r="N260" s="21">
        <v>22509.68</v>
      </c>
      <c r="O260" t="s">
        <v>91</v>
      </c>
      <c r="P260" s="21">
        <v>2449.94</v>
      </c>
      <c r="Q260" t="s">
        <v>40</v>
      </c>
      <c r="R260" t="s">
        <v>41</v>
      </c>
      <c r="S260">
        <v>2</v>
      </c>
      <c r="T260">
        <v>0</v>
      </c>
      <c r="U260" t="s">
        <v>32</v>
      </c>
      <c r="V260" t="s">
        <v>42</v>
      </c>
    </row>
    <row r="261" spans="1:23" x14ac:dyDescent="0.25">
      <c r="A261" t="s">
        <v>552</v>
      </c>
      <c r="B261" s="1">
        <v>45874</v>
      </c>
      <c r="C261" t="s">
        <v>553</v>
      </c>
      <c r="D261" t="s">
        <v>45</v>
      </c>
      <c r="E261" t="s">
        <v>36</v>
      </c>
      <c r="F261" t="s">
        <v>27</v>
      </c>
      <c r="G261" t="s">
        <v>72</v>
      </c>
      <c r="H261">
        <v>1</v>
      </c>
      <c r="I261" s="21">
        <v>28095</v>
      </c>
      <c r="J261">
        <v>20</v>
      </c>
      <c r="K261" s="21">
        <v>5619</v>
      </c>
      <c r="L261" s="21">
        <v>22476</v>
      </c>
      <c r="M261" s="21">
        <v>15498.92</v>
      </c>
      <c r="N261" s="21">
        <v>6977.08</v>
      </c>
      <c r="O261" t="s">
        <v>60</v>
      </c>
      <c r="P261" s="21">
        <v>1286.6400000000001</v>
      </c>
      <c r="Q261" t="s">
        <v>83</v>
      </c>
      <c r="R261" t="s">
        <v>31</v>
      </c>
      <c r="S261">
        <v>5</v>
      </c>
      <c r="T261">
        <v>1</v>
      </c>
      <c r="U261" t="s">
        <v>32</v>
      </c>
      <c r="V261" t="s">
        <v>42</v>
      </c>
    </row>
    <row r="262" spans="1:23" x14ac:dyDescent="0.25">
      <c r="A262" t="s">
        <v>554</v>
      </c>
      <c r="B262" s="1">
        <v>45868</v>
      </c>
      <c r="C262" t="s">
        <v>555</v>
      </c>
      <c r="D262" t="s">
        <v>45</v>
      </c>
      <c r="E262" t="s">
        <v>36</v>
      </c>
      <c r="F262" t="s">
        <v>37</v>
      </c>
      <c r="G262" t="s">
        <v>38</v>
      </c>
      <c r="H262">
        <v>1</v>
      </c>
      <c r="I262" s="21">
        <v>34751</v>
      </c>
      <c r="J262">
        <v>10</v>
      </c>
      <c r="K262" s="21">
        <v>3475.1</v>
      </c>
      <c r="L262" s="21">
        <v>31275.9</v>
      </c>
      <c r="M262" s="21">
        <v>20757.009999999998</v>
      </c>
      <c r="N262" s="21">
        <v>10518.89</v>
      </c>
      <c r="O262" t="s">
        <v>55</v>
      </c>
      <c r="P262" s="21">
        <v>281.25</v>
      </c>
      <c r="Q262" t="s">
        <v>40</v>
      </c>
      <c r="R262" t="s">
        <v>41</v>
      </c>
      <c r="S262">
        <v>2</v>
      </c>
      <c r="T262">
        <v>1</v>
      </c>
      <c r="U262" t="s">
        <v>32</v>
      </c>
      <c r="V262" t="s">
        <v>33</v>
      </c>
      <c r="W262">
        <v>2</v>
      </c>
    </row>
    <row r="263" spans="1:23" x14ac:dyDescent="0.25">
      <c r="A263" t="s">
        <v>556</v>
      </c>
      <c r="B263" s="1">
        <v>45897</v>
      </c>
      <c r="C263" t="s">
        <v>438</v>
      </c>
      <c r="D263" t="s">
        <v>90</v>
      </c>
      <c r="E263" t="s">
        <v>26</v>
      </c>
      <c r="F263" t="s">
        <v>86</v>
      </c>
      <c r="G263" t="s">
        <v>110</v>
      </c>
      <c r="H263">
        <v>1</v>
      </c>
      <c r="I263" s="21">
        <v>44240</v>
      </c>
      <c r="J263">
        <v>10</v>
      </c>
      <c r="K263" s="21">
        <v>4424</v>
      </c>
      <c r="L263" s="21">
        <v>39816</v>
      </c>
      <c r="M263" s="21">
        <v>27110.13</v>
      </c>
      <c r="N263" s="21">
        <v>12705.87</v>
      </c>
      <c r="O263" t="s">
        <v>49</v>
      </c>
      <c r="P263" s="21">
        <v>402.69</v>
      </c>
      <c r="Q263" t="s">
        <v>73</v>
      </c>
      <c r="R263" t="s">
        <v>31</v>
      </c>
      <c r="S263">
        <v>5</v>
      </c>
      <c r="T263">
        <v>4</v>
      </c>
      <c r="U263" t="s">
        <v>32</v>
      </c>
      <c r="V263" t="s">
        <v>33</v>
      </c>
      <c r="W263">
        <v>5</v>
      </c>
    </row>
    <row r="264" spans="1:23" x14ac:dyDescent="0.25">
      <c r="A264" t="s">
        <v>557</v>
      </c>
      <c r="B264" s="1">
        <v>45685</v>
      </c>
      <c r="C264" t="s">
        <v>558</v>
      </c>
      <c r="D264" t="s">
        <v>63</v>
      </c>
      <c r="E264" t="s">
        <v>46</v>
      </c>
      <c r="F264" t="s">
        <v>47</v>
      </c>
      <c r="G264" t="s">
        <v>64</v>
      </c>
      <c r="H264">
        <v>1</v>
      </c>
      <c r="I264" s="21">
        <v>45782</v>
      </c>
      <c r="J264">
        <v>10</v>
      </c>
      <c r="K264" s="21">
        <v>4578.2</v>
      </c>
      <c r="L264" s="21">
        <v>41203.800000000003</v>
      </c>
      <c r="M264" s="21">
        <v>31649.34</v>
      </c>
      <c r="N264" s="21">
        <v>9554.4599999999991</v>
      </c>
      <c r="O264" t="s">
        <v>39</v>
      </c>
      <c r="P264" s="21">
        <v>615.86</v>
      </c>
      <c r="Q264" t="s">
        <v>40</v>
      </c>
      <c r="R264" t="s">
        <v>31</v>
      </c>
      <c r="S264">
        <v>5</v>
      </c>
      <c r="T264">
        <v>1</v>
      </c>
      <c r="U264" t="s">
        <v>32</v>
      </c>
      <c r="V264" t="s">
        <v>33</v>
      </c>
      <c r="W264">
        <v>4</v>
      </c>
    </row>
    <row r="265" spans="1:23" x14ac:dyDescent="0.25">
      <c r="A265" t="s">
        <v>559</v>
      </c>
      <c r="B265" s="1">
        <v>46002</v>
      </c>
      <c r="C265" t="s">
        <v>560</v>
      </c>
      <c r="D265" t="s">
        <v>154</v>
      </c>
      <c r="E265" t="s">
        <v>36</v>
      </c>
      <c r="F265" t="s">
        <v>53</v>
      </c>
      <c r="G265" t="s">
        <v>59</v>
      </c>
      <c r="H265">
        <v>1</v>
      </c>
      <c r="I265" s="21">
        <v>74004</v>
      </c>
      <c r="J265">
        <v>0</v>
      </c>
      <c r="K265" s="21">
        <v>0</v>
      </c>
      <c r="L265" s="21">
        <v>74004</v>
      </c>
      <c r="M265" s="21">
        <v>44915.35</v>
      </c>
      <c r="N265" s="21">
        <v>29088.65</v>
      </c>
      <c r="O265" t="s">
        <v>29</v>
      </c>
      <c r="P265" s="21">
        <v>808.11</v>
      </c>
      <c r="Q265" t="s">
        <v>83</v>
      </c>
      <c r="R265" t="s">
        <v>41</v>
      </c>
      <c r="S265">
        <v>2</v>
      </c>
      <c r="T265">
        <v>0</v>
      </c>
      <c r="U265" t="s">
        <v>32</v>
      </c>
      <c r="V265" t="s">
        <v>50</v>
      </c>
      <c r="W265">
        <v>5</v>
      </c>
    </row>
    <row r="266" spans="1:23" x14ac:dyDescent="0.25">
      <c r="A266" t="s">
        <v>561</v>
      </c>
      <c r="B266" s="1">
        <v>45992</v>
      </c>
      <c r="C266" t="s">
        <v>398</v>
      </c>
      <c r="D266" t="s">
        <v>71</v>
      </c>
      <c r="E266" t="s">
        <v>46</v>
      </c>
      <c r="F266" t="s">
        <v>53</v>
      </c>
      <c r="G266" t="s">
        <v>268</v>
      </c>
      <c r="H266">
        <v>2</v>
      </c>
      <c r="I266" s="21">
        <v>107622</v>
      </c>
      <c r="J266">
        <v>20</v>
      </c>
      <c r="K266" s="21">
        <v>43048.800000000003</v>
      </c>
      <c r="L266" s="21">
        <v>172195.20000000001</v>
      </c>
      <c r="M266" s="21">
        <v>106917.51</v>
      </c>
      <c r="N266" s="21">
        <v>65277.69</v>
      </c>
      <c r="O266" t="s">
        <v>60</v>
      </c>
      <c r="P266" s="21">
        <v>864.22</v>
      </c>
      <c r="Q266" t="s">
        <v>30</v>
      </c>
      <c r="R266" t="s">
        <v>41</v>
      </c>
      <c r="S266">
        <v>2</v>
      </c>
      <c r="T266">
        <v>0</v>
      </c>
      <c r="U266" t="s">
        <v>32</v>
      </c>
      <c r="V266" t="s">
        <v>42</v>
      </c>
    </row>
    <row r="267" spans="1:23" x14ac:dyDescent="0.25">
      <c r="A267" t="s">
        <v>562</v>
      </c>
      <c r="B267" s="1">
        <v>45988</v>
      </c>
      <c r="C267" t="s">
        <v>563</v>
      </c>
      <c r="D267" t="s">
        <v>90</v>
      </c>
      <c r="E267" t="s">
        <v>36</v>
      </c>
      <c r="F267" t="s">
        <v>27</v>
      </c>
      <c r="G267" t="s">
        <v>72</v>
      </c>
      <c r="H267">
        <v>2</v>
      </c>
      <c r="I267" s="21">
        <v>14476</v>
      </c>
      <c r="J267">
        <v>10</v>
      </c>
      <c r="K267" s="21">
        <v>2895.2</v>
      </c>
      <c r="L267" s="21">
        <v>26056.799999999999</v>
      </c>
      <c r="M267" s="21">
        <v>19975.810000000001</v>
      </c>
      <c r="N267" s="21">
        <v>6080.99</v>
      </c>
      <c r="O267" t="s">
        <v>55</v>
      </c>
      <c r="P267" s="21">
        <v>1978.25</v>
      </c>
      <c r="Q267" t="s">
        <v>68</v>
      </c>
      <c r="R267" t="s">
        <v>41</v>
      </c>
      <c r="S267">
        <v>2</v>
      </c>
      <c r="T267">
        <v>1</v>
      </c>
      <c r="U267" t="s">
        <v>32</v>
      </c>
      <c r="V267" t="s">
        <v>33</v>
      </c>
      <c r="W267">
        <v>4</v>
      </c>
    </row>
    <row r="268" spans="1:23" x14ac:dyDescent="0.25">
      <c r="A268" t="s">
        <v>564</v>
      </c>
      <c r="B268" s="1">
        <v>45708</v>
      </c>
      <c r="C268" t="s">
        <v>565</v>
      </c>
      <c r="D268" t="s">
        <v>25</v>
      </c>
      <c r="E268" t="s">
        <v>26</v>
      </c>
      <c r="F268" t="s">
        <v>37</v>
      </c>
      <c r="G268" t="s">
        <v>161</v>
      </c>
      <c r="H268">
        <v>1</v>
      </c>
      <c r="I268" s="21">
        <v>4783</v>
      </c>
      <c r="J268">
        <v>15</v>
      </c>
      <c r="K268" s="21">
        <v>717.45</v>
      </c>
      <c r="L268" s="21">
        <v>4065.55</v>
      </c>
      <c r="M268" s="21">
        <v>2343.3000000000002</v>
      </c>
      <c r="N268" s="21">
        <v>1722.25</v>
      </c>
      <c r="O268" t="s">
        <v>49</v>
      </c>
      <c r="P268" s="21">
        <v>148.74</v>
      </c>
      <c r="Q268" t="s">
        <v>73</v>
      </c>
      <c r="R268" t="s">
        <v>41</v>
      </c>
      <c r="S268">
        <v>2</v>
      </c>
      <c r="T268">
        <v>5</v>
      </c>
      <c r="U268" t="s">
        <v>56</v>
      </c>
      <c r="V268" t="s">
        <v>33</v>
      </c>
      <c r="W268">
        <v>3</v>
      </c>
    </row>
    <row r="269" spans="1:23" x14ac:dyDescent="0.25">
      <c r="A269" t="s">
        <v>566</v>
      </c>
      <c r="B269" s="1">
        <v>45689</v>
      </c>
      <c r="C269" t="s">
        <v>567</v>
      </c>
      <c r="D269" t="s">
        <v>90</v>
      </c>
      <c r="E269" t="s">
        <v>46</v>
      </c>
      <c r="F269" t="s">
        <v>86</v>
      </c>
      <c r="G269" t="s">
        <v>87</v>
      </c>
      <c r="H269">
        <v>3</v>
      </c>
      <c r="I269" s="21">
        <v>84562</v>
      </c>
      <c r="J269">
        <v>0</v>
      </c>
      <c r="K269" s="21">
        <v>0</v>
      </c>
      <c r="L269" s="21">
        <v>253686</v>
      </c>
      <c r="M269" s="21">
        <v>145444.35</v>
      </c>
      <c r="N269" s="21">
        <v>108241.65</v>
      </c>
      <c r="O269" t="s">
        <v>29</v>
      </c>
      <c r="P269" s="21">
        <v>1709.71</v>
      </c>
      <c r="Q269" t="s">
        <v>40</v>
      </c>
      <c r="R269" t="s">
        <v>31</v>
      </c>
      <c r="S269">
        <v>5</v>
      </c>
      <c r="T269">
        <v>3</v>
      </c>
      <c r="U269" t="s">
        <v>32</v>
      </c>
      <c r="V269" t="s">
        <v>42</v>
      </c>
    </row>
    <row r="270" spans="1:23" x14ac:dyDescent="0.25">
      <c r="A270" t="s">
        <v>568</v>
      </c>
      <c r="B270" s="1">
        <v>45864</v>
      </c>
      <c r="C270" t="s">
        <v>221</v>
      </c>
      <c r="D270" t="s">
        <v>63</v>
      </c>
      <c r="E270" t="s">
        <v>26</v>
      </c>
      <c r="F270" t="s">
        <v>47</v>
      </c>
      <c r="G270" t="s">
        <v>138</v>
      </c>
      <c r="H270">
        <v>3</v>
      </c>
      <c r="I270" s="21">
        <v>36716</v>
      </c>
      <c r="J270">
        <v>10</v>
      </c>
      <c r="K270" s="21">
        <v>11014.8</v>
      </c>
      <c r="L270" s="21">
        <v>99133.2</v>
      </c>
      <c r="M270" s="21">
        <v>61411.12</v>
      </c>
      <c r="N270" s="21">
        <v>37722.080000000002</v>
      </c>
      <c r="O270" t="s">
        <v>39</v>
      </c>
      <c r="P270" s="21">
        <v>343.49</v>
      </c>
      <c r="Q270" t="s">
        <v>30</v>
      </c>
      <c r="R270" t="s">
        <v>41</v>
      </c>
      <c r="S270">
        <v>2</v>
      </c>
      <c r="T270">
        <v>1</v>
      </c>
      <c r="U270" t="s">
        <v>32</v>
      </c>
      <c r="V270" t="s">
        <v>33</v>
      </c>
      <c r="W270">
        <v>5</v>
      </c>
    </row>
    <row r="271" spans="1:23" x14ac:dyDescent="0.25">
      <c r="A271" t="s">
        <v>569</v>
      </c>
      <c r="B271" s="1">
        <v>45831</v>
      </c>
      <c r="C271" t="s">
        <v>570</v>
      </c>
      <c r="D271" t="s">
        <v>63</v>
      </c>
      <c r="E271" t="s">
        <v>46</v>
      </c>
      <c r="F271" t="s">
        <v>86</v>
      </c>
      <c r="G271" t="s">
        <v>180</v>
      </c>
      <c r="H271">
        <v>1</v>
      </c>
      <c r="I271" s="21">
        <v>57463</v>
      </c>
      <c r="J271">
        <v>0</v>
      </c>
      <c r="K271" s="21">
        <v>0</v>
      </c>
      <c r="L271" s="21">
        <v>57463</v>
      </c>
      <c r="M271" s="21">
        <v>33836.83</v>
      </c>
      <c r="N271" s="21">
        <v>23626.17</v>
      </c>
      <c r="O271" t="s">
        <v>91</v>
      </c>
      <c r="P271" s="21">
        <v>1679.68</v>
      </c>
      <c r="Q271" t="s">
        <v>30</v>
      </c>
      <c r="R271" t="s">
        <v>31</v>
      </c>
      <c r="S271">
        <v>5</v>
      </c>
      <c r="T271">
        <v>5</v>
      </c>
      <c r="U271" t="s">
        <v>32</v>
      </c>
      <c r="V271" t="s">
        <v>33</v>
      </c>
      <c r="W271">
        <v>5</v>
      </c>
    </row>
    <row r="272" spans="1:23" x14ac:dyDescent="0.25">
      <c r="A272" t="s">
        <v>571</v>
      </c>
      <c r="B272" s="1">
        <v>45713</v>
      </c>
      <c r="C272" t="s">
        <v>572</v>
      </c>
      <c r="D272" t="s">
        <v>79</v>
      </c>
      <c r="E272" t="s">
        <v>26</v>
      </c>
      <c r="F272" t="s">
        <v>86</v>
      </c>
      <c r="G272" t="s">
        <v>180</v>
      </c>
      <c r="H272">
        <v>1</v>
      </c>
      <c r="I272" s="21">
        <v>71234</v>
      </c>
      <c r="J272">
        <v>0</v>
      </c>
      <c r="K272" s="21">
        <v>0</v>
      </c>
      <c r="L272" s="21">
        <v>71234</v>
      </c>
      <c r="M272" s="21">
        <v>51961.18</v>
      </c>
      <c r="N272" s="21">
        <v>19272.82</v>
      </c>
      <c r="O272" t="s">
        <v>55</v>
      </c>
      <c r="P272" s="21">
        <v>958.61</v>
      </c>
      <c r="Q272" t="s">
        <v>30</v>
      </c>
      <c r="R272" t="s">
        <v>31</v>
      </c>
      <c r="S272">
        <v>5</v>
      </c>
      <c r="T272">
        <v>7</v>
      </c>
      <c r="U272" t="s">
        <v>56</v>
      </c>
      <c r="V272" t="s">
        <v>33</v>
      </c>
      <c r="W272">
        <v>5</v>
      </c>
    </row>
    <row r="273" spans="1:23" x14ac:dyDescent="0.25">
      <c r="A273" t="s">
        <v>573</v>
      </c>
      <c r="B273" s="1">
        <v>45785</v>
      </c>
      <c r="C273" t="s">
        <v>574</v>
      </c>
      <c r="D273" t="s">
        <v>67</v>
      </c>
      <c r="E273" t="s">
        <v>46</v>
      </c>
      <c r="F273" t="s">
        <v>37</v>
      </c>
      <c r="G273" t="s">
        <v>224</v>
      </c>
      <c r="H273">
        <v>2</v>
      </c>
      <c r="I273" s="21">
        <v>4216</v>
      </c>
      <c r="J273">
        <v>15</v>
      </c>
      <c r="K273" s="21">
        <v>1264.8</v>
      </c>
      <c r="L273" s="21">
        <v>7167.2</v>
      </c>
      <c r="M273" s="21">
        <v>5788.39</v>
      </c>
      <c r="N273" s="21">
        <v>1378.81</v>
      </c>
      <c r="O273" t="s">
        <v>60</v>
      </c>
      <c r="P273" s="21">
        <v>1431.2</v>
      </c>
      <c r="Q273" t="s">
        <v>73</v>
      </c>
      <c r="R273" t="s">
        <v>31</v>
      </c>
      <c r="S273">
        <v>5</v>
      </c>
      <c r="T273">
        <v>2</v>
      </c>
      <c r="U273" t="s">
        <v>32</v>
      </c>
      <c r="V273" t="s">
        <v>33</v>
      </c>
      <c r="W273">
        <v>5</v>
      </c>
    </row>
    <row r="274" spans="1:23" x14ac:dyDescent="0.25">
      <c r="A274" t="s">
        <v>575</v>
      </c>
      <c r="B274" s="1">
        <v>45756</v>
      </c>
      <c r="C274" t="s">
        <v>576</v>
      </c>
      <c r="D274" t="s">
        <v>90</v>
      </c>
      <c r="E274" t="s">
        <v>36</v>
      </c>
      <c r="F274" t="s">
        <v>86</v>
      </c>
      <c r="G274" t="s">
        <v>94</v>
      </c>
      <c r="H274">
        <v>2</v>
      </c>
      <c r="I274" s="21">
        <v>50572</v>
      </c>
      <c r="J274">
        <v>10</v>
      </c>
      <c r="K274" s="21">
        <v>10114.4</v>
      </c>
      <c r="L274" s="21">
        <v>91029.6</v>
      </c>
      <c r="M274" s="21">
        <v>65987.72</v>
      </c>
      <c r="N274" s="21">
        <v>25041.88</v>
      </c>
      <c r="O274" t="s">
        <v>49</v>
      </c>
      <c r="P274" s="21">
        <v>347.33</v>
      </c>
      <c r="Q274" t="s">
        <v>73</v>
      </c>
      <c r="R274" t="s">
        <v>31</v>
      </c>
      <c r="S274">
        <v>5</v>
      </c>
      <c r="T274">
        <v>7</v>
      </c>
      <c r="U274" t="s">
        <v>56</v>
      </c>
      <c r="V274" t="s">
        <v>33</v>
      </c>
      <c r="W274">
        <v>4</v>
      </c>
    </row>
    <row r="275" spans="1:23" x14ac:dyDescent="0.25">
      <c r="A275" t="s">
        <v>577</v>
      </c>
      <c r="B275" s="1">
        <v>45755</v>
      </c>
      <c r="C275" t="s">
        <v>578</v>
      </c>
      <c r="D275" t="s">
        <v>67</v>
      </c>
      <c r="E275" t="s">
        <v>36</v>
      </c>
      <c r="F275" t="s">
        <v>27</v>
      </c>
      <c r="G275" t="s">
        <v>164</v>
      </c>
      <c r="H275">
        <v>1</v>
      </c>
      <c r="I275" s="21">
        <v>9827</v>
      </c>
      <c r="J275">
        <v>5</v>
      </c>
      <c r="K275" s="21">
        <v>491.35</v>
      </c>
      <c r="L275" s="21">
        <v>9335.65</v>
      </c>
      <c r="M275" s="21">
        <v>6367.78</v>
      </c>
      <c r="N275" s="21">
        <v>2967.87</v>
      </c>
      <c r="O275" t="s">
        <v>55</v>
      </c>
      <c r="P275" s="21">
        <v>1428.06</v>
      </c>
      <c r="Q275" t="s">
        <v>30</v>
      </c>
      <c r="R275" t="s">
        <v>41</v>
      </c>
      <c r="S275">
        <v>2</v>
      </c>
      <c r="T275">
        <v>2</v>
      </c>
      <c r="U275" t="s">
        <v>32</v>
      </c>
      <c r="V275" t="s">
        <v>33</v>
      </c>
      <c r="W275">
        <v>4</v>
      </c>
    </row>
    <row r="276" spans="1:23" x14ac:dyDescent="0.25">
      <c r="A276" t="s">
        <v>579</v>
      </c>
      <c r="B276" s="1">
        <v>45932</v>
      </c>
      <c r="C276" t="s">
        <v>580</v>
      </c>
      <c r="D276" t="s">
        <v>90</v>
      </c>
      <c r="E276" t="s">
        <v>26</v>
      </c>
      <c r="F276" t="s">
        <v>53</v>
      </c>
      <c r="G276" t="s">
        <v>151</v>
      </c>
      <c r="H276">
        <v>1</v>
      </c>
      <c r="I276" s="21">
        <v>24491</v>
      </c>
      <c r="J276">
        <v>0</v>
      </c>
      <c r="K276" s="21">
        <v>0</v>
      </c>
      <c r="L276" s="21">
        <v>24491</v>
      </c>
      <c r="M276" s="21">
        <v>18370.3</v>
      </c>
      <c r="N276" s="21">
        <v>6120.7</v>
      </c>
      <c r="O276" t="s">
        <v>39</v>
      </c>
      <c r="P276" s="21">
        <v>1891.56</v>
      </c>
      <c r="Q276" t="s">
        <v>30</v>
      </c>
      <c r="R276" t="s">
        <v>31</v>
      </c>
      <c r="S276">
        <v>5</v>
      </c>
      <c r="T276">
        <v>3</v>
      </c>
      <c r="U276" t="s">
        <v>32</v>
      </c>
      <c r="V276" t="s">
        <v>33</v>
      </c>
      <c r="W276">
        <v>1</v>
      </c>
    </row>
    <row r="277" spans="1:23" x14ac:dyDescent="0.25">
      <c r="A277" t="s">
        <v>581</v>
      </c>
      <c r="B277" s="1">
        <v>45887</v>
      </c>
      <c r="C277" t="s">
        <v>582</v>
      </c>
      <c r="D277" t="s">
        <v>124</v>
      </c>
      <c r="E277" t="s">
        <v>26</v>
      </c>
      <c r="F277" t="s">
        <v>53</v>
      </c>
      <c r="G277" t="s">
        <v>54</v>
      </c>
      <c r="H277">
        <v>1</v>
      </c>
      <c r="I277" s="21">
        <v>91924</v>
      </c>
      <c r="J277">
        <v>20</v>
      </c>
      <c r="K277" s="21">
        <v>18384.8</v>
      </c>
      <c r="L277" s="21">
        <v>73539.199999999997</v>
      </c>
      <c r="M277" s="21">
        <v>52582.81</v>
      </c>
      <c r="N277" s="21">
        <v>20956.39</v>
      </c>
      <c r="O277" t="s">
        <v>49</v>
      </c>
      <c r="P277" s="21">
        <v>417.86</v>
      </c>
      <c r="Q277" t="s">
        <v>83</v>
      </c>
      <c r="R277" t="s">
        <v>31</v>
      </c>
      <c r="S277">
        <v>5</v>
      </c>
      <c r="T277">
        <v>6</v>
      </c>
      <c r="U277" t="s">
        <v>32</v>
      </c>
      <c r="V277" t="s">
        <v>42</v>
      </c>
    </row>
    <row r="278" spans="1:23" x14ac:dyDescent="0.25">
      <c r="A278" t="s">
        <v>583</v>
      </c>
      <c r="B278" s="1">
        <v>45729</v>
      </c>
      <c r="C278" t="s">
        <v>584</v>
      </c>
      <c r="D278" t="s">
        <v>79</v>
      </c>
      <c r="E278" t="s">
        <v>46</v>
      </c>
      <c r="F278" t="s">
        <v>27</v>
      </c>
      <c r="G278" t="s">
        <v>28</v>
      </c>
      <c r="H278">
        <v>2</v>
      </c>
      <c r="I278" s="21">
        <v>14124</v>
      </c>
      <c r="J278">
        <v>25</v>
      </c>
      <c r="K278" s="21">
        <v>7062</v>
      </c>
      <c r="L278" s="21">
        <v>21186</v>
      </c>
      <c r="M278" s="21">
        <v>12437.85</v>
      </c>
      <c r="N278" s="21">
        <v>8748.15</v>
      </c>
      <c r="O278" t="s">
        <v>91</v>
      </c>
      <c r="P278" s="21">
        <v>598.92999999999995</v>
      </c>
      <c r="Q278" t="s">
        <v>83</v>
      </c>
      <c r="R278" t="s">
        <v>31</v>
      </c>
      <c r="S278">
        <v>5</v>
      </c>
      <c r="T278">
        <v>5</v>
      </c>
      <c r="U278" t="s">
        <v>32</v>
      </c>
      <c r="V278" t="s">
        <v>33</v>
      </c>
      <c r="W278">
        <v>5</v>
      </c>
    </row>
    <row r="279" spans="1:23" x14ac:dyDescent="0.25">
      <c r="A279" t="s">
        <v>585</v>
      </c>
      <c r="B279" s="1">
        <v>45874</v>
      </c>
      <c r="C279" t="s">
        <v>535</v>
      </c>
      <c r="D279" t="s">
        <v>71</v>
      </c>
      <c r="E279" t="s">
        <v>26</v>
      </c>
      <c r="F279" t="s">
        <v>53</v>
      </c>
      <c r="G279" t="s">
        <v>59</v>
      </c>
      <c r="H279">
        <v>2</v>
      </c>
      <c r="I279" s="21">
        <v>66496</v>
      </c>
      <c r="J279">
        <v>0</v>
      </c>
      <c r="K279" s="21">
        <v>0</v>
      </c>
      <c r="L279" s="21">
        <v>132992</v>
      </c>
      <c r="M279" s="21">
        <v>101550.58</v>
      </c>
      <c r="N279" s="21">
        <v>31441.42</v>
      </c>
      <c r="O279" t="s">
        <v>91</v>
      </c>
      <c r="P279" s="21">
        <v>235.95</v>
      </c>
      <c r="Q279" t="s">
        <v>30</v>
      </c>
      <c r="R279" t="s">
        <v>41</v>
      </c>
      <c r="S279">
        <v>2</v>
      </c>
      <c r="T279">
        <v>6</v>
      </c>
      <c r="U279" t="s">
        <v>32</v>
      </c>
      <c r="V279" t="s">
        <v>50</v>
      </c>
      <c r="W279">
        <v>2</v>
      </c>
    </row>
    <row r="280" spans="1:23" x14ac:dyDescent="0.25">
      <c r="A280" t="s">
        <v>586</v>
      </c>
      <c r="B280" s="1">
        <v>45751</v>
      </c>
      <c r="C280" t="s">
        <v>587</v>
      </c>
      <c r="D280" t="s">
        <v>154</v>
      </c>
      <c r="E280" t="s">
        <v>26</v>
      </c>
      <c r="F280" t="s">
        <v>53</v>
      </c>
      <c r="G280" t="s">
        <v>151</v>
      </c>
      <c r="H280">
        <v>2</v>
      </c>
      <c r="I280" s="21">
        <v>46189</v>
      </c>
      <c r="J280">
        <v>5</v>
      </c>
      <c r="K280" s="21">
        <v>4618.8999999999996</v>
      </c>
      <c r="L280" s="21">
        <v>87759.1</v>
      </c>
      <c r="M280" s="21">
        <v>51657.97</v>
      </c>
      <c r="N280" s="21">
        <v>36101.129999999997</v>
      </c>
      <c r="O280" t="s">
        <v>55</v>
      </c>
      <c r="P280" s="21">
        <v>750.28</v>
      </c>
      <c r="Q280" t="s">
        <v>68</v>
      </c>
      <c r="R280" t="s">
        <v>41</v>
      </c>
      <c r="S280">
        <v>2</v>
      </c>
      <c r="T280">
        <v>2</v>
      </c>
      <c r="U280" t="s">
        <v>32</v>
      </c>
      <c r="V280" t="s">
        <v>33</v>
      </c>
      <c r="W280">
        <v>4</v>
      </c>
    </row>
    <row r="281" spans="1:23" x14ac:dyDescent="0.25">
      <c r="A281" t="s">
        <v>588</v>
      </c>
      <c r="B281" s="1">
        <v>45800</v>
      </c>
      <c r="C281" t="s">
        <v>96</v>
      </c>
      <c r="D281" t="s">
        <v>67</v>
      </c>
      <c r="E281" t="s">
        <v>36</v>
      </c>
      <c r="F281" t="s">
        <v>37</v>
      </c>
      <c r="G281" t="s">
        <v>224</v>
      </c>
      <c r="H281">
        <v>2</v>
      </c>
      <c r="I281" s="21">
        <v>4299</v>
      </c>
      <c r="J281">
        <v>25</v>
      </c>
      <c r="K281" s="21">
        <v>2149.5</v>
      </c>
      <c r="L281" s="21">
        <v>6448.5</v>
      </c>
      <c r="M281" s="21">
        <v>3956.94</v>
      </c>
      <c r="N281" s="21">
        <v>2491.56</v>
      </c>
      <c r="O281" t="s">
        <v>29</v>
      </c>
      <c r="P281" s="21">
        <v>1032.3699999999999</v>
      </c>
      <c r="Q281" t="s">
        <v>40</v>
      </c>
      <c r="R281" t="s">
        <v>31</v>
      </c>
      <c r="S281">
        <v>5</v>
      </c>
      <c r="T281">
        <v>4</v>
      </c>
      <c r="U281" t="s">
        <v>32</v>
      </c>
      <c r="V281" t="s">
        <v>33</v>
      </c>
      <c r="W281">
        <v>5</v>
      </c>
    </row>
    <row r="282" spans="1:23" x14ac:dyDescent="0.25">
      <c r="A282" t="s">
        <v>589</v>
      </c>
      <c r="B282" s="1">
        <v>45894</v>
      </c>
      <c r="C282" t="s">
        <v>398</v>
      </c>
      <c r="D282" t="s">
        <v>124</v>
      </c>
      <c r="E282" t="s">
        <v>46</v>
      </c>
      <c r="F282" t="s">
        <v>37</v>
      </c>
      <c r="G282" t="s">
        <v>161</v>
      </c>
      <c r="H282">
        <v>1</v>
      </c>
      <c r="I282" s="21">
        <v>15555</v>
      </c>
      <c r="J282">
        <v>0</v>
      </c>
      <c r="K282" s="21">
        <v>0</v>
      </c>
      <c r="L282" s="21">
        <v>15555</v>
      </c>
      <c r="M282" s="21">
        <v>11369.75</v>
      </c>
      <c r="N282" s="21">
        <v>4185.25</v>
      </c>
      <c r="O282" t="s">
        <v>39</v>
      </c>
      <c r="P282" s="21">
        <v>1037.6400000000001</v>
      </c>
      <c r="Q282" t="s">
        <v>68</v>
      </c>
      <c r="R282" t="s">
        <v>31</v>
      </c>
      <c r="S282">
        <v>5</v>
      </c>
      <c r="T282">
        <v>5</v>
      </c>
      <c r="U282" t="s">
        <v>32</v>
      </c>
      <c r="V282" t="s">
        <v>33</v>
      </c>
      <c r="W282">
        <v>5</v>
      </c>
    </row>
    <row r="283" spans="1:23" x14ac:dyDescent="0.25">
      <c r="A283" t="s">
        <v>590</v>
      </c>
      <c r="B283" s="1">
        <v>45785</v>
      </c>
      <c r="C283" t="s">
        <v>591</v>
      </c>
      <c r="D283" t="s">
        <v>45</v>
      </c>
      <c r="E283" t="s">
        <v>46</v>
      </c>
      <c r="F283" t="s">
        <v>27</v>
      </c>
      <c r="G283" t="s">
        <v>72</v>
      </c>
      <c r="H283">
        <v>2</v>
      </c>
      <c r="I283" s="21">
        <v>29239</v>
      </c>
      <c r="J283">
        <v>20</v>
      </c>
      <c r="K283" s="21">
        <v>11695.6</v>
      </c>
      <c r="L283" s="21">
        <v>46782.400000000001</v>
      </c>
      <c r="M283" s="21">
        <v>32234.2</v>
      </c>
      <c r="N283" s="21">
        <v>14548.2</v>
      </c>
      <c r="O283" t="s">
        <v>60</v>
      </c>
      <c r="P283" s="21">
        <v>1223.0899999999999</v>
      </c>
      <c r="Q283" t="s">
        <v>40</v>
      </c>
      <c r="R283" t="s">
        <v>31</v>
      </c>
      <c r="S283">
        <v>5</v>
      </c>
      <c r="T283">
        <v>6</v>
      </c>
      <c r="U283" t="s">
        <v>56</v>
      </c>
      <c r="V283" t="s">
        <v>33</v>
      </c>
      <c r="W283">
        <v>5</v>
      </c>
    </row>
    <row r="284" spans="1:23" x14ac:dyDescent="0.25">
      <c r="A284" t="s">
        <v>592</v>
      </c>
      <c r="B284" s="1">
        <v>45696</v>
      </c>
      <c r="C284" t="s">
        <v>593</v>
      </c>
      <c r="D284" t="s">
        <v>25</v>
      </c>
      <c r="E284" t="s">
        <v>26</v>
      </c>
      <c r="F284" t="s">
        <v>86</v>
      </c>
      <c r="G284" t="s">
        <v>127</v>
      </c>
      <c r="H284">
        <v>1</v>
      </c>
      <c r="I284" s="21">
        <v>60079</v>
      </c>
      <c r="J284">
        <v>5</v>
      </c>
      <c r="K284" s="21">
        <v>3003.95</v>
      </c>
      <c r="L284" s="21">
        <v>57075.05</v>
      </c>
      <c r="M284" s="21">
        <v>32524.39</v>
      </c>
      <c r="N284" s="21">
        <v>24550.66</v>
      </c>
      <c r="O284" t="s">
        <v>91</v>
      </c>
      <c r="P284" s="21">
        <v>2248.12</v>
      </c>
      <c r="Q284" t="s">
        <v>68</v>
      </c>
      <c r="R284" t="s">
        <v>41</v>
      </c>
      <c r="S284">
        <v>2</v>
      </c>
      <c r="T284">
        <v>0</v>
      </c>
      <c r="U284" t="s">
        <v>32</v>
      </c>
      <c r="V284" t="s">
        <v>42</v>
      </c>
    </row>
    <row r="285" spans="1:23" x14ac:dyDescent="0.25">
      <c r="A285" t="s">
        <v>594</v>
      </c>
      <c r="B285" s="1">
        <v>45884</v>
      </c>
      <c r="C285" t="s">
        <v>595</v>
      </c>
      <c r="D285" t="s">
        <v>154</v>
      </c>
      <c r="E285" t="s">
        <v>46</v>
      </c>
      <c r="F285" t="s">
        <v>47</v>
      </c>
      <c r="G285" t="s">
        <v>64</v>
      </c>
      <c r="H285">
        <v>1</v>
      </c>
      <c r="I285" s="21">
        <v>48420</v>
      </c>
      <c r="J285">
        <v>10</v>
      </c>
      <c r="K285" s="21">
        <v>4842</v>
      </c>
      <c r="L285" s="21">
        <v>43578</v>
      </c>
      <c r="M285" s="21">
        <v>25464.68</v>
      </c>
      <c r="N285" s="21">
        <v>18113.32</v>
      </c>
      <c r="O285" t="s">
        <v>60</v>
      </c>
      <c r="P285" s="21">
        <v>455.55</v>
      </c>
      <c r="Q285" t="s">
        <v>30</v>
      </c>
      <c r="R285" t="s">
        <v>31</v>
      </c>
      <c r="S285">
        <v>5</v>
      </c>
      <c r="T285">
        <v>2</v>
      </c>
      <c r="U285" t="s">
        <v>32</v>
      </c>
      <c r="V285" t="s">
        <v>50</v>
      </c>
      <c r="W285">
        <v>2</v>
      </c>
    </row>
    <row r="286" spans="1:23" x14ac:dyDescent="0.25">
      <c r="A286" t="s">
        <v>596</v>
      </c>
      <c r="B286" s="1">
        <v>45939</v>
      </c>
      <c r="C286" t="s">
        <v>597</v>
      </c>
      <c r="D286" t="s">
        <v>25</v>
      </c>
      <c r="E286" t="s">
        <v>36</v>
      </c>
      <c r="F286" t="s">
        <v>27</v>
      </c>
      <c r="G286" t="s">
        <v>113</v>
      </c>
      <c r="H286">
        <v>2</v>
      </c>
      <c r="I286" s="21">
        <v>22443</v>
      </c>
      <c r="J286">
        <v>0</v>
      </c>
      <c r="K286" s="21">
        <v>0</v>
      </c>
      <c r="L286" s="21">
        <v>44886</v>
      </c>
      <c r="M286" s="21">
        <v>29676.74</v>
      </c>
      <c r="N286" s="21">
        <v>15209.26</v>
      </c>
      <c r="O286" t="s">
        <v>91</v>
      </c>
      <c r="P286" s="21">
        <v>2490.0300000000002</v>
      </c>
      <c r="Q286" t="s">
        <v>40</v>
      </c>
      <c r="R286" t="s">
        <v>41</v>
      </c>
      <c r="S286">
        <v>2</v>
      </c>
      <c r="T286">
        <v>6</v>
      </c>
      <c r="U286" t="s">
        <v>32</v>
      </c>
      <c r="V286" t="s">
        <v>42</v>
      </c>
    </row>
    <row r="287" spans="1:23" x14ac:dyDescent="0.25">
      <c r="A287" t="s">
        <v>598</v>
      </c>
      <c r="B287" s="1">
        <v>45708</v>
      </c>
      <c r="C287" t="s">
        <v>599</v>
      </c>
      <c r="D287" t="s">
        <v>90</v>
      </c>
      <c r="E287" t="s">
        <v>46</v>
      </c>
      <c r="F287" t="s">
        <v>27</v>
      </c>
      <c r="G287" t="s">
        <v>113</v>
      </c>
      <c r="H287">
        <v>3</v>
      </c>
      <c r="I287" s="21">
        <v>22487</v>
      </c>
      <c r="J287">
        <v>0</v>
      </c>
      <c r="K287" s="21">
        <v>0</v>
      </c>
      <c r="L287" s="21">
        <v>67461</v>
      </c>
      <c r="M287" s="21">
        <v>53747.11</v>
      </c>
      <c r="N287" s="21">
        <v>13713.89</v>
      </c>
      <c r="O287" t="s">
        <v>49</v>
      </c>
      <c r="P287" s="21">
        <v>68.03</v>
      </c>
      <c r="Q287" t="s">
        <v>30</v>
      </c>
      <c r="R287" t="s">
        <v>41</v>
      </c>
      <c r="S287">
        <v>2</v>
      </c>
      <c r="T287">
        <v>1</v>
      </c>
      <c r="U287" t="s">
        <v>32</v>
      </c>
      <c r="V287" t="s">
        <v>33</v>
      </c>
      <c r="W287">
        <v>1</v>
      </c>
    </row>
    <row r="288" spans="1:23" x14ac:dyDescent="0.25">
      <c r="A288" t="s">
        <v>600</v>
      </c>
      <c r="B288" s="1">
        <v>45683</v>
      </c>
      <c r="C288" t="s">
        <v>601</v>
      </c>
      <c r="D288" t="s">
        <v>97</v>
      </c>
      <c r="E288" t="s">
        <v>26</v>
      </c>
      <c r="F288" t="s">
        <v>37</v>
      </c>
      <c r="G288" t="s">
        <v>224</v>
      </c>
      <c r="H288">
        <v>2</v>
      </c>
      <c r="I288" s="21">
        <v>19762</v>
      </c>
      <c r="J288">
        <v>0</v>
      </c>
      <c r="K288" s="21">
        <v>0</v>
      </c>
      <c r="L288" s="21">
        <v>39524</v>
      </c>
      <c r="M288" s="21">
        <v>27698.080000000002</v>
      </c>
      <c r="N288" s="21">
        <v>11825.92</v>
      </c>
      <c r="O288" t="s">
        <v>60</v>
      </c>
      <c r="P288" s="21">
        <v>505.24</v>
      </c>
      <c r="Q288" t="s">
        <v>73</v>
      </c>
      <c r="R288" t="s">
        <v>41</v>
      </c>
      <c r="S288">
        <v>2</v>
      </c>
      <c r="T288">
        <v>1</v>
      </c>
      <c r="U288" t="s">
        <v>32</v>
      </c>
      <c r="V288" t="s">
        <v>33</v>
      </c>
      <c r="W288">
        <v>2</v>
      </c>
    </row>
    <row r="289" spans="1:23" x14ac:dyDescent="0.25">
      <c r="A289" t="s">
        <v>602</v>
      </c>
      <c r="B289" s="1">
        <v>45991</v>
      </c>
      <c r="C289" t="s">
        <v>195</v>
      </c>
      <c r="D289" t="s">
        <v>67</v>
      </c>
      <c r="E289" t="s">
        <v>46</v>
      </c>
      <c r="F289" t="s">
        <v>47</v>
      </c>
      <c r="G289" t="s">
        <v>138</v>
      </c>
      <c r="H289">
        <v>2</v>
      </c>
      <c r="I289" s="21">
        <v>45250</v>
      </c>
      <c r="J289">
        <v>0</v>
      </c>
      <c r="K289" s="21">
        <v>0</v>
      </c>
      <c r="L289" s="21">
        <v>90500</v>
      </c>
      <c r="M289" s="21">
        <v>71136.05</v>
      </c>
      <c r="N289" s="21">
        <v>19363.95</v>
      </c>
      <c r="O289" t="s">
        <v>49</v>
      </c>
      <c r="P289" s="21">
        <v>442.2</v>
      </c>
      <c r="Q289" t="s">
        <v>30</v>
      </c>
      <c r="R289" t="s">
        <v>31</v>
      </c>
      <c r="S289">
        <v>5</v>
      </c>
      <c r="T289">
        <v>6</v>
      </c>
      <c r="U289" t="s">
        <v>56</v>
      </c>
      <c r="V289" t="s">
        <v>33</v>
      </c>
      <c r="W289">
        <v>5</v>
      </c>
    </row>
    <row r="290" spans="1:23" x14ac:dyDescent="0.25">
      <c r="A290" t="s">
        <v>603</v>
      </c>
      <c r="B290" s="1">
        <v>45934</v>
      </c>
      <c r="C290" t="s">
        <v>604</v>
      </c>
      <c r="D290" t="s">
        <v>25</v>
      </c>
      <c r="E290" t="s">
        <v>46</v>
      </c>
      <c r="F290" t="s">
        <v>53</v>
      </c>
      <c r="G290" t="s">
        <v>151</v>
      </c>
      <c r="H290">
        <v>1</v>
      </c>
      <c r="I290" s="21">
        <v>44361</v>
      </c>
      <c r="J290">
        <v>0</v>
      </c>
      <c r="K290" s="21">
        <v>0</v>
      </c>
      <c r="L290" s="21">
        <v>44361</v>
      </c>
      <c r="M290" s="21">
        <v>31830.03</v>
      </c>
      <c r="N290" s="21">
        <v>12530.97</v>
      </c>
      <c r="O290" t="s">
        <v>29</v>
      </c>
      <c r="P290" s="21">
        <v>2374.2399999999998</v>
      </c>
      <c r="Q290" t="s">
        <v>73</v>
      </c>
      <c r="R290" t="s">
        <v>31</v>
      </c>
      <c r="S290">
        <v>5</v>
      </c>
      <c r="T290">
        <v>5</v>
      </c>
      <c r="U290" t="s">
        <v>32</v>
      </c>
      <c r="V290" t="s">
        <v>33</v>
      </c>
      <c r="W290">
        <v>5</v>
      </c>
    </row>
    <row r="291" spans="1:23" x14ac:dyDescent="0.25">
      <c r="A291" t="s">
        <v>605</v>
      </c>
      <c r="B291" s="1">
        <v>45665</v>
      </c>
      <c r="C291" t="s">
        <v>606</v>
      </c>
      <c r="D291" t="s">
        <v>25</v>
      </c>
      <c r="E291" t="s">
        <v>26</v>
      </c>
      <c r="F291" t="s">
        <v>53</v>
      </c>
      <c r="G291" t="s">
        <v>151</v>
      </c>
      <c r="H291">
        <v>1</v>
      </c>
      <c r="I291" s="21">
        <v>31972</v>
      </c>
      <c r="J291">
        <v>25</v>
      </c>
      <c r="K291" s="21">
        <v>7993</v>
      </c>
      <c r="L291" s="21">
        <v>23979</v>
      </c>
      <c r="M291" s="21">
        <v>17780.93</v>
      </c>
      <c r="N291" s="21">
        <v>6198.07</v>
      </c>
      <c r="O291" t="s">
        <v>60</v>
      </c>
      <c r="P291" s="21">
        <v>748.86</v>
      </c>
      <c r="Q291" t="s">
        <v>83</v>
      </c>
      <c r="R291" t="s">
        <v>31</v>
      </c>
      <c r="S291">
        <v>5</v>
      </c>
      <c r="T291">
        <v>3</v>
      </c>
      <c r="U291" t="s">
        <v>32</v>
      </c>
      <c r="V291" t="s">
        <v>33</v>
      </c>
      <c r="W291">
        <v>3</v>
      </c>
    </row>
    <row r="292" spans="1:23" x14ac:dyDescent="0.25">
      <c r="A292" t="s">
        <v>607</v>
      </c>
      <c r="B292" s="1">
        <v>45705</v>
      </c>
      <c r="C292" t="s">
        <v>608</v>
      </c>
      <c r="D292" t="s">
        <v>124</v>
      </c>
      <c r="E292" t="s">
        <v>46</v>
      </c>
      <c r="F292" t="s">
        <v>27</v>
      </c>
      <c r="G292" t="s">
        <v>28</v>
      </c>
      <c r="H292">
        <v>1</v>
      </c>
      <c r="I292" s="21">
        <v>5284</v>
      </c>
      <c r="J292">
        <v>10</v>
      </c>
      <c r="K292" s="21">
        <v>528.4</v>
      </c>
      <c r="L292" s="21">
        <v>4755.6000000000004</v>
      </c>
      <c r="M292" s="21">
        <v>3058.86</v>
      </c>
      <c r="N292" s="21">
        <v>1696.74</v>
      </c>
      <c r="O292" t="s">
        <v>39</v>
      </c>
      <c r="P292" s="21">
        <v>1832.6</v>
      </c>
      <c r="Q292" t="s">
        <v>40</v>
      </c>
      <c r="R292" t="s">
        <v>31</v>
      </c>
      <c r="S292">
        <v>5</v>
      </c>
      <c r="T292">
        <v>4</v>
      </c>
      <c r="U292" t="s">
        <v>32</v>
      </c>
      <c r="V292" t="s">
        <v>33</v>
      </c>
      <c r="W292">
        <v>4</v>
      </c>
    </row>
    <row r="293" spans="1:23" x14ac:dyDescent="0.25">
      <c r="A293" t="s">
        <v>609</v>
      </c>
      <c r="B293" s="1">
        <v>45779</v>
      </c>
      <c r="C293" t="s">
        <v>610</v>
      </c>
      <c r="D293" t="s">
        <v>79</v>
      </c>
      <c r="E293" t="s">
        <v>36</v>
      </c>
      <c r="F293" t="s">
        <v>86</v>
      </c>
      <c r="G293" t="s">
        <v>127</v>
      </c>
      <c r="H293">
        <v>1</v>
      </c>
      <c r="I293" s="21">
        <v>29437</v>
      </c>
      <c r="J293">
        <v>0</v>
      </c>
      <c r="K293" s="21">
        <v>0</v>
      </c>
      <c r="L293" s="21">
        <v>29437</v>
      </c>
      <c r="M293" s="21">
        <v>17499.91</v>
      </c>
      <c r="N293" s="21">
        <v>11937.09</v>
      </c>
      <c r="O293" t="s">
        <v>91</v>
      </c>
      <c r="P293" s="21">
        <v>546.15</v>
      </c>
      <c r="Q293" t="s">
        <v>68</v>
      </c>
      <c r="R293" t="s">
        <v>31</v>
      </c>
      <c r="S293">
        <v>5</v>
      </c>
      <c r="T293">
        <v>4</v>
      </c>
      <c r="U293" t="s">
        <v>32</v>
      </c>
      <c r="V293" t="s">
        <v>33</v>
      </c>
      <c r="W293">
        <v>4</v>
      </c>
    </row>
    <row r="294" spans="1:23" x14ac:dyDescent="0.25">
      <c r="A294" t="s">
        <v>611</v>
      </c>
      <c r="B294" s="1">
        <v>45743</v>
      </c>
      <c r="C294" t="s">
        <v>612</v>
      </c>
      <c r="D294" t="s">
        <v>71</v>
      </c>
      <c r="E294" t="s">
        <v>26</v>
      </c>
      <c r="F294" t="s">
        <v>37</v>
      </c>
      <c r="G294" t="s">
        <v>224</v>
      </c>
      <c r="H294">
        <v>1</v>
      </c>
      <c r="I294" s="21">
        <v>5407</v>
      </c>
      <c r="J294">
        <v>10</v>
      </c>
      <c r="K294" s="21">
        <v>540.70000000000005</v>
      </c>
      <c r="L294" s="21">
        <v>4866.3</v>
      </c>
      <c r="M294" s="21">
        <v>2924.87</v>
      </c>
      <c r="N294" s="21">
        <v>1941.43</v>
      </c>
      <c r="O294" t="s">
        <v>49</v>
      </c>
      <c r="P294" s="21">
        <v>476.35</v>
      </c>
      <c r="Q294" t="s">
        <v>73</v>
      </c>
      <c r="R294" t="s">
        <v>31</v>
      </c>
      <c r="S294">
        <v>5</v>
      </c>
      <c r="T294">
        <v>3</v>
      </c>
      <c r="U294" t="s">
        <v>32</v>
      </c>
      <c r="V294" t="s">
        <v>33</v>
      </c>
      <c r="W294">
        <v>5</v>
      </c>
    </row>
    <row r="295" spans="1:23" x14ac:dyDescent="0.25">
      <c r="A295" t="s">
        <v>613</v>
      </c>
      <c r="B295" s="1">
        <v>45866</v>
      </c>
      <c r="C295" t="s">
        <v>245</v>
      </c>
      <c r="D295" t="s">
        <v>25</v>
      </c>
      <c r="E295" t="s">
        <v>26</v>
      </c>
      <c r="F295" t="s">
        <v>27</v>
      </c>
      <c r="G295" t="s">
        <v>28</v>
      </c>
      <c r="H295">
        <v>2</v>
      </c>
      <c r="I295" s="21">
        <v>18507</v>
      </c>
      <c r="J295">
        <v>0</v>
      </c>
      <c r="K295" s="21">
        <v>0</v>
      </c>
      <c r="L295" s="21">
        <v>37014</v>
      </c>
      <c r="M295" s="21">
        <v>29334.93</v>
      </c>
      <c r="N295" s="21">
        <v>7679.07</v>
      </c>
      <c r="O295" t="s">
        <v>60</v>
      </c>
      <c r="P295" s="21">
        <v>798.02</v>
      </c>
      <c r="Q295" t="s">
        <v>30</v>
      </c>
      <c r="R295" t="s">
        <v>31</v>
      </c>
      <c r="S295">
        <v>5</v>
      </c>
      <c r="T295">
        <v>6</v>
      </c>
      <c r="U295" t="s">
        <v>56</v>
      </c>
      <c r="V295" t="s">
        <v>33</v>
      </c>
      <c r="W295">
        <v>5</v>
      </c>
    </row>
    <row r="296" spans="1:23" x14ac:dyDescent="0.25">
      <c r="A296" t="s">
        <v>614</v>
      </c>
      <c r="B296" s="1">
        <v>45906</v>
      </c>
      <c r="C296" t="s">
        <v>615</v>
      </c>
      <c r="D296" t="s">
        <v>154</v>
      </c>
      <c r="E296" t="s">
        <v>46</v>
      </c>
      <c r="F296" t="s">
        <v>86</v>
      </c>
      <c r="G296" t="s">
        <v>94</v>
      </c>
      <c r="H296">
        <v>3</v>
      </c>
      <c r="I296" s="21">
        <v>76165</v>
      </c>
      <c r="J296">
        <v>0</v>
      </c>
      <c r="K296" s="21">
        <v>0</v>
      </c>
      <c r="L296" s="21">
        <v>228495</v>
      </c>
      <c r="M296" s="21">
        <v>177453.68</v>
      </c>
      <c r="N296" s="21">
        <v>51041.32</v>
      </c>
      <c r="O296" t="s">
        <v>39</v>
      </c>
      <c r="P296" s="21">
        <v>468.91</v>
      </c>
      <c r="Q296" t="s">
        <v>73</v>
      </c>
      <c r="R296" t="s">
        <v>31</v>
      </c>
      <c r="S296">
        <v>5</v>
      </c>
      <c r="T296">
        <v>1</v>
      </c>
      <c r="U296" t="s">
        <v>32</v>
      </c>
      <c r="V296" t="s">
        <v>50</v>
      </c>
      <c r="W296">
        <v>2</v>
      </c>
    </row>
    <row r="297" spans="1:23" x14ac:dyDescent="0.25">
      <c r="A297" t="s">
        <v>616</v>
      </c>
      <c r="B297" s="1">
        <v>45904</v>
      </c>
      <c r="C297" t="s">
        <v>137</v>
      </c>
      <c r="D297" t="s">
        <v>63</v>
      </c>
      <c r="E297" t="s">
        <v>46</v>
      </c>
      <c r="F297" t="s">
        <v>37</v>
      </c>
      <c r="G297" t="s">
        <v>161</v>
      </c>
      <c r="H297">
        <v>2</v>
      </c>
      <c r="I297" s="21">
        <v>13695</v>
      </c>
      <c r="J297">
        <v>10</v>
      </c>
      <c r="K297" s="21">
        <v>2739</v>
      </c>
      <c r="L297" s="21">
        <v>24651</v>
      </c>
      <c r="M297" s="21">
        <v>16542.689999999999</v>
      </c>
      <c r="N297" s="21">
        <v>8108.31</v>
      </c>
      <c r="O297" t="s">
        <v>39</v>
      </c>
      <c r="P297" s="21">
        <v>2317</v>
      </c>
      <c r="Q297" t="s">
        <v>30</v>
      </c>
      <c r="R297" t="s">
        <v>41</v>
      </c>
      <c r="S297">
        <v>2</v>
      </c>
      <c r="T297">
        <v>1</v>
      </c>
      <c r="U297" t="s">
        <v>32</v>
      </c>
      <c r="V297" t="s">
        <v>33</v>
      </c>
      <c r="W297">
        <v>1</v>
      </c>
    </row>
    <row r="298" spans="1:23" x14ac:dyDescent="0.25">
      <c r="A298" t="s">
        <v>617</v>
      </c>
      <c r="B298" s="1">
        <v>45767</v>
      </c>
      <c r="C298" t="s">
        <v>618</v>
      </c>
      <c r="D298" t="s">
        <v>25</v>
      </c>
      <c r="E298" t="s">
        <v>46</v>
      </c>
      <c r="F298" t="s">
        <v>27</v>
      </c>
      <c r="G298" t="s">
        <v>76</v>
      </c>
      <c r="H298">
        <v>2</v>
      </c>
      <c r="I298" s="21">
        <v>19029</v>
      </c>
      <c r="J298">
        <v>0</v>
      </c>
      <c r="K298" s="21">
        <v>0</v>
      </c>
      <c r="L298" s="21">
        <v>38058</v>
      </c>
      <c r="M298" s="21">
        <v>29148.07</v>
      </c>
      <c r="N298" s="21">
        <v>8909.93</v>
      </c>
      <c r="O298" t="s">
        <v>91</v>
      </c>
      <c r="P298" s="21">
        <v>458.33</v>
      </c>
      <c r="Q298" t="s">
        <v>30</v>
      </c>
      <c r="R298" t="s">
        <v>41</v>
      </c>
      <c r="S298">
        <v>2</v>
      </c>
      <c r="T298">
        <v>2</v>
      </c>
      <c r="U298" t="s">
        <v>32</v>
      </c>
      <c r="V298" t="s">
        <v>50</v>
      </c>
      <c r="W298">
        <v>5</v>
      </c>
    </row>
    <row r="299" spans="1:23" x14ac:dyDescent="0.25">
      <c r="A299" t="s">
        <v>619</v>
      </c>
      <c r="B299" s="1">
        <v>45863</v>
      </c>
      <c r="C299" t="s">
        <v>620</v>
      </c>
      <c r="D299" t="s">
        <v>79</v>
      </c>
      <c r="E299" t="s">
        <v>46</v>
      </c>
      <c r="F299" t="s">
        <v>53</v>
      </c>
      <c r="G299" t="s">
        <v>268</v>
      </c>
      <c r="H299">
        <v>2</v>
      </c>
      <c r="I299" s="21">
        <v>37883</v>
      </c>
      <c r="J299">
        <v>0</v>
      </c>
      <c r="K299" s="21">
        <v>0</v>
      </c>
      <c r="L299" s="21">
        <v>75766</v>
      </c>
      <c r="M299" s="21">
        <v>54112.14</v>
      </c>
      <c r="N299" s="21">
        <v>21653.86</v>
      </c>
      <c r="O299" t="s">
        <v>39</v>
      </c>
      <c r="P299" s="21">
        <v>2352.0300000000002</v>
      </c>
      <c r="Q299" t="s">
        <v>73</v>
      </c>
      <c r="R299" t="s">
        <v>31</v>
      </c>
      <c r="S299">
        <v>5</v>
      </c>
      <c r="T299">
        <v>5</v>
      </c>
      <c r="U299" t="s">
        <v>32</v>
      </c>
      <c r="V299" t="s">
        <v>33</v>
      </c>
      <c r="W299">
        <v>5</v>
      </c>
    </row>
    <row r="300" spans="1:23" x14ac:dyDescent="0.25">
      <c r="A300" t="s">
        <v>621</v>
      </c>
      <c r="B300" s="1">
        <v>45688</v>
      </c>
      <c r="C300" t="s">
        <v>622</v>
      </c>
      <c r="D300" t="s">
        <v>97</v>
      </c>
      <c r="E300" t="s">
        <v>26</v>
      </c>
      <c r="F300" t="s">
        <v>47</v>
      </c>
      <c r="G300" t="s">
        <v>138</v>
      </c>
      <c r="H300">
        <v>3</v>
      </c>
      <c r="I300" s="21">
        <v>32848</v>
      </c>
      <c r="J300">
        <v>25</v>
      </c>
      <c r="K300" s="21">
        <v>24636</v>
      </c>
      <c r="L300" s="21">
        <v>73908</v>
      </c>
      <c r="M300" s="21">
        <v>59475.14</v>
      </c>
      <c r="N300" s="21">
        <v>14432.86</v>
      </c>
      <c r="O300" t="s">
        <v>60</v>
      </c>
      <c r="P300" s="21">
        <v>1846.72</v>
      </c>
      <c r="Q300" t="s">
        <v>30</v>
      </c>
      <c r="R300" t="s">
        <v>41</v>
      </c>
      <c r="S300">
        <v>2</v>
      </c>
      <c r="T300">
        <v>3</v>
      </c>
      <c r="U300" t="s">
        <v>32</v>
      </c>
      <c r="V300" t="s">
        <v>50</v>
      </c>
      <c r="W300">
        <v>2</v>
      </c>
    </row>
    <row r="301" spans="1:23" x14ac:dyDescent="0.25">
      <c r="A301" t="s">
        <v>623</v>
      </c>
      <c r="B301" s="1">
        <v>45742</v>
      </c>
      <c r="C301" t="s">
        <v>624</v>
      </c>
      <c r="D301" t="s">
        <v>90</v>
      </c>
      <c r="E301" t="s">
        <v>46</v>
      </c>
      <c r="F301" t="s">
        <v>86</v>
      </c>
      <c r="G301" t="s">
        <v>127</v>
      </c>
      <c r="H301">
        <v>1</v>
      </c>
      <c r="I301" s="21">
        <v>17481</v>
      </c>
      <c r="J301">
        <v>15</v>
      </c>
      <c r="K301" s="21">
        <v>2622.15</v>
      </c>
      <c r="L301" s="21">
        <v>14858.85</v>
      </c>
      <c r="M301" s="21">
        <v>11396.66</v>
      </c>
      <c r="N301" s="21">
        <v>3462.19</v>
      </c>
      <c r="O301" t="s">
        <v>39</v>
      </c>
      <c r="P301" s="21">
        <v>1874.4</v>
      </c>
      <c r="Q301" t="s">
        <v>30</v>
      </c>
      <c r="R301" t="s">
        <v>31</v>
      </c>
      <c r="S301">
        <v>5</v>
      </c>
      <c r="T301">
        <v>6</v>
      </c>
      <c r="U301" t="s">
        <v>56</v>
      </c>
      <c r="V301" t="s">
        <v>33</v>
      </c>
      <c r="W301">
        <v>5</v>
      </c>
    </row>
    <row r="302" spans="1:23" x14ac:dyDescent="0.25">
      <c r="A302" t="s">
        <v>625</v>
      </c>
      <c r="B302" s="1">
        <v>45852</v>
      </c>
      <c r="C302" t="s">
        <v>423</v>
      </c>
      <c r="D302" t="s">
        <v>154</v>
      </c>
      <c r="E302" t="s">
        <v>46</v>
      </c>
      <c r="F302" t="s">
        <v>27</v>
      </c>
      <c r="G302" t="s">
        <v>76</v>
      </c>
      <c r="H302">
        <v>4</v>
      </c>
      <c r="I302" s="21">
        <v>22855</v>
      </c>
      <c r="J302">
        <v>0</v>
      </c>
      <c r="K302" s="21">
        <v>0</v>
      </c>
      <c r="L302" s="21">
        <v>91420</v>
      </c>
      <c r="M302" s="21">
        <v>50444.38</v>
      </c>
      <c r="N302" s="21">
        <v>40975.620000000003</v>
      </c>
      <c r="O302" t="s">
        <v>91</v>
      </c>
      <c r="P302" s="21">
        <v>1478.37</v>
      </c>
      <c r="Q302" t="s">
        <v>40</v>
      </c>
      <c r="R302" t="s">
        <v>41</v>
      </c>
      <c r="S302">
        <v>2</v>
      </c>
      <c r="T302">
        <v>3</v>
      </c>
      <c r="U302" t="s">
        <v>32</v>
      </c>
      <c r="V302" t="s">
        <v>50</v>
      </c>
      <c r="W302">
        <v>2</v>
      </c>
    </row>
    <row r="303" spans="1:23" x14ac:dyDescent="0.25">
      <c r="A303" t="s">
        <v>626</v>
      </c>
      <c r="B303" s="1">
        <v>45659</v>
      </c>
      <c r="C303" t="s">
        <v>228</v>
      </c>
      <c r="D303" t="s">
        <v>71</v>
      </c>
      <c r="E303" t="s">
        <v>26</v>
      </c>
      <c r="F303" t="s">
        <v>47</v>
      </c>
      <c r="G303" t="s">
        <v>146</v>
      </c>
      <c r="H303">
        <v>1</v>
      </c>
      <c r="I303" s="21">
        <v>26791</v>
      </c>
      <c r="J303">
        <v>25</v>
      </c>
      <c r="K303" s="21">
        <v>6697.75</v>
      </c>
      <c r="L303" s="21">
        <v>20093.25</v>
      </c>
      <c r="M303" s="21">
        <v>15065.14</v>
      </c>
      <c r="N303" s="21">
        <v>5028.1099999999997</v>
      </c>
      <c r="O303" t="s">
        <v>39</v>
      </c>
      <c r="P303" s="21">
        <v>205.63</v>
      </c>
      <c r="Q303" t="s">
        <v>73</v>
      </c>
      <c r="R303" t="s">
        <v>31</v>
      </c>
      <c r="S303">
        <v>5</v>
      </c>
      <c r="T303">
        <v>3</v>
      </c>
      <c r="U303" t="s">
        <v>32</v>
      </c>
      <c r="V303" t="s">
        <v>33</v>
      </c>
      <c r="W303">
        <v>5</v>
      </c>
    </row>
    <row r="304" spans="1:23" x14ac:dyDescent="0.25">
      <c r="A304" t="s">
        <v>627</v>
      </c>
      <c r="B304" s="1">
        <v>45857</v>
      </c>
      <c r="C304" t="s">
        <v>93</v>
      </c>
      <c r="D304" t="s">
        <v>63</v>
      </c>
      <c r="E304" t="s">
        <v>46</v>
      </c>
      <c r="F304" t="s">
        <v>86</v>
      </c>
      <c r="G304" t="s">
        <v>127</v>
      </c>
      <c r="H304">
        <v>3</v>
      </c>
      <c r="I304" s="21">
        <v>9728</v>
      </c>
      <c r="J304">
        <v>20</v>
      </c>
      <c r="K304" s="21">
        <v>5836.8</v>
      </c>
      <c r="L304" s="21">
        <v>23347.200000000001</v>
      </c>
      <c r="M304" s="21">
        <v>19108.98</v>
      </c>
      <c r="N304" s="21">
        <v>4238.22</v>
      </c>
      <c r="O304" t="s">
        <v>60</v>
      </c>
      <c r="P304" s="21">
        <v>1305.1199999999999</v>
      </c>
      <c r="Q304" t="s">
        <v>30</v>
      </c>
      <c r="R304" t="s">
        <v>41</v>
      </c>
      <c r="S304">
        <v>2</v>
      </c>
      <c r="T304">
        <v>3</v>
      </c>
      <c r="U304" t="s">
        <v>56</v>
      </c>
      <c r="V304" t="s">
        <v>33</v>
      </c>
      <c r="W304">
        <v>5</v>
      </c>
    </row>
    <row r="305" spans="1:23" x14ac:dyDescent="0.25">
      <c r="A305" t="s">
        <v>628</v>
      </c>
      <c r="B305" s="1">
        <v>45793</v>
      </c>
      <c r="C305" t="s">
        <v>629</v>
      </c>
      <c r="D305" t="s">
        <v>25</v>
      </c>
      <c r="E305" t="s">
        <v>26</v>
      </c>
      <c r="F305" t="s">
        <v>86</v>
      </c>
      <c r="G305" t="s">
        <v>127</v>
      </c>
      <c r="H305">
        <v>1</v>
      </c>
      <c r="I305" s="21">
        <v>82238</v>
      </c>
      <c r="J305">
        <v>10</v>
      </c>
      <c r="K305" s="21">
        <v>8223.7999999999993</v>
      </c>
      <c r="L305" s="21">
        <v>74014.2</v>
      </c>
      <c r="M305" s="21">
        <v>49921.24</v>
      </c>
      <c r="N305" s="21">
        <v>24092.959999999999</v>
      </c>
      <c r="O305" t="s">
        <v>29</v>
      </c>
      <c r="P305" s="21">
        <v>321.64</v>
      </c>
      <c r="Q305" t="s">
        <v>73</v>
      </c>
      <c r="R305" t="s">
        <v>31</v>
      </c>
      <c r="S305">
        <v>5</v>
      </c>
      <c r="T305">
        <v>2</v>
      </c>
      <c r="U305" t="s">
        <v>32</v>
      </c>
      <c r="V305" t="s">
        <v>50</v>
      </c>
      <c r="W305">
        <v>2</v>
      </c>
    </row>
    <row r="306" spans="1:23" x14ac:dyDescent="0.25">
      <c r="A306" t="s">
        <v>630</v>
      </c>
      <c r="B306" s="1">
        <v>45890</v>
      </c>
      <c r="C306" t="s">
        <v>631</v>
      </c>
      <c r="D306" t="s">
        <v>63</v>
      </c>
      <c r="E306" t="s">
        <v>26</v>
      </c>
      <c r="F306" t="s">
        <v>27</v>
      </c>
      <c r="G306" t="s">
        <v>72</v>
      </c>
      <c r="H306">
        <v>3</v>
      </c>
      <c r="I306" s="21">
        <v>28557</v>
      </c>
      <c r="J306">
        <v>0</v>
      </c>
      <c r="K306" s="21">
        <v>0</v>
      </c>
      <c r="L306" s="21">
        <v>85671</v>
      </c>
      <c r="M306" s="21">
        <v>59695.75</v>
      </c>
      <c r="N306" s="21">
        <v>25975.25</v>
      </c>
      <c r="O306" t="s">
        <v>39</v>
      </c>
      <c r="P306" s="21">
        <v>1776.52</v>
      </c>
      <c r="Q306" t="s">
        <v>73</v>
      </c>
      <c r="R306" t="s">
        <v>41</v>
      </c>
      <c r="S306">
        <v>2</v>
      </c>
      <c r="T306">
        <v>1</v>
      </c>
      <c r="U306" t="s">
        <v>32</v>
      </c>
      <c r="V306" t="s">
        <v>33</v>
      </c>
      <c r="W306">
        <v>3</v>
      </c>
    </row>
    <row r="307" spans="1:23" x14ac:dyDescent="0.25">
      <c r="A307" t="s">
        <v>632</v>
      </c>
      <c r="B307" s="1">
        <v>45804</v>
      </c>
      <c r="C307" t="s">
        <v>633</v>
      </c>
      <c r="D307" t="s">
        <v>25</v>
      </c>
      <c r="E307" t="s">
        <v>46</v>
      </c>
      <c r="F307" t="s">
        <v>53</v>
      </c>
      <c r="G307" t="s">
        <v>82</v>
      </c>
      <c r="H307">
        <v>1</v>
      </c>
      <c r="I307" s="21">
        <v>57891</v>
      </c>
      <c r="J307">
        <v>0</v>
      </c>
      <c r="K307" s="21">
        <v>0</v>
      </c>
      <c r="L307" s="21">
        <v>57891</v>
      </c>
      <c r="M307" s="21">
        <v>35245.58</v>
      </c>
      <c r="N307" s="21">
        <v>22645.42</v>
      </c>
      <c r="O307" t="s">
        <v>91</v>
      </c>
      <c r="P307" s="21">
        <v>633.36</v>
      </c>
      <c r="Q307" t="s">
        <v>40</v>
      </c>
      <c r="R307" t="s">
        <v>31</v>
      </c>
      <c r="S307">
        <v>5</v>
      </c>
      <c r="T307">
        <v>6</v>
      </c>
      <c r="U307" t="s">
        <v>32</v>
      </c>
      <c r="V307" t="s">
        <v>42</v>
      </c>
    </row>
    <row r="308" spans="1:23" x14ac:dyDescent="0.25">
      <c r="A308" t="s">
        <v>634</v>
      </c>
      <c r="B308" s="1">
        <v>45874</v>
      </c>
      <c r="C308" t="s">
        <v>494</v>
      </c>
      <c r="D308" t="s">
        <v>97</v>
      </c>
      <c r="E308" t="s">
        <v>26</v>
      </c>
      <c r="F308" t="s">
        <v>37</v>
      </c>
      <c r="G308" t="s">
        <v>38</v>
      </c>
      <c r="H308">
        <v>1</v>
      </c>
      <c r="I308" s="21">
        <v>5138</v>
      </c>
      <c r="J308">
        <v>20</v>
      </c>
      <c r="K308" s="21">
        <v>1027.5999999999999</v>
      </c>
      <c r="L308" s="21">
        <v>4110.3999999999996</v>
      </c>
      <c r="M308" s="21">
        <v>2647.17</v>
      </c>
      <c r="N308" s="21">
        <v>1463.23</v>
      </c>
      <c r="O308" t="s">
        <v>49</v>
      </c>
      <c r="P308" s="21">
        <v>248.87</v>
      </c>
      <c r="Q308" t="s">
        <v>40</v>
      </c>
      <c r="R308" t="s">
        <v>41</v>
      </c>
      <c r="S308">
        <v>2</v>
      </c>
      <c r="T308">
        <v>1</v>
      </c>
      <c r="U308" t="s">
        <v>32</v>
      </c>
      <c r="V308" t="s">
        <v>50</v>
      </c>
      <c r="W308">
        <v>5</v>
      </c>
    </row>
    <row r="309" spans="1:23" x14ac:dyDescent="0.25">
      <c r="A309" t="s">
        <v>635</v>
      </c>
      <c r="B309" s="1">
        <v>46014</v>
      </c>
      <c r="C309" t="s">
        <v>253</v>
      </c>
      <c r="D309" t="s">
        <v>63</v>
      </c>
      <c r="E309" t="s">
        <v>26</v>
      </c>
      <c r="F309" t="s">
        <v>37</v>
      </c>
      <c r="G309" t="s">
        <v>313</v>
      </c>
      <c r="H309">
        <v>1</v>
      </c>
      <c r="I309" s="21">
        <v>18848</v>
      </c>
      <c r="J309">
        <v>10</v>
      </c>
      <c r="K309" s="21">
        <v>1884.8</v>
      </c>
      <c r="L309" s="21">
        <v>16963.2</v>
      </c>
      <c r="M309" s="21">
        <v>9903.84</v>
      </c>
      <c r="N309" s="21">
        <v>7059.36</v>
      </c>
      <c r="O309" t="s">
        <v>55</v>
      </c>
      <c r="P309" s="21">
        <v>1788.88</v>
      </c>
      <c r="Q309" t="s">
        <v>83</v>
      </c>
      <c r="R309" t="s">
        <v>31</v>
      </c>
      <c r="S309">
        <v>5</v>
      </c>
      <c r="T309">
        <v>3</v>
      </c>
      <c r="U309" t="s">
        <v>32</v>
      </c>
      <c r="V309" t="s">
        <v>33</v>
      </c>
      <c r="W309">
        <v>4</v>
      </c>
    </row>
    <row r="310" spans="1:23" x14ac:dyDescent="0.25">
      <c r="A310" t="s">
        <v>636</v>
      </c>
      <c r="B310" s="1">
        <v>45942</v>
      </c>
      <c r="C310" t="s">
        <v>637</v>
      </c>
      <c r="D310" t="s">
        <v>71</v>
      </c>
      <c r="E310" t="s">
        <v>46</v>
      </c>
      <c r="F310" t="s">
        <v>53</v>
      </c>
      <c r="G310" t="s">
        <v>151</v>
      </c>
      <c r="H310">
        <v>1</v>
      </c>
      <c r="I310" s="21">
        <v>95479</v>
      </c>
      <c r="J310">
        <v>0</v>
      </c>
      <c r="K310" s="21">
        <v>0</v>
      </c>
      <c r="L310" s="21">
        <v>95479</v>
      </c>
      <c r="M310" s="21">
        <v>75934.73</v>
      </c>
      <c r="N310" s="21">
        <v>19544.27</v>
      </c>
      <c r="O310" t="s">
        <v>55</v>
      </c>
      <c r="P310" s="21">
        <v>1735.45</v>
      </c>
      <c r="Q310" t="s">
        <v>83</v>
      </c>
      <c r="R310" t="s">
        <v>31</v>
      </c>
      <c r="S310">
        <v>5</v>
      </c>
      <c r="T310">
        <v>6</v>
      </c>
      <c r="U310" t="s">
        <v>56</v>
      </c>
      <c r="V310" t="s">
        <v>33</v>
      </c>
      <c r="W310">
        <v>3</v>
      </c>
    </row>
    <row r="311" spans="1:23" x14ac:dyDescent="0.25">
      <c r="A311" t="s">
        <v>638</v>
      </c>
      <c r="B311" s="1">
        <v>45996</v>
      </c>
      <c r="C311" t="s">
        <v>163</v>
      </c>
      <c r="D311" t="s">
        <v>45</v>
      </c>
      <c r="E311" t="s">
        <v>46</v>
      </c>
      <c r="F311" t="s">
        <v>53</v>
      </c>
      <c r="G311" t="s">
        <v>82</v>
      </c>
      <c r="H311">
        <v>1</v>
      </c>
      <c r="I311" s="21">
        <v>20898</v>
      </c>
      <c r="J311">
        <v>10</v>
      </c>
      <c r="K311" s="21">
        <v>2089.8000000000002</v>
      </c>
      <c r="L311" s="21">
        <v>18808.2</v>
      </c>
      <c r="M311" s="21">
        <v>11159.85</v>
      </c>
      <c r="N311" s="21">
        <v>7648.35</v>
      </c>
      <c r="O311" t="s">
        <v>91</v>
      </c>
      <c r="P311" s="21">
        <v>1511.54</v>
      </c>
      <c r="Q311" t="s">
        <v>83</v>
      </c>
      <c r="R311" t="s">
        <v>31</v>
      </c>
      <c r="S311">
        <v>5</v>
      </c>
      <c r="T311">
        <v>4</v>
      </c>
      <c r="U311" t="s">
        <v>32</v>
      </c>
      <c r="V311" t="s">
        <v>42</v>
      </c>
    </row>
    <row r="312" spans="1:23" x14ac:dyDescent="0.25">
      <c r="A312" t="s">
        <v>639</v>
      </c>
      <c r="B312" s="1">
        <v>45907</v>
      </c>
      <c r="C312" t="s">
        <v>640</v>
      </c>
      <c r="D312" t="s">
        <v>124</v>
      </c>
      <c r="E312" t="s">
        <v>46</v>
      </c>
      <c r="F312" t="s">
        <v>37</v>
      </c>
      <c r="G312" t="s">
        <v>224</v>
      </c>
      <c r="H312">
        <v>1</v>
      </c>
      <c r="I312" s="21">
        <v>10467</v>
      </c>
      <c r="J312">
        <v>5</v>
      </c>
      <c r="K312" s="21">
        <v>523.35</v>
      </c>
      <c r="L312" s="21">
        <v>9943.65</v>
      </c>
      <c r="M312" s="21">
        <v>7940.29</v>
      </c>
      <c r="N312" s="21">
        <v>2003.36</v>
      </c>
      <c r="O312" t="s">
        <v>49</v>
      </c>
      <c r="P312" s="21">
        <v>315.22000000000003</v>
      </c>
      <c r="Q312" t="s">
        <v>30</v>
      </c>
      <c r="R312" t="s">
        <v>41</v>
      </c>
      <c r="S312">
        <v>2</v>
      </c>
      <c r="T312">
        <v>2</v>
      </c>
      <c r="U312" t="s">
        <v>32</v>
      </c>
      <c r="V312" t="s">
        <v>50</v>
      </c>
      <c r="W312">
        <v>5</v>
      </c>
    </row>
    <row r="313" spans="1:23" x14ac:dyDescent="0.25">
      <c r="A313" t="s">
        <v>641</v>
      </c>
      <c r="B313" s="1">
        <v>45737</v>
      </c>
      <c r="C313" t="s">
        <v>440</v>
      </c>
      <c r="D313" t="s">
        <v>71</v>
      </c>
      <c r="E313" t="s">
        <v>46</v>
      </c>
      <c r="F313" t="s">
        <v>53</v>
      </c>
      <c r="G313" t="s">
        <v>268</v>
      </c>
      <c r="H313">
        <v>1</v>
      </c>
      <c r="I313" s="21">
        <v>23790</v>
      </c>
      <c r="J313">
        <v>25</v>
      </c>
      <c r="K313" s="21">
        <v>5947.5</v>
      </c>
      <c r="L313" s="21">
        <v>17842.5</v>
      </c>
      <c r="M313" s="21">
        <v>10468.129999999999</v>
      </c>
      <c r="N313" s="21">
        <v>7374.37</v>
      </c>
      <c r="O313" t="s">
        <v>60</v>
      </c>
      <c r="P313" s="21">
        <v>1860.91</v>
      </c>
      <c r="Q313" t="s">
        <v>83</v>
      </c>
      <c r="R313" t="s">
        <v>41</v>
      </c>
      <c r="S313">
        <v>2</v>
      </c>
      <c r="T313">
        <v>4</v>
      </c>
      <c r="U313" t="s">
        <v>56</v>
      </c>
      <c r="V313" t="s">
        <v>33</v>
      </c>
      <c r="W313">
        <v>5</v>
      </c>
    </row>
    <row r="314" spans="1:23" x14ac:dyDescent="0.25">
      <c r="A314" t="s">
        <v>642</v>
      </c>
      <c r="B314" s="1">
        <v>45755</v>
      </c>
      <c r="C314" t="s">
        <v>643</v>
      </c>
      <c r="D314" t="s">
        <v>71</v>
      </c>
      <c r="E314" t="s">
        <v>26</v>
      </c>
      <c r="F314" t="s">
        <v>86</v>
      </c>
      <c r="G314" t="s">
        <v>127</v>
      </c>
      <c r="H314">
        <v>2</v>
      </c>
      <c r="I314" s="21">
        <v>35605</v>
      </c>
      <c r="J314">
        <v>10</v>
      </c>
      <c r="K314" s="21">
        <v>7121</v>
      </c>
      <c r="L314" s="21">
        <v>64089</v>
      </c>
      <c r="M314" s="21">
        <v>52292.77</v>
      </c>
      <c r="N314" s="21">
        <v>11796.23</v>
      </c>
      <c r="O314" t="s">
        <v>39</v>
      </c>
      <c r="P314" s="21">
        <v>360.1</v>
      </c>
      <c r="Q314" t="s">
        <v>30</v>
      </c>
      <c r="R314" t="s">
        <v>31</v>
      </c>
      <c r="S314">
        <v>5</v>
      </c>
      <c r="T314">
        <v>6</v>
      </c>
      <c r="U314" t="s">
        <v>56</v>
      </c>
      <c r="V314" t="s">
        <v>33</v>
      </c>
      <c r="W314">
        <v>5</v>
      </c>
    </row>
    <row r="315" spans="1:23" x14ac:dyDescent="0.25">
      <c r="A315" t="s">
        <v>644</v>
      </c>
      <c r="B315" s="1">
        <v>45809</v>
      </c>
      <c r="C315" t="s">
        <v>645</v>
      </c>
      <c r="D315" t="s">
        <v>67</v>
      </c>
      <c r="E315" t="s">
        <v>46</v>
      </c>
      <c r="F315" t="s">
        <v>86</v>
      </c>
      <c r="G315" t="s">
        <v>87</v>
      </c>
      <c r="H315">
        <v>1</v>
      </c>
      <c r="I315" s="21">
        <v>17141</v>
      </c>
      <c r="J315">
        <v>15</v>
      </c>
      <c r="K315" s="21">
        <v>2571.15</v>
      </c>
      <c r="L315" s="21">
        <v>14569.85</v>
      </c>
      <c r="M315" s="21">
        <v>9589.42</v>
      </c>
      <c r="N315" s="21">
        <v>4980.43</v>
      </c>
      <c r="O315" t="s">
        <v>49</v>
      </c>
      <c r="P315" s="21">
        <v>466.38</v>
      </c>
      <c r="Q315" t="s">
        <v>68</v>
      </c>
      <c r="R315" t="s">
        <v>31</v>
      </c>
      <c r="S315">
        <v>5</v>
      </c>
      <c r="T315">
        <v>5</v>
      </c>
      <c r="U315" t="s">
        <v>32</v>
      </c>
      <c r="V315" t="s">
        <v>42</v>
      </c>
    </row>
    <row r="316" spans="1:23" x14ac:dyDescent="0.25">
      <c r="A316" t="s">
        <v>646</v>
      </c>
      <c r="B316" s="1">
        <v>45769</v>
      </c>
      <c r="C316" t="s">
        <v>593</v>
      </c>
      <c r="D316" t="s">
        <v>25</v>
      </c>
      <c r="E316" t="s">
        <v>26</v>
      </c>
      <c r="F316" t="s">
        <v>53</v>
      </c>
      <c r="G316" t="s">
        <v>59</v>
      </c>
      <c r="H316">
        <v>4</v>
      </c>
      <c r="I316" s="21">
        <v>25090</v>
      </c>
      <c r="J316">
        <v>10</v>
      </c>
      <c r="K316" s="21">
        <v>10036</v>
      </c>
      <c r="L316" s="21">
        <v>90324</v>
      </c>
      <c r="M316" s="21">
        <v>68330.16</v>
      </c>
      <c r="N316" s="21">
        <v>21993.84</v>
      </c>
      <c r="O316" t="s">
        <v>91</v>
      </c>
      <c r="P316" s="21">
        <v>2015.83</v>
      </c>
      <c r="Q316" t="s">
        <v>30</v>
      </c>
      <c r="R316" t="s">
        <v>41</v>
      </c>
      <c r="S316">
        <v>2</v>
      </c>
      <c r="T316">
        <v>6</v>
      </c>
      <c r="U316" t="s">
        <v>32</v>
      </c>
      <c r="V316" t="s">
        <v>42</v>
      </c>
    </row>
    <row r="317" spans="1:23" x14ac:dyDescent="0.25">
      <c r="A317" t="s">
        <v>647</v>
      </c>
      <c r="B317" s="1">
        <v>45687</v>
      </c>
      <c r="C317" t="s">
        <v>648</v>
      </c>
      <c r="D317" t="s">
        <v>67</v>
      </c>
      <c r="E317" t="s">
        <v>46</v>
      </c>
      <c r="F317" t="s">
        <v>86</v>
      </c>
      <c r="G317" t="s">
        <v>127</v>
      </c>
      <c r="H317">
        <v>2</v>
      </c>
      <c r="I317" s="21">
        <v>38858</v>
      </c>
      <c r="J317">
        <v>5</v>
      </c>
      <c r="K317" s="21">
        <v>3885.8</v>
      </c>
      <c r="L317" s="21">
        <v>73830.2</v>
      </c>
      <c r="M317" s="21">
        <v>53132.65</v>
      </c>
      <c r="N317" s="21">
        <v>20697.55</v>
      </c>
      <c r="O317" t="s">
        <v>29</v>
      </c>
      <c r="P317" s="21">
        <v>1896.94</v>
      </c>
      <c r="Q317" t="s">
        <v>83</v>
      </c>
      <c r="R317" t="s">
        <v>31</v>
      </c>
      <c r="S317">
        <v>5</v>
      </c>
      <c r="T317">
        <v>5</v>
      </c>
      <c r="U317" t="s">
        <v>32</v>
      </c>
      <c r="V317" t="s">
        <v>33</v>
      </c>
      <c r="W317">
        <v>1</v>
      </c>
    </row>
    <row r="318" spans="1:23" x14ac:dyDescent="0.25">
      <c r="A318" t="s">
        <v>649</v>
      </c>
      <c r="B318" s="1">
        <v>45954</v>
      </c>
      <c r="C318" t="s">
        <v>650</v>
      </c>
      <c r="D318" t="s">
        <v>71</v>
      </c>
      <c r="E318" t="s">
        <v>26</v>
      </c>
      <c r="F318" t="s">
        <v>27</v>
      </c>
      <c r="G318" t="s">
        <v>164</v>
      </c>
      <c r="H318">
        <v>1</v>
      </c>
      <c r="I318" s="21">
        <v>28409</v>
      </c>
      <c r="J318">
        <v>25</v>
      </c>
      <c r="K318" s="21">
        <v>7102.25</v>
      </c>
      <c r="L318" s="21">
        <v>21306.75</v>
      </c>
      <c r="M318" s="21">
        <v>16134.42</v>
      </c>
      <c r="N318" s="21">
        <v>5172.33</v>
      </c>
      <c r="O318" t="s">
        <v>29</v>
      </c>
      <c r="P318" s="21">
        <v>1722.81</v>
      </c>
      <c r="Q318" t="s">
        <v>30</v>
      </c>
      <c r="R318" t="s">
        <v>31</v>
      </c>
      <c r="S318">
        <v>5</v>
      </c>
      <c r="T318">
        <v>6</v>
      </c>
      <c r="U318" t="s">
        <v>56</v>
      </c>
      <c r="V318" t="s">
        <v>33</v>
      </c>
      <c r="W318">
        <v>3</v>
      </c>
    </row>
    <row r="319" spans="1:23" x14ac:dyDescent="0.25">
      <c r="A319" t="s">
        <v>651</v>
      </c>
      <c r="B319" s="1">
        <v>45935</v>
      </c>
      <c r="C319" t="s">
        <v>290</v>
      </c>
      <c r="D319" t="s">
        <v>25</v>
      </c>
      <c r="E319" t="s">
        <v>26</v>
      </c>
      <c r="F319" t="s">
        <v>37</v>
      </c>
      <c r="G319" t="s">
        <v>313</v>
      </c>
      <c r="H319">
        <v>3</v>
      </c>
      <c r="I319" s="21">
        <v>33498</v>
      </c>
      <c r="J319">
        <v>10</v>
      </c>
      <c r="K319" s="21">
        <v>10049.4</v>
      </c>
      <c r="L319" s="21">
        <v>90444.6</v>
      </c>
      <c r="M319" s="21">
        <v>70571.759999999995</v>
      </c>
      <c r="N319" s="21">
        <v>19872.84</v>
      </c>
      <c r="O319" t="s">
        <v>29</v>
      </c>
      <c r="P319" s="21">
        <v>275.58</v>
      </c>
      <c r="Q319" t="s">
        <v>40</v>
      </c>
      <c r="R319" t="s">
        <v>41</v>
      </c>
      <c r="S319">
        <v>2</v>
      </c>
      <c r="T319">
        <v>1</v>
      </c>
      <c r="U319" t="s">
        <v>32</v>
      </c>
      <c r="V319" t="s">
        <v>33</v>
      </c>
      <c r="W319">
        <v>1</v>
      </c>
    </row>
    <row r="320" spans="1:23" x14ac:dyDescent="0.25">
      <c r="A320" t="s">
        <v>652</v>
      </c>
      <c r="B320" s="1">
        <v>45689</v>
      </c>
      <c r="C320" t="s">
        <v>653</v>
      </c>
      <c r="D320" t="s">
        <v>71</v>
      </c>
      <c r="E320" t="s">
        <v>46</v>
      </c>
      <c r="F320" t="s">
        <v>86</v>
      </c>
      <c r="G320" t="s">
        <v>87</v>
      </c>
      <c r="H320">
        <v>1</v>
      </c>
      <c r="I320" s="21">
        <v>80560</v>
      </c>
      <c r="J320">
        <v>25</v>
      </c>
      <c r="K320" s="21">
        <v>20140</v>
      </c>
      <c r="L320" s="21">
        <v>60420</v>
      </c>
      <c r="M320" s="21">
        <v>44411.78</v>
      </c>
      <c r="N320" s="21">
        <v>16008.22</v>
      </c>
      <c r="O320" t="s">
        <v>91</v>
      </c>
      <c r="P320" s="21">
        <v>1493.19</v>
      </c>
      <c r="Q320" t="s">
        <v>68</v>
      </c>
      <c r="R320" t="s">
        <v>41</v>
      </c>
      <c r="S320">
        <v>2</v>
      </c>
      <c r="T320">
        <v>3</v>
      </c>
      <c r="U320" t="s">
        <v>32</v>
      </c>
      <c r="V320" t="s">
        <v>42</v>
      </c>
    </row>
    <row r="321" spans="1:23" x14ac:dyDescent="0.25">
      <c r="A321" t="s">
        <v>654</v>
      </c>
      <c r="B321" s="1">
        <v>45818</v>
      </c>
      <c r="C321" t="s">
        <v>655</v>
      </c>
      <c r="D321" t="s">
        <v>63</v>
      </c>
      <c r="E321" t="s">
        <v>26</v>
      </c>
      <c r="F321" t="s">
        <v>37</v>
      </c>
      <c r="G321" t="s">
        <v>224</v>
      </c>
      <c r="H321">
        <v>1</v>
      </c>
      <c r="I321" s="21">
        <v>8025</v>
      </c>
      <c r="J321">
        <v>0</v>
      </c>
      <c r="K321" s="21">
        <v>0</v>
      </c>
      <c r="L321" s="21">
        <v>8025</v>
      </c>
      <c r="M321" s="21">
        <v>5693.14</v>
      </c>
      <c r="N321" s="21">
        <v>2331.86</v>
      </c>
      <c r="O321" t="s">
        <v>60</v>
      </c>
      <c r="P321" s="21">
        <v>2061.9699999999998</v>
      </c>
      <c r="Q321" t="s">
        <v>40</v>
      </c>
      <c r="R321" t="s">
        <v>41</v>
      </c>
      <c r="S321">
        <v>2</v>
      </c>
      <c r="T321">
        <v>1</v>
      </c>
      <c r="U321" t="s">
        <v>32</v>
      </c>
      <c r="V321" t="s">
        <v>33</v>
      </c>
      <c r="W321">
        <v>3</v>
      </c>
    </row>
    <row r="322" spans="1:23" x14ac:dyDescent="0.25">
      <c r="A322" t="s">
        <v>656</v>
      </c>
      <c r="B322" s="1">
        <v>45687</v>
      </c>
      <c r="C322" t="s">
        <v>657</v>
      </c>
      <c r="D322" t="s">
        <v>79</v>
      </c>
      <c r="E322" t="s">
        <v>46</v>
      </c>
      <c r="F322" t="s">
        <v>53</v>
      </c>
      <c r="G322" t="s">
        <v>59</v>
      </c>
      <c r="H322">
        <v>1</v>
      </c>
      <c r="I322" s="21">
        <v>55041</v>
      </c>
      <c r="J322">
        <v>10</v>
      </c>
      <c r="K322" s="21">
        <v>5504.1</v>
      </c>
      <c r="L322" s="21">
        <v>49536.9</v>
      </c>
      <c r="M322" s="21">
        <v>35170.379999999997</v>
      </c>
      <c r="N322" s="21">
        <v>14366.52</v>
      </c>
      <c r="O322" t="s">
        <v>60</v>
      </c>
      <c r="P322" s="21">
        <v>463.28</v>
      </c>
      <c r="Q322" t="s">
        <v>68</v>
      </c>
      <c r="R322" t="s">
        <v>31</v>
      </c>
      <c r="S322">
        <v>5</v>
      </c>
      <c r="T322">
        <v>6</v>
      </c>
      <c r="U322" t="s">
        <v>32</v>
      </c>
      <c r="V322" t="s">
        <v>50</v>
      </c>
      <c r="W322">
        <v>3</v>
      </c>
    </row>
    <row r="323" spans="1:23" x14ac:dyDescent="0.25">
      <c r="A323" t="s">
        <v>658</v>
      </c>
      <c r="B323" s="1">
        <v>45683</v>
      </c>
      <c r="C323" t="s">
        <v>209</v>
      </c>
      <c r="D323" t="s">
        <v>90</v>
      </c>
      <c r="E323" t="s">
        <v>26</v>
      </c>
      <c r="F323" t="s">
        <v>53</v>
      </c>
      <c r="G323" t="s">
        <v>82</v>
      </c>
      <c r="H323">
        <v>1</v>
      </c>
      <c r="I323" s="21">
        <v>76470</v>
      </c>
      <c r="J323">
        <v>0</v>
      </c>
      <c r="K323" s="21">
        <v>0</v>
      </c>
      <c r="L323" s="21">
        <v>76470</v>
      </c>
      <c r="M323" s="21">
        <v>62411.49</v>
      </c>
      <c r="N323" s="21">
        <v>14058.51</v>
      </c>
      <c r="O323" t="s">
        <v>60</v>
      </c>
      <c r="P323" s="21">
        <v>1516.84</v>
      </c>
      <c r="Q323" t="s">
        <v>30</v>
      </c>
      <c r="R323" t="s">
        <v>41</v>
      </c>
      <c r="S323">
        <v>2</v>
      </c>
      <c r="T323">
        <v>3</v>
      </c>
      <c r="U323" t="s">
        <v>56</v>
      </c>
      <c r="V323" t="s">
        <v>33</v>
      </c>
    </row>
    <row r="324" spans="1:23" x14ac:dyDescent="0.25">
      <c r="A324" t="s">
        <v>659</v>
      </c>
      <c r="B324" s="1">
        <v>45957</v>
      </c>
      <c r="C324" t="s">
        <v>133</v>
      </c>
      <c r="D324" t="s">
        <v>67</v>
      </c>
      <c r="E324" t="s">
        <v>36</v>
      </c>
      <c r="F324" t="s">
        <v>53</v>
      </c>
      <c r="G324" t="s">
        <v>268</v>
      </c>
      <c r="H324">
        <v>2</v>
      </c>
      <c r="I324" s="21">
        <v>30840</v>
      </c>
      <c r="J324">
        <v>5</v>
      </c>
      <c r="K324" s="21">
        <v>3084</v>
      </c>
      <c r="L324" s="21">
        <v>58596</v>
      </c>
      <c r="M324" s="21">
        <v>40090.03</v>
      </c>
      <c r="N324" s="21">
        <v>18505.97</v>
      </c>
      <c r="O324" t="s">
        <v>29</v>
      </c>
      <c r="P324" s="21">
        <v>809.86</v>
      </c>
      <c r="Q324" t="s">
        <v>73</v>
      </c>
      <c r="R324" t="s">
        <v>31</v>
      </c>
      <c r="S324">
        <v>5</v>
      </c>
      <c r="T324">
        <v>3</v>
      </c>
      <c r="U324" t="s">
        <v>32</v>
      </c>
      <c r="V324" t="s">
        <v>33</v>
      </c>
      <c r="W324">
        <v>3</v>
      </c>
    </row>
    <row r="325" spans="1:23" x14ac:dyDescent="0.25">
      <c r="A325" t="s">
        <v>660</v>
      </c>
      <c r="B325" s="1">
        <v>45902</v>
      </c>
      <c r="C325" t="s">
        <v>661</v>
      </c>
      <c r="D325" t="s">
        <v>45</v>
      </c>
      <c r="E325" t="s">
        <v>36</v>
      </c>
      <c r="F325" t="s">
        <v>37</v>
      </c>
      <c r="G325" t="s">
        <v>100</v>
      </c>
      <c r="H325">
        <v>2</v>
      </c>
      <c r="I325" s="21">
        <v>21915</v>
      </c>
      <c r="J325">
        <v>0</v>
      </c>
      <c r="K325" s="21">
        <v>0</v>
      </c>
      <c r="L325" s="21">
        <v>43830</v>
      </c>
      <c r="M325" s="21">
        <v>30809.67</v>
      </c>
      <c r="N325" s="21">
        <v>13020.33</v>
      </c>
      <c r="O325" t="s">
        <v>49</v>
      </c>
      <c r="P325" s="21">
        <v>144.38</v>
      </c>
      <c r="Q325" t="s">
        <v>83</v>
      </c>
      <c r="R325" t="s">
        <v>41</v>
      </c>
      <c r="S325">
        <v>2</v>
      </c>
      <c r="T325">
        <v>3</v>
      </c>
      <c r="U325" t="s">
        <v>32</v>
      </c>
      <c r="V325" t="s">
        <v>42</v>
      </c>
    </row>
    <row r="326" spans="1:23" x14ac:dyDescent="0.25">
      <c r="A326" t="s">
        <v>662</v>
      </c>
      <c r="B326" s="1">
        <v>45915</v>
      </c>
      <c r="C326" t="s">
        <v>219</v>
      </c>
      <c r="D326" t="s">
        <v>71</v>
      </c>
      <c r="E326" t="s">
        <v>26</v>
      </c>
      <c r="F326" t="s">
        <v>86</v>
      </c>
      <c r="G326" t="s">
        <v>110</v>
      </c>
      <c r="H326">
        <v>1</v>
      </c>
      <c r="I326" s="21">
        <v>73550</v>
      </c>
      <c r="J326">
        <v>0</v>
      </c>
      <c r="K326" s="21">
        <v>0</v>
      </c>
      <c r="L326" s="21">
        <v>73550</v>
      </c>
      <c r="M326" s="21">
        <v>57945.78</v>
      </c>
      <c r="N326" s="21">
        <v>15604.22</v>
      </c>
      <c r="O326" t="s">
        <v>49</v>
      </c>
      <c r="P326" s="21">
        <v>145.83000000000001</v>
      </c>
      <c r="Q326" t="s">
        <v>30</v>
      </c>
      <c r="R326" t="s">
        <v>31</v>
      </c>
      <c r="S326">
        <v>5</v>
      </c>
      <c r="T326">
        <v>4</v>
      </c>
      <c r="U326" t="s">
        <v>32</v>
      </c>
      <c r="V326" t="s">
        <v>50</v>
      </c>
      <c r="W326">
        <v>4</v>
      </c>
    </row>
    <row r="327" spans="1:23" x14ac:dyDescent="0.25">
      <c r="A327" t="s">
        <v>663</v>
      </c>
      <c r="B327" s="1">
        <v>45929</v>
      </c>
      <c r="C327" t="s">
        <v>193</v>
      </c>
      <c r="D327" t="s">
        <v>45</v>
      </c>
      <c r="E327" t="s">
        <v>26</v>
      </c>
      <c r="F327" t="s">
        <v>86</v>
      </c>
      <c r="G327" t="s">
        <v>110</v>
      </c>
      <c r="H327">
        <v>1</v>
      </c>
      <c r="I327" s="21">
        <v>25365</v>
      </c>
      <c r="J327">
        <v>10</v>
      </c>
      <c r="K327" s="21">
        <v>2536.5</v>
      </c>
      <c r="L327" s="21">
        <v>22828.5</v>
      </c>
      <c r="M327" s="21">
        <v>17758.59</v>
      </c>
      <c r="N327" s="21">
        <v>5069.91</v>
      </c>
      <c r="O327" t="s">
        <v>49</v>
      </c>
      <c r="P327" s="21">
        <v>423.6</v>
      </c>
      <c r="Q327" t="s">
        <v>83</v>
      </c>
      <c r="R327" t="s">
        <v>41</v>
      </c>
      <c r="S327">
        <v>2</v>
      </c>
      <c r="T327">
        <v>1</v>
      </c>
      <c r="U327" t="s">
        <v>32</v>
      </c>
      <c r="V327" t="s">
        <v>33</v>
      </c>
      <c r="W327">
        <v>5</v>
      </c>
    </row>
    <row r="328" spans="1:23" x14ac:dyDescent="0.25">
      <c r="A328" t="s">
        <v>664</v>
      </c>
      <c r="B328" s="1">
        <v>45738</v>
      </c>
      <c r="C328" t="s">
        <v>237</v>
      </c>
      <c r="D328" t="s">
        <v>63</v>
      </c>
      <c r="E328" t="s">
        <v>46</v>
      </c>
      <c r="F328" t="s">
        <v>47</v>
      </c>
      <c r="G328" t="s">
        <v>105</v>
      </c>
      <c r="H328">
        <v>2</v>
      </c>
      <c r="I328" s="21">
        <v>33598</v>
      </c>
      <c r="J328">
        <v>5</v>
      </c>
      <c r="K328" s="21">
        <v>3359.8</v>
      </c>
      <c r="L328" s="21">
        <v>63836.2</v>
      </c>
      <c r="M328" s="21">
        <v>35587.410000000003</v>
      </c>
      <c r="N328" s="21">
        <v>28248.79</v>
      </c>
      <c r="O328" t="s">
        <v>49</v>
      </c>
      <c r="P328" s="21">
        <v>301.92</v>
      </c>
      <c r="Q328" t="s">
        <v>30</v>
      </c>
      <c r="R328" t="s">
        <v>41</v>
      </c>
      <c r="S328">
        <v>2</v>
      </c>
      <c r="T328">
        <v>4</v>
      </c>
      <c r="U328" t="s">
        <v>56</v>
      </c>
      <c r="V328" t="s">
        <v>33</v>
      </c>
      <c r="W328">
        <v>4</v>
      </c>
    </row>
    <row r="329" spans="1:23" x14ac:dyDescent="0.25">
      <c r="A329" t="s">
        <v>665</v>
      </c>
      <c r="B329" s="1">
        <v>45687</v>
      </c>
      <c r="C329" t="s">
        <v>89</v>
      </c>
      <c r="D329" t="s">
        <v>154</v>
      </c>
      <c r="E329" t="s">
        <v>46</v>
      </c>
      <c r="F329" t="s">
        <v>27</v>
      </c>
      <c r="G329" t="s">
        <v>164</v>
      </c>
      <c r="H329">
        <v>1</v>
      </c>
      <c r="I329" s="21">
        <v>9266</v>
      </c>
      <c r="J329">
        <v>20</v>
      </c>
      <c r="K329" s="21">
        <v>1853.2</v>
      </c>
      <c r="L329" s="21">
        <v>7412.8</v>
      </c>
      <c r="M329" s="21">
        <v>5642.65</v>
      </c>
      <c r="N329" s="21">
        <v>1770.15</v>
      </c>
      <c r="O329" t="s">
        <v>39</v>
      </c>
      <c r="P329" s="21">
        <v>1583.68</v>
      </c>
      <c r="Q329" t="s">
        <v>83</v>
      </c>
      <c r="R329" t="s">
        <v>31</v>
      </c>
      <c r="S329">
        <v>5</v>
      </c>
      <c r="T329">
        <v>6</v>
      </c>
      <c r="U329" t="s">
        <v>56</v>
      </c>
      <c r="V329" t="s">
        <v>33</v>
      </c>
      <c r="W329">
        <v>3</v>
      </c>
    </row>
    <row r="330" spans="1:23" x14ac:dyDescent="0.25">
      <c r="A330" t="s">
        <v>666</v>
      </c>
      <c r="B330" s="1">
        <v>45918</v>
      </c>
      <c r="C330" t="s">
        <v>509</v>
      </c>
      <c r="D330" t="s">
        <v>71</v>
      </c>
      <c r="E330" t="s">
        <v>36</v>
      </c>
      <c r="F330" t="s">
        <v>27</v>
      </c>
      <c r="G330" t="s">
        <v>72</v>
      </c>
      <c r="H330">
        <v>1</v>
      </c>
      <c r="I330" s="21">
        <v>20603</v>
      </c>
      <c r="J330">
        <v>10</v>
      </c>
      <c r="K330" s="21">
        <v>2060.3000000000002</v>
      </c>
      <c r="L330" s="21">
        <v>18542.7</v>
      </c>
      <c r="M330" s="21">
        <v>12683.98</v>
      </c>
      <c r="N330" s="21">
        <v>5858.72</v>
      </c>
      <c r="O330" t="s">
        <v>49</v>
      </c>
      <c r="P330" s="21">
        <v>105.02</v>
      </c>
      <c r="Q330" t="s">
        <v>73</v>
      </c>
      <c r="R330" t="s">
        <v>31</v>
      </c>
      <c r="S330">
        <v>5</v>
      </c>
      <c r="T330">
        <v>6</v>
      </c>
      <c r="U330" t="s">
        <v>56</v>
      </c>
      <c r="V330" t="s">
        <v>33</v>
      </c>
      <c r="W330">
        <v>5</v>
      </c>
    </row>
    <row r="331" spans="1:23" x14ac:dyDescent="0.25">
      <c r="A331" t="s">
        <v>667</v>
      </c>
      <c r="B331" s="1">
        <v>45699</v>
      </c>
      <c r="C331" t="s">
        <v>668</v>
      </c>
      <c r="D331" t="s">
        <v>124</v>
      </c>
      <c r="E331" t="s">
        <v>46</v>
      </c>
      <c r="F331" t="s">
        <v>86</v>
      </c>
      <c r="G331" t="s">
        <v>110</v>
      </c>
      <c r="H331">
        <v>1</v>
      </c>
      <c r="I331" s="21">
        <v>63602</v>
      </c>
      <c r="J331">
        <v>0</v>
      </c>
      <c r="K331" s="21">
        <v>0</v>
      </c>
      <c r="L331" s="21">
        <v>63602</v>
      </c>
      <c r="M331" s="21">
        <v>43401.8</v>
      </c>
      <c r="N331" s="21">
        <v>20200.2</v>
      </c>
      <c r="O331" t="s">
        <v>60</v>
      </c>
      <c r="P331" s="21">
        <v>1455.21</v>
      </c>
      <c r="Q331" t="s">
        <v>30</v>
      </c>
      <c r="R331" t="s">
        <v>31</v>
      </c>
      <c r="S331">
        <v>5</v>
      </c>
      <c r="T331">
        <v>6</v>
      </c>
      <c r="U331" t="s">
        <v>56</v>
      </c>
      <c r="V331" t="s">
        <v>33</v>
      </c>
      <c r="W331">
        <v>3</v>
      </c>
    </row>
    <row r="332" spans="1:23" x14ac:dyDescent="0.25">
      <c r="A332" t="s">
        <v>669</v>
      </c>
      <c r="B332" s="1">
        <v>45753</v>
      </c>
      <c r="C332" t="s">
        <v>500</v>
      </c>
      <c r="D332" t="s">
        <v>25</v>
      </c>
      <c r="E332" t="s">
        <v>26</v>
      </c>
      <c r="F332" t="s">
        <v>47</v>
      </c>
      <c r="G332" t="s">
        <v>48</v>
      </c>
      <c r="H332">
        <v>2</v>
      </c>
      <c r="I332" s="21">
        <v>49296</v>
      </c>
      <c r="J332">
        <v>5</v>
      </c>
      <c r="K332" s="21">
        <v>4929.6000000000004</v>
      </c>
      <c r="L332" s="21">
        <v>93662.399999999994</v>
      </c>
      <c r="M332" s="21">
        <v>57911.97</v>
      </c>
      <c r="N332" s="21">
        <v>35750.43</v>
      </c>
      <c r="O332" t="s">
        <v>60</v>
      </c>
      <c r="P332" s="21">
        <v>2404.5100000000002</v>
      </c>
      <c r="Q332" t="s">
        <v>73</v>
      </c>
      <c r="R332" t="s">
        <v>41</v>
      </c>
      <c r="S332">
        <v>2</v>
      </c>
      <c r="T332">
        <v>1</v>
      </c>
      <c r="U332" t="s">
        <v>32</v>
      </c>
      <c r="V332" t="s">
        <v>33</v>
      </c>
      <c r="W332">
        <v>5</v>
      </c>
    </row>
    <row r="333" spans="1:23" x14ac:dyDescent="0.25">
      <c r="A333" t="s">
        <v>670</v>
      </c>
      <c r="B333" s="1">
        <v>45693</v>
      </c>
      <c r="C333" t="s">
        <v>671</v>
      </c>
      <c r="D333" t="s">
        <v>67</v>
      </c>
      <c r="E333" t="s">
        <v>46</v>
      </c>
      <c r="F333" t="s">
        <v>53</v>
      </c>
      <c r="G333" t="s">
        <v>82</v>
      </c>
      <c r="H333">
        <v>3</v>
      </c>
      <c r="I333" s="21">
        <v>42493</v>
      </c>
      <c r="J333">
        <v>10</v>
      </c>
      <c r="K333" s="21">
        <v>12747.9</v>
      </c>
      <c r="L333" s="21">
        <v>114731.1</v>
      </c>
      <c r="M333" s="21">
        <v>69619.33</v>
      </c>
      <c r="N333" s="21">
        <v>45111.77</v>
      </c>
      <c r="O333" t="s">
        <v>60</v>
      </c>
      <c r="P333" s="21">
        <v>929.52</v>
      </c>
      <c r="Q333" t="s">
        <v>30</v>
      </c>
      <c r="R333" t="s">
        <v>41</v>
      </c>
      <c r="S333">
        <v>2</v>
      </c>
      <c r="T333">
        <v>1</v>
      </c>
      <c r="U333" t="s">
        <v>32</v>
      </c>
      <c r="V333" t="s">
        <v>33</v>
      </c>
      <c r="W333">
        <v>5</v>
      </c>
    </row>
    <row r="334" spans="1:23" x14ac:dyDescent="0.25">
      <c r="A334" t="s">
        <v>672</v>
      </c>
      <c r="B334" s="1">
        <v>45962</v>
      </c>
      <c r="C334" t="s">
        <v>673</v>
      </c>
      <c r="D334" t="s">
        <v>67</v>
      </c>
      <c r="E334" t="s">
        <v>26</v>
      </c>
      <c r="F334" t="s">
        <v>53</v>
      </c>
      <c r="G334" t="s">
        <v>59</v>
      </c>
      <c r="H334">
        <v>3</v>
      </c>
      <c r="I334" s="21">
        <v>52610</v>
      </c>
      <c r="J334">
        <v>10</v>
      </c>
      <c r="K334" s="21">
        <v>15783</v>
      </c>
      <c r="L334" s="21">
        <v>142047</v>
      </c>
      <c r="M334" s="21">
        <v>97545.14</v>
      </c>
      <c r="N334" s="21">
        <v>44501.86</v>
      </c>
      <c r="O334" t="s">
        <v>60</v>
      </c>
      <c r="P334" s="21">
        <v>1877.23</v>
      </c>
      <c r="Q334" t="s">
        <v>40</v>
      </c>
      <c r="R334" t="s">
        <v>41</v>
      </c>
      <c r="S334">
        <v>2</v>
      </c>
      <c r="T334">
        <v>2</v>
      </c>
      <c r="U334" t="s">
        <v>32</v>
      </c>
      <c r="V334" t="s">
        <v>33</v>
      </c>
      <c r="W334">
        <v>5</v>
      </c>
    </row>
    <row r="335" spans="1:23" x14ac:dyDescent="0.25">
      <c r="A335" t="s">
        <v>674</v>
      </c>
      <c r="B335" s="1">
        <v>45692</v>
      </c>
      <c r="C335" t="s">
        <v>675</v>
      </c>
      <c r="D335" t="s">
        <v>90</v>
      </c>
      <c r="E335" t="s">
        <v>26</v>
      </c>
      <c r="F335" t="s">
        <v>86</v>
      </c>
      <c r="G335" t="s">
        <v>127</v>
      </c>
      <c r="H335">
        <v>2</v>
      </c>
      <c r="I335" s="21">
        <v>23837</v>
      </c>
      <c r="J335">
        <v>5</v>
      </c>
      <c r="K335" s="21">
        <v>2383.6999999999998</v>
      </c>
      <c r="L335" s="21">
        <v>45290.3</v>
      </c>
      <c r="M335" s="21">
        <v>32592.71</v>
      </c>
      <c r="N335" s="21">
        <v>12697.59</v>
      </c>
      <c r="O335" t="s">
        <v>49</v>
      </c>
      <c r="P335" s="21">
        <v>121.02</v>
      </c>
      <c r="Q335" t="s">
        <v>40</v>
      </c>
      <c r="R335" t="s">
        <v>31</v>
      </c>
      <c r="S335">
        <v>5</v>
      </c>
      <c r="T335">
        <v>3</v>
      </c>
      <c r="U335" t="s">
        <v>32</v>
      </c>
      <c r="V335" t="s">
        <v>33</v>
      </c>
      <c r="W335">
        <v>1</v>
      </c>
    </row>
    <row r="336" spans="1:23" x14ac:dyDescent="0.25">
      <c r="A336" t="s">
        <v>676</v>
      </c>
      <c r="B336" s="1">
        <v>46003</v>
      </c>
      <c r="C336" t="s">
        <v>677</v>
      </c>
      <c r="D336" t="s">
        <v>25</v>
      </c>
      <c r="E336" t="s">
        <v>26</v>
      </c>
      <c r="F336" t="s">
        <v>47</v>
      </c>
      <c r="G336" t="s">
        <v>64</v>
      </c>
      <c r="H336">
        <v>2</v>
      </c>
      <c r="I336" s="21">
        <v>18369</v>
      </c>
      <c r="J336">
        <v>5</v>
      </c>
      <c r="K336" s="21">
        <v>1836.9</v>
      </c>
      <c r="L336" s="21">
        <v>34901.1</v>
      </c>
      <c r="M336" s="21">
        <v>19990.919999999998</v>
      </c>
      <c r="N336" s="21">
        <v>14910.18</v>
      </c>
      <c r="O336" t="s">
        <v>60</v>
      </c>
      <c r="P336" s="21">
        <v>2215.6999999999998</v>
      </c>
      <c r="Q336" t="s">
        <v>40</v>
      </c>
      <c r="R336" t="s">
        <v>31</v>
      </c>
      <c r="S336">
        <v>5</v>
      </c>
      <c r="T336">
        <v>6</v>
      </c>
      <c r="U336" t="s">
        <v>56</v>
      </c>
      <c r="V336" t="s">
        <v>33</v>
      </c>
      <c r="W336">
        <v>4</v>
      </c>
    </row>
    <row r="337" spans="1:23" x14ac:dyDescent="0.25">
      <c r="A337" t="s">
        <v>678</v>
      </c>
      <c r="B337" s="1">
        <v>45778</v>
      </c>
      <c r="C337" t="s">
        <v>679</v>
      </c>
      <c r="D337" t="s">
        <v>97</v>
      </c>
      <c r="E337" t="s">
        <v>26</v>
      </c>
      <c r="F337" t="s">
        <v>47</v>
      </c>
      <c r="G337" t="s">
        <v>138</v>
      </c>
      <c r="H337">
        <v>1</v>
      </c>
      <c r="I337" s="21">
        <v>37305</v>
      </c>
      <c r="J337">
        <v>0</v>
      </c>
      <c r="K337" s="21">
        <v>0</v>
      </c>
      <c r="L337" s="21">
        <v>37305</v>
      </c>
      <c r="M337" s="21">
        <v>24557.11</v>
      </c>
      <c r="N337" s="21">
        <v>12747.89</v>
      </c>
      <c r="O337" t="s">
        <v>49</v>
      </c>
      <c r="P337" s="21">
        <v>90.08</v>
      </c>
      <c r="Q337" t="s">
        <v>73</v>
      </c>
      <c r="R337" t="s">
        <v>41</v>
      </c>
      <c r="S337">
        <v>2</v>
      </c>
      <c r="T337">
        <v>1</v>
      </c>
      <c r="U337" t="s">
        <v>32</v>
      </c>
      <c r="V337" t="s">
        <v>33</v>
      </c>
      <c r="W337">
        <v>2</v>
      </c>
    </row>
    <row r="338" spans="1:23" x14ac:dyDescent="0.25">
      <c r="A338" t="s">
        <v>680</v>
      </c>
      <c r="B338" s="1">
        <v>45864</v>
      </c>
      <c r="C338" t="s">
        <v>345</v>
      </c>
      <c r="D338" t="s">
        <v>90</v>
      </c>
      <c r="E338" t="s">
        <v>26</v>
      </c>
      <c r="F338" t="s">
        <v>47</v>
      </c>
      <c r="G338" t="s">
        <v>64</v>
      </c>
      <c r="H338">
        <v>2</v>
      </c>
      <c r="I338" s="21">
        <v>51145</v>
      </c>
      <c r="J338">
        <v>5</v>
      </c>
      <c r="K338" s="21">
        <v>5114.5</v>
      </c>
      <c r="L338" s="21">
        <v>97175.5</v>
      </c>
      <c r="M338" s="21">
        <v>58445.91</v>
      </c>
      <c r="N338" s="21">
        <v>38729.589999999997</v>
      </c>
      <c r="O338" t="s">
        <v>49</v>
      </c>
      <c r="P338" s="21">
        <v>272.38</v>
      </c>
      <c r="Q338" t="s">
        <v>68</v>
      </c>
      <c r="R338" t="s">
        <v>41</v>
      </c>
      <c r="S338">
        <v>2</v>
      </c>
      <c r="T338">
        <v>1</v>
      </c>
      <c r="U338" t="s">
        <v>32</v>
      </c>
      <c r="V338" t="s">
        <v>33</v>
      </c>
      <c r="W338">
        <v>5</v>
      </c>
    </row>
    <row r="339" spans="1:23" x14ac:dyDescent="0.25">
      <c r="A339" t="s">
        <v>681</v>
      </c>
      <c r="B339" s="1">
        <v>45719</v>
      </c>
      <c r="C339" t="s">
        <v>682</v>
      </c>
      <c r="D339" t="s">
        <v>63</v>
      </c>
      <c r="E339" t="s">
        <v>26</v>
      </c>
      <c r="F339" t="s">
        <v>27</v>
      </c>
      <c r="G339" t="s">
        <v>76</v>
      </c>
      <c r="H339">
        <v>1</v>
      </c>
      <c r="I339" s="21">
        <v>13009</v>
      </c>
      <c r="J339">
        <v>5</v>
      </c>
      <c r="K339" s="21">
        <v>650.45000000000005</v>
      </c>
      <c r="L339" s="21">
        <v>12358.55</v>
      </c>
      <c r="M339" s="21">
        <v>8858.2800000000007</v>
      </c>
      <c r="N339" s="21">
        <v>3500.27</v>
      </c>
      <c r="O339" t="s">
        <v>49</v>
      </c>
      <c r="P339" s="21">
        <v>357.92</v>
      </c>
      <c r="Q339" t="s">
        <v>30</v>
      </c>
      <c r="R339" t="s">
        <v>41</v>
      </c>
      <c r="S339">
        <v>2</v>
      </c>
      <c r="T339">
        <v>1</v>
      </c>
      <c r="U339" t="s">
        <v>32</v>
      </c>
      <c r="V339" t="s">
        <v>33</v>
      </c>
      <c r="W339">
        <v>5</v>
      </c>
    </row>
    <row r="340" spans="1:23" x14ac:dyDescent="0.25">
      <c r="A340" t="s">
        <v>683</v>
      </c>
      <c r="B340" s="1">
        <v>45949</v>
      </c>
      <c r="C340" t="s">
        <v>75</v>
      </c>
      <c r="D340" t="s">
        <v>154</v>
      </c>
      <c r="E340" t="s">
        <v>36</v>
      </c>
      <c r="F340" t="s">
        <v>53</v>
      </c>
      <c r="G340" t="s">
        <v>151</v>
      </c>
      <c r="H340">
        <v>1</v>
      </c>
      <c r="I340" s="21">
        <v>36815</v>
      </c>
      <c r="J340">
        <v>10</v>
      </c>
      <c r="K340" s="21">
        <v>3681.5</v>
      </c>
      <c r="L340" s="21">
        <v>33133.5</v>
      </c>
      <c r="M340" s="21">
        <v>18876.98</v>
      </c>
      <c r="N340" s="21">
        <v>14256.52</v>
      </c>
      <c r="O340" t="s">
        <v>39</v>
      </c>
      <c r="P340" s="21">
        <v>965.58</v>
      </c>
      <c r="Q340" t="s">
        <v>68</v>
      </c>
      <c r="R340" t="s">
        <v>31</v>
      </c>
      <c r="S340">
        <v>5</v>
      </c>
      <c r="T340">
        <v>0</v>
      </c>
      <c r="U340" t="s">
        <v>32</v>
      </c>
      <c r="V340" t="s">
        <v>42</v>
      </c>
    </row>
    <row r="341" spans="1:23" x14ac:dyDescent="0.25">
      <c r="A341" t="s">
        <v>684</v>
      </c>
      <c r="B341" s="1">
        <v>45784</v>
      </c>
      <c r="C341" t="s">
        <v>582</v>
      </c>
      <c r="D341" t="s">
        <v>90</v>
      </c>
      <c r="E341" t="s">
        <v>26</v>
      </c>
      <c r="F341" t="s">
        <v>27</v>
      </c>
      <c r="G341" t="s">
        <v>72</v>
      </c>
      <c r="H341">
        <v>1</v>
      </c>
      <c r="I341" s="21">
        <v>7833</v>
      </c>
      <c r="J341">
        <v>0</v>
      </c>
      <c r="K341" s="21">
        <v>0</v>
      </c>
      <c r="L341" s="21">
        <v>7833</v>
      </c>
      <c r="M341" s="21">
        <v>4858.6400000000003</v>
      </c>
      <c r="N341" s="21">
        <v>2974.36</v>
      </c>
      <c r="O341" t="s">
        <v>39</v>
      </c>
      <c r="P341" s="21">
        <v>2219.16</v>
      </c>
      <c r="Q341" t="s">
        <v>68</v>
      </c>
      <c r="R341" t="s">
        <v>41</v>
      </c>
      <c r="S341">
        <v>2</v>
      </c>
      <c r="T341">
        <v>2</v>
      </c>
      <c r="U341" t="s">
        <v>32</v>
      </c>
      <c r="V341" t="s">
        <v>42</v>
      </c>
    </row>
    <row r="342" spans="1:23" x14ac:dyDescent="0.25">
      <c r="A342" t="s">
        <v>685</v>
      </c>
      <c r="B342" s="1">
        <v>45954</v>
      </c>
      <c r="C342" t="s">
        <v>247</v>
      </c>
      <c r="D342" t="s">
        <v>71</v>
      </c>
      <c r="E342" t="s">
        <v>46</v>
      </c>
      <c r="F342" t="s">
        <v>53</v>
      </c>
      <c r="G342" t="s">
        <v>59</v>
      </c>
      <c r="H342">
        <v>1</v>
      </c>
      <c r="I342" s="21">
        <v>25760</v>
      </c>
      <c r="J342">
        <v>15</v>
      </c>
      <c r="K342" s="21">
        <v>3864</v>
      </c>
      <c r="L342" s="21">
        <v>21896</v>
      </c>
      <c r="M342" s="21">
        <v>13715.43</v>
      </c>
      <c r="N342" s="21">
        <v>8180.57</v>
      </c>
      <c r="O342" t="s">
        <v>91</v>
      </c>
      <c r="P342" s="21">
        <v>919.92</v>
      </c>
      <c r="Q342" t="s">
        <v>68</v>
      </c>
      <c r="R342" t="s">
        <v>41</v>
      </c>
      <c r="S342">
        <v>2</v>
      </c>
      <c r="T342">
        <v>1</v>
      </c>
      <c r="U342" t="s">
        <v>32</v>
      </c>
      <c r="V342" t="s">
        <v>33</v>
      </c>
      <c r="W342">
        <v>5</v>
      </c>
    </row>
    <row r="343" spans="1:23" x14ac:dyDescent="0.25">
      <c r="A343" t="s">
        <v>686</v>
      </c>
      <c r="B343" s="1">
        <v>45962</v>
      </c>
      <c r="C343" t="s">
        <v>687</v>
      </c>
      <c r="D343" t="s">
        <v>97</v>
      </c>
      <c r="E343" t="s">
        <v>26</v>
      </c>
      <c r="F343" t="s">
        <v>86</v>
      </c>
      <c r="G343" t="s">
        <v>127</v>
      </c>
      <c r="H343">
        <v>1</v>
      </c>
      <c r="I343" s="21">
        <v>13152</v>
      </c>
      <c r="J343">
        <v>0</v>
      </c>
      <c r="K343" s="21">
        <v>0</v>
      </c>
      <c r="L343" s="21">
        <v>13152</v>
      </c>
      <c r="M343" s="21">
        <v>8903.4699999999993</v>
      </c>
      <c r="N343" s="21">
        <v>4248.53</v>
      </c>
      <c r="O343" t="s">
        <v>49</v>
      </c>
      <c r="P343" s="21">
        <v>102.21</v>
      </c>
      <c r="Q343" t="s">
        <v>30</v>
      </c>
      <c r="R343" t="s">
        <v>41</v>
      </c>
      <c r="S343">
        <v>2</v>
      </c>
      <c r="T343">
        <v>2</v>
      </c>
      <c r="U343" t="s">
        <v>32</v>
      </c>
      <c r="V343" t="s">
        <v>33</v>
      </c>
      <c r="W343">
        <v>4</v>
      </c>
    </row>
    <row r="344" spans="1:23" x14ac:dyDescent="0.25">
      <c r="A344" t="s">
        <v>688</v>
      </c>
      <c r="B344" s="1">
        <v>45678</v>
      </c>
      <c r="C344" t="s">
        <v>689</v>
      </c>
      <c r="D344" t="s">
        <v>97</v>
      </c>
      <c r="E344" t="s">
        <v>26</v>
      </c>
      <c r="F344" t="s">
        <v>53</v>
      </c>
      <c r="G344" t="s">
        <v>54</v>
      </c>
      <c r="H344">
        <v>1</v>
      </c>
      <c r="I344" s="21">
        <v>103340</v>
      </c>
      <c r="J344">
        <v>5</v>
      </c>
      <c r="K344" s="21">
        <v>5167</v>
      </c>
      <c r="L344" s="21">
        <v>98173</v>
      </c>
      <c r="M344" s="21">
        <v>77007.56</v>
      </c>
      <c r="N344" s="21">
        <v>21165.439999999999</v>
      </c>
      <c r="O344" t="s">
        <v>60</v>
      </c>
      <c r="P344" s="21">
        <v>1370.1</v>
      </c>
      <c r="Q344" t="s">
        <v>73</v>
      </c>
      <c r="R344" t="s">
        <v>31</v>
      </c>
      <c r="S344">
        <v>5</v>
      </c>
      <c r="T344">
        <v>5</v>
      </c>
      <c r="U344" t="s">
        <v>32</v>
      </c>
      <c r="V344" t="s">
        <v>33</v>
      </c>
      <c r="W344">
        <v>5</v>
      </c>
    </row>
    <row r="345" spans="1:23" x14ac:dyDescent="0.25">
      <c r="A345" t="s">
        <v>690</v>
      </c>
      <c r="B345" s="1">
        <v>45975</v>
      </c>
      <c r="C345" t="s">
        <v>691</v>
      </c>
      <c r="D345" t="s">
        <v>45</v>
      </c>
      <c r="E345" t="s">
        <v>26</v>
      </c>
      <c r="F345" t="s">
        <v>37</v>
      </c>
      <c r="G345" t="s">
        <v>38</v>
      </c>
      <c r="H345">
        <v>2</v>
      </c>
      <c r="I345" s="21">
        <v>36644</v>
      </c>
      <c r="J345">
        <v>0</v>
      </c>
      <c r="K345" s="21">
        <v>0</v>
      </c>
      <c r="L345" s="21">
        <v>73288</v>
      </c>
      <c r="M345" s="21">
        <v>57867.42</v>
      </c>
      <c r="N345" s="21">
        <v>15420.58</v>
      </c>
      <c r="O345" t="s">
        <v>55</v>
      </c>
      <c r="P345" s="21">
        <v>2457.0700000000002</v>
      </c>
      <c r="Q345" t="s">
        <v>83</v>
      </c>
      <c r="R345" t="s">
        <v>41</v>
      </c>
      <c r="S345">
        <v>2</v>
      </c>
      <c r="T345">
        <v>1</v>
      </c>
      <c r="U345" t="s">
        <v>32</v>
      </c>
      <c r="V345" t="s">
        <v>33</v>
      </c>
      <c r="W345">
        <v>5</v>
      </c>
    </row>
    <row r="346" spans="1:23" x14ac:dyDescent="0.25">
      <c r="A346" t="s">
        <v>692</v>
      </c>
      <c r="B346" s="1">
        <v>45699</v>
      </c>
      <c r="C346" t="s">
        <v>215</v>
      </c>
      <c r="D346" t="s">
        <v>25</v>
      </c>
      <c r="E346" t="s">
        <v>46</v>
      </c>
      <c r="F346" t="s">
        <v>27</v>
      </c>
      <c r="G346" t="s">
        <v>72</v>
      </c>
      <c r="H346">
        <v>1</v>
      </c>
      <c r="I346" s="21">
        <v>18378</v>
      </c>
      <c r="J346">
        <v>0</v>
      </c>
      <c r="K346" s="21">
        <v>0</v>
      </c>
      <c r="L346" s="21">
        <v>18378</v>
      </c>
      <c r="M346" s="21">
        <v>11742.54</v>
      </c>
      <c r="N346" s="21">
        <v>6635.46</v>
      </c>
      <c r="O346" t="s">
        <v>91</v>
      </c>
      <c r="P346" s="21">
        <v>2379.06</v>
      </c>
      <c r="Q346" t="s">
        <v>40</v>
      </c>
      <c r="R346" t="s">
        <v>41</v>
      </c>
      <c r="S346">
        <v>2</v>
      </c>
      <c r="T346">
        <v>1</v>
      </c>
      <c r="U346" t="s">
        <v>32</v>
      </c>
      <c r="V346" t="s">
        <v>33</v>
      </c>
      <c r="W346">
        <v>3</v>
      </c>
    </row>
    <row r="347" spans="1:23" x14ac:dyDescent="0.25">
      <c r="A347" t="s">
        <v>693</v>
      </c>
      <c r="B347" s="1">
        <v>45872</v>
      </c>
      <c r="C347" t="s">
        <v>631</v>
      </c>
      <c r="D347" t="s">
        <v>63</v>
      </c>
      <c r="E347" t="s">
        <v>26</v>
      </c>
      <c r="F347" t="s">
        <v>47</v>
      </c>
      <c r="G347" t="s">
        <v>146</v>
      </c>
      <c r="H347">
        <v>2</v>
      </c>
      <c r="I347" s="21">
        <v>46471</v>
      </c>
      <c r="J347">
        <v>10</v>
      </c>
      <c r="K347" s="21">
        <v>9294.2000000000007</v>
      </c>
      <c r="L347" s="21">
        <v>83647.8</v>
      </c>
      <c r="M347" s="21">
        <v>50026.65</v>
      </c>
      <c r="N347" s="21">
        <v>33621.15</v>
      </c>
      <c r="O347" t="s">
        <v>39</v>
      </c>
      <c r="P347" s="21">
        <v>2160.4</v>
      </c>
      <c r="Q347" t="s">
        <v>68</v>
      </c>
      <c r="R347" t="s">
        <v>31</v>
      </c>
      <c r="S347">
        <v>5</v>
      </c>
      <c r="T347">
        <v>5</v>
      </c>
      <c r="U347" t="s">
        <v>32</v>
      </c>
      <c r="V347" t="s">
        <v>33</v>
      </c>
      <c r="W347">
        <v>1</v>
      </c>
    </row>
    <row r="348" spans="1:23" x14ac:dyDescent="0.25">
      <c r="A348" t="s">
        <v>694</v>
      </c>
      <c r="B348" s="1">
        <v>45994</v>
      </c>
      <c r="C348" t="s">
        <v>695</v>
      </c>
      <c r="D348" t="s">
        <v>154</v>
      </c>
      <c r="E348" t="s">
        <v>46</v>
      </c>
      <c r="F348" t="s">
        <v>27</v>
      </c>
      <c r="G348" t="s">
        <v>113</v>
      </c>
      <c r="H348">
        <v>2</v>
      </c>
      <c r="I348" s="21">
        <v>15265</v>
      </c>
      <c r="J348">
        <v>10</v>
      </c>
      <c r="K348" s="21">
        <v>3053</v>
      </c>
      <c r="L348" s="21">
        <v>27477</v>
      </c>
      <c r="M348" s="21">
        <v>18915.62</v>
      </c>
      <c r="N348" s="21">
        <v>8561.3799999999992</v>
      </c>
      <c r="O348" t="s">
        <v>55</v>
      </c>
      <c r="P348" s="21">
        <v>1295.81</v>
      </c>
      <c r="Q348" t="s">
        <v>40</v>
      </c>
      <c r="R348" t="s">
        <v>41</v>
      </c>
      <c r="S348">
        <v>2</v>
      </c>
      <c r="T348">
        <v>1</v>
      </c>
      <c r="U348" t="s">
        <v>32</v>
      </c>
      <c r="V348" t="s">
        <v>33</v>
      </c>
      <c r="W348">
        <v>4</v>
      </c>
    </row>
    <row r="349" spans="1:23" x14ac:dyDescent="0.25">
      <c r="A349" t="s">
        <v>696</v>
      </c>
      <c r="B349" s="1">
        <v>45956</v>
      </c>
      <c r="C349" t="s">
        <v>509</v>
      </c>
      <c r="D349" t="s">
        <v>71</v>
      </c>
      <c r="E349" t="s">
        <v>26</v>
      </c>
      <c r="F349" t="s">
        <v>37</v>
      </c>
      <c r="G349" t="s">
        <v>100</v>
      </c>
      <c r="H349">
        <v>1</v>
      </c>
      <c r="I349" s="21">
        <v>26396</v>
      </c>
      <c r="J349">
        <v>20</v>
      </c>
      <c r="K349" s="21">
        <v>5279.2</v>
      </c>
      <c r="L349" s="21">
        <v>21116.799999999999</v>
      </c>
      <c r="M349" s="21">
        <v>15470.99</v>
      </c>
      <c r="N349" s="21">
        <v>5645.81</v>
      </c>
      <c r="O349" t="s">
        <v>39</v>
      </c>
      <c r="P349" s="21">
        <v>1647.99</v>
      </c>
      <c r="Q349" t="s">
        <v>40</v>
      </c>
      <c r="R349" t="s">
        <v>31</v>
      </c>
      <c r="S349">
        <v>5</v>
      </c>
      <c r="T349">
        <v>3</v>
      </c>
      <c r="U349" t="s">
        <v>32</v>
      </c>
      <c r="V349" t="s">
        <v>50</v>
      </c>
      <c r="W349">
        <v>5</v>
      </c>
    </row>
    <row r="350" spans="1:23" x14ac:dyDescent="0.25">
      <c r="A350" t="s">
        <v>697</v>
      </c>
      <c r="B350" s="1">
        <v>45947</v>
      </c>
      <c r="C350" t="s">
        <v>698</v>
      </c>
      <c r="D350" t="s">
        <v>71</v>
      </c>
      <c r="E350" t="s">
        <v>36</v>
      </c>
      <c r="F350" t="s">
        <v>53</v>
      </c>
      <c r="G350" t="s">
        <v>59</v>
      </c>
      <c r="H350">
        <v>1</v>
      </c>
      <c r="I350" s="21">
        <v>28478</v>
      </c>
      <c r="J350">
        <v>15</v>
      </c>
      <c r="K350" s="21">
        <v>4271.7</v>
      </c>
      <c r="L350" s="21">
        <v>24206.3</v>
      </c>
      <c r="M350" s="21">
        <v>15244.64</v>
      </c>
      <c r="N350" s="21">
        <v>8961.66</v>
      </c>
      <c r="O350" t="s">
        <v>55</v>
      </c>
      <c r="P350" s="21">
        <v>1380.85</v>
      </c>
      <c r="Q350" t="s">
        <v>40</v>
      </c>
      <c r="R350" t="s">
        <v>31</v>
      </c>
      <c r="S350">
        <v>5</v>
      </c>
      <c r="T350">
        <v>3</v>
      </c>
      <c r="U350" t="s">
        <v>32</v>
      </c>
      <c r="V350" t="s">
        <v>33</v>
      </c>
      <c r="W350">
        <v>1</v>
      </c>
    </row>
    <row r="351" spans="1:23" x14ac:dyDescent="0.25">
      <c r="A351" t="s">
        <v>699</v>
      </c>
      <c r="B351" s="1">
        <v>45925</v>
      </c>
      <c r="C351" t="s">
        <v>278</v>
      </c>
      <c r="D351" t="s">
        <v>67</v>
      </c>
      <c r="E351" t="s">
        <v>26</v>
      </c>
      <c r="F351" t="s">
        <v>27</v>
      </c>
      <c r="G351" t="s">
        <v>113</v>
      </c>
      <c r="H351">
        <v>2</v>
      </c>
      <c r="I351" s="21">
        <v>6179</v>
      </c>
      <c r="J351">
        <v>0</v>
      </c>
      <c r="K351" s="21">
        <v>0</v>
      </c>
      <c r="L351" s="21">
        <v>12358</v>
      </c>
      <c r="M351" s="21">
        <v>7177.06</v>
      </c>
      <c r="N351" s="21">
        <v>5180.9399999999996</v>
      </c>
      <c r="O351" t="s">
        <v>49</v>
      </c>
      <c r="P351" s="21">
        <v>131.99</v>
      </c>
      <c r="Q351" t="s">
        <v>30</v>
      </c>
      <c r="R351" t="s">
        <v>41</v>
      </c>
      <c r="S351">
        <v>2</v>
      </c>
      <c r="T351">
        <v>1</v>
      </c>
      <c r="U351" t="s">
        <v>32</v>
      </c>
      <c r="V351" t="s">
        <v>50</v>
      </c>
      <c r="W351">
        <v>5</v>
      </c>
    </row>
    <row r="352" spans="1:23" x14ac:dyDescent="0.25">
      <c r="A352" t="s">
        <v>700</v>
      </c>
      <c r="B352" s="1">
        <v>45819</v>
      </c>
      <c r="C352" t="s">
        <v>482</v>
      </c>
      <c r="D352" t="s">
        <v>63</v>
      </c>
      <c r="E352" t="s">
        <v>26</v>
      </c>
      <c r="F352" t="s">
        <v>53</v>
      </c>
      <c r="G352" t="s">
        <v>151</v>
      </c>
      <c r="H352">
        <v>1</v>
      </c>
      <c r="I352" s="21">
        <v>96852</v>
      </c>
      <c r="J352">
        <v>5</v>
      </c>
      <c r="K352" s="21">
        <v>4842.6000000000004</v>
      </c>
      <c r="L352" s="21">
        <v>92009.4</v>
      </c>
      <c r="M352" s="21">
        <v>55203.21</v>
      </c>
      <c r="N352" s="21">
        <v>36806.19</v>
      </c>
      <c r="O352" t="s">
        <v>39</v>
      </c>
      <c r="P352" s="21">
        <v>444.56</v>
      </c>
      <c r="Q352" t="s">
        <v>40</v>
      </c>
      <c r="R352" t="s">
        <v>41</v>
      </c>
      <c r="S352">
        <v>2</v>
      </c>
      <c r="T352">
        <v>6</v>
      </c>
      <c r="U352" t="s">
        <v>32</v>
      </c>
      <c r="V352" t="s">
        <v>50</v>
      </c>
      <c r="W352">
        <v>5</v>
      </c>
    </row>
    <row r="353" spans="1:23" x14ac:dyDescent="0.25">
      <c r="A353" t="s">
        <v>701</v>
      </c>
      <c r="B353" s="1">
        <v>45791</v>
      </c>
      <c r="C353" t="s">
        <v>702</v>
      </c>
      <c r="D353" t="s">
        <v>79</v>
      </c>
      <c r="E353" t="s">
        <v>46</v>
      </c>
      <c r="F353" t="s">
        <v>53</v>
      </c>
      <c r="G353" t="s">
        <v>151</v>
      </c>
      <c r="H353">
        <v>1</v>
      </c>
      <c r="I353" s="21">
        <v>99676</v>
      </c>
      <c r="J353">
        <v>10</v>
      </c>
      <c r="K353" s="21">
        <v>9967.6</v>
      </c>
      <c r="L353" s="21">
        <v>89708.4</v>
      </c>
      <c r="M353" s="21">
        <v>64320.46</v>
      </c>
      <c r="N353" s="21">
        <v>25387.94</v>
      </c>
      <c r="O353" t="s">
        <v>55</v>
      </c>
      <c r="P353" s="21">
        <v>1749.75</v>
      </c>
      <c r="Q353" t="s">
        <v>30</v>
      </c>
      <c r="R353" t="s">
        <v>41</v>
      </c>
      <c r="S353">
        <v>2</v>
      </c>
      <c r="T353">
        <v>5</v>
      </c>
      <c r="U353" t="s">
        <v>32</v>
      </c>
      <c r="V353" t="s">
        <v>42</v>
      </c>
    </row>
    <row r="354" spans="1:23" x14ac:dyDescent="0.25">
      <c r="A354" t="s">
        <v>703</v>
      </c>
      <c r="B354" s="1">
        <v>45762</v>
      </c>
      <c r="C354" t="s">
        <v>704</v>
      </c>
      <c r="D354" t="s">
        <v>154</v>
      </c>
      <c r="E354" t="s">
        <v>46</v>
      </c>
      <c r="F354" t="s">
        <v>86</v>
      </c>
      <c r="G354" t="s">
        <v>180</v>
      </c>
      <c r="H354">
        <v>2</v>
      </c>
      <c r="I354" s="21">
        <v>9514</v>
      </c>
      <c r="J354">
        <v>0</v>
      </c>
      <c r="K354" s="21">
        <v>0</v>
      </c>
      <c r="L354" s="21">
        <v>19028</v>
      </c>
      <c r="M354" s="21">
        <v>13803.48</v>
      </c>
      <c r="N354" s="21">
        <v>5224.5200000000004</v>
      </c>
      <c r="O354" t="s">
        <v>55</v>
      </c>
      <c r="P354" s="21">
        <v>892.11</v>
      </c>
      <c r="Q354" t="s">
        <v>30</v>
      </c>
      <c r="R354" t="s">
        <v>31</v>
      </c>
      <c r="S354">
        <v>5</v>
      </c>
      <c r="T354">
        <v>6</v>
      </c>
      <c r="U354" t="s">
        <v>56</v>
      </c>
      <c r="V354" t="s">
        <v>33</v>
      </c>
      <c r="W354">
        <v>1</v>
      </c>
    </row>
    <row r="355" spans="1:23" x14ac:dyDescent="0.25">
      <c r="A355" t="s">
        <v>705</v>
      </c>
      <c r="B355" s="1">
        <v>46000</v>
      </c>
      <c r="C355" t="s">
        <v>706</v>
      </c>
      <c r="D355" t="s">
        <v>90</v>
      </c>
      <c r="E355" t="s">
        <v>46</v>
      </c>
      <c r="F355" t="s">
        <v>47</v>
      </c>
      <c r="G355" t="s">
        <v>105</v>
      </c>
      <c r="H355">
        <v>1</v>
      </c>
      <c r="I355" s="21">
        <v>36180</v>
      </c>
      <c r="J355">
        <v>20</v>
      </c>
      <c r="K355" s="21">
        <v>7236</v>
      </c>
      <c r="L355" s="21">
        <v>28944</v>
      </c>
      <c r="M355" s="21">
        <v>20492.669999999998</v>
      </c>
      <c r="N355" s="21">
        <v>8451.33</v>
      </c>
      <c r="O355" t="s">
        <v>55</v>
      </c>
      <c r="P355" s="21">
        <v>2107.7399999999998</v>
      </c>
      <c r="Q355" t="s">
        <v>30</v>
      </c>
      <c r="R355" t="s">
        <v>41</v>
      </c>
      <c r="S355">
        <v>2</v>
      </c>
      <c r="T355">
        <v>1</v>
      </c>
      <c r="U355" t="s">
        <v>32</v>
      </c>
      <c r="V355" t="s">
        <v>33</v>
      </c>
      <c r="W355">
        <v>5</v>
      </c>
    </row>
    <row r="356" spans="1:23" x14ac:dyDescent="0.25">
      <c r="A356" t="s">
        <v>707</v>
      </c>
      <c r="B356" s="1">
        <v>45818</v>
      </c>
      <c r="C356" t="s">
        <v>546</v>
      </c>
      <c r="D356" t="s">
        <v>79</v>
      </c>
      <c r="E356" t="s">
        <v>36</v>
      </c>
      <c r="F356" t="s">
        <v>53</v>
      </c>
      <c r="G356" t="s">
        <v>59</v>
      </c>
      <c r="H356">
        <v>1</v>
      </c>
      <c r="I356" s="21">
        <v>63484</v>
      </c>
      <c r="J356">
        <v>0</v>
      </c>
      <c r="K356" s="21">
        <v>0</v>
      </c>
      <c r="L356" s="21">
        <v>63484</v>
      </c>
      <c r="M356" s="21">
        <v>43272.22</v>
      </c>
      <c r="N356" s="21">
        <v>20211.78</v>
      </c>
      <c r="O356" t="s">
        <v>49</v>
      </c>
      <c r="P356" s="21">
        <v>371.43</v>
      </c>
      <c r="Q356" t="s">
        <v>40</v>
      </c>
      <c r="R356" t="s">
        <v>41</v>
      </c>
      <c r="S356">
        <v>2</v>
      </c>
      <c r="T356">
        <v>1</v>
      </c>
      <c r="U356" t="s">
        <v>32</v>
      </c>
      <c r="V356" t="s">
        <v>33</v>
      </c>
      <c r="W356">
        <v>2</v>
      </c>
    </row>
    <row r="357" spans="1:23" x14ac:dyDescent="0.25">
      <c r="A357" t="s">
        <v>708</v>
      </c>
      <c r="B357" s="1">
        <v>45780</v>
      </c>
      <c r="C357" t="s">
        <v>709</v>
      </c>
      <c r="D357" t="s">
        <v>25</v>
      </c>
      <c r="E357" t="s">
        <v>46</v>
      </c>
      <c r="F357" t="s">
        <v>53</v>
      </c>
      <c r="G357" t="s">
        <v>54</v>
      </c>
      <c r="H357">
        <v>3</v>
      </c>
      <c r="I357" s="21">
        <v>63675</v>
      </c>
      <c r="J357">
        <v>20</v>
      </c>
      <c r="K357" s="21">
        <v>38205</v>
      </c>
      <c r="L357" s="21">
        <v>152820</v>
      </c>
      <c r="M357" s="21">
        <v>112831.42</v>
      </c>
      <c r="N357" s="21">
        <v>39988.58</v>
      </c>
      <c r="O357" t="s">
        <v>29</v>
      </c>
      <c r="P357" s="21">
        <v>1870.28</v>
      </c>
      <c r="Q357" t="s">
        <v>30</v>
      </c>
      <c r="R357" t="s">
        <v>31</v>
      </c>
      <c r="S357">
        <v>5</v>
      </c>
      <c r="T357">
        <v>2</v>
      </c>
      <c r="U357" t="s">
        <v>32</v>
      </c>
      <c r="V357" t="s">
        <v>33</v>
      </c>
      <c r="W357">
        <v>3</v>
      </c>
    </row>
    <row r="358" spans="1:23" x14ac:dyDescent="0.25">
      <c r="A358" t="s">
        <v>710</v>
      </c>
      <c r="B358" s="1">
        <v>45793</v>
      </c>
      <c r="C358" t="s">
        <v>711</v>
      </c>
      <c r="D358" t="s">
        <v>97</v>
      </c>
      <c r="E358" t="s">
        <v>26</v>
      </c>
      <c r="F358" t="s">
        <v>86</v>
      </c>
      <c r="G358" t="s">
        <v>127</v>
      </c>
      <c r="H358">
        <v>2</v>
      </c>
      <c r="I358" s="21">
        <v>67402</v>
      </c>
      <c r="J358">
        <v>15</v>
      </c>
      <c r="K358" s="21">
        <v>20220.599999999999</v>
      </c>
      <c r="L358" s="21">
        <v>114583.4</v>
      </c>
      <c r="M358" s="21">
        <v>92714.8</v>
      </c>
      <c r="N358" s="21">
        <v>21868.6</v>
      </c>
      <c r="O358" t="s">
        <v>91</v>
      </c>
      <c r="P358" s="21">
        <v>2039.44</v>
      </c>
      <c r="Q358" t="s">
        <v>68</v>
      </c>
      <c r="R358" t="s">
        <v>41</v>
      </c>
      <c r="S358">
        <v>2</v>
      </c>
      <c r="T358">
        <v>6</v>
      </c>
      <c r="U358" t="s">
        <v>32</v>
      </c>
      <c r="V358" t="s">
        <v>50</v>
      </c>
      <c r="W358">
        <v>4</v>
      </c>
    </row>
    <row r="359" spans="1:23" x14ac:dyDescent="0.25">
      <c r="A359" t="s">
        <v>712</v>
      </c>
      <c r="B359" s="1">
        <v>45860</v>
      </c>
      <c r="C359" t="s">
        <v>466</v>
      </c>
      <c r="D359" t="s">
        <v>79</v>
      </c>
      <c r="E359" t="s">
        <v>26</v>
      </c>
      <c r="F359" t="s">
        <v>37</v>
      </c>
      <c r="G359" t="s">
        <v>161</v>
      </c>
      <c r="H359">
        <v>1</v>
      </c>
      <c r="I359" s="21">
        <v>31261</v>
      </c>
      <c r="J359">
        <v>20</v>
      </c>
      <c r="K359" s="21">
        <v>6252.2</v>
      </c>
      <c r="L359" s="21">
        <v>25008.799999999999</v>
      </c>
      <c r="M359" s="21">
        <v>15805.21</v>
      </c>
      <c r="N359" s="21">
        <v>9203.59</v>
      </c>
      <c r="O359" t="s">
        <v>49</v>
      </c>
      <c r="P359" s="21">
        <v>211.45</v>
      </c>
      <c r="Q359" t="s">
        <v>73</v>
      </c>
      <c r="R359" t="s">
        <v>31</v>
      </c>
      <c r="S359">
        <v>5</v>
      </c>
      <c r="T359">
        <v>4</v>
      </c>
      <c r="U359" t="s">
        <v>32</v>
      </c>
      <c r="V359" t="s">
        <v>33</v>
      </c>
      <c r="W359">
        <v>1</v>
      </c>
    </row>
    <row r="360" spans="1:23" x14ac:dyDescent="0.25">
      <c r="A360" t="s">
        <v>713</v>
      </c>
      <c r="B360" s="1">
        <v>45725</v>
      </c>
      <c r="C360" t="s">
        <v>714</v>
      </c>
      <c r="D360" t="s">
        <v>97</v>
      </c>
      <c r="E360" t="s">
        <v>36</v>
      </c>
      <c r="F360" t="s">
        <v>86</v>
      </c>
      <c r="G360" t="s">
        <v>87</v>
      </c>
      <c r="H360">
        <v>1</v>
      </c>
      <c r="I360" s="21">
        <v>35712</v>
      </c>
      <c r="J360">
        <v>20</v>
      </c>
      <c r="K360" s="21">
        <v>7142.4</v>
      </c>
      <c r="L360" s="21">
        <v>28569.599999999999</v>
      </c>
      <c r="M360" s="21">
        <v>17702.07</v>
      </c>
      <c r="N360" s="21">
        <v>10867.53</v>
      </c>
      <c r="O360" t="s">
        <v>55</v>
      </c>
      <c r="P360" s="21">
        <v>307.36</v>
      </c>
      <c r="Q360" t="s">
        <v>40</v>
      </c>
      <c r="R360" t="s">
        <v>41</v>
      </c>
      <c r="S360">
        <v>2</v>
      </c>
      <c r="T360">
        <v>2</v>
      </c>
      <c r="U360" t="s">
        <v>32</v>
      </c>
      <c r="V360" t="s">
        <v>33</v>
      </c>
      <c r="W360">
        <v>5</v>
      </c>
    </row>
    <row r="361" spans="1:23" x14ac:dyDescent="0.25">
      <c r="A361" t="s">
        <v>715</v>
      </c>
      <c r="B361" s="1">
        <v>46001</v>
      </c>
      <c r="C361" t="s">
        <v>574</v>
      </c>
      <c r="D361" t="s">
        <v>45</v>
      </c>
      <c r="E361" t="s">
        <v>46</v>
      </c>
      <c r="F361" t="s">
        <v>86</v>
      </c>
      <c r="G361" t="s">
        <v>87</v>
      </c>
      <c r="H361">
        <v>1</v>
      </c>
      <c r="I361" s="21">
        <v>20539</v>
      </c>
      <c r="J361">
        <v>25</v>
      </c>
      <c r="K361" s="21">
        <v>5134.75</v>
      </c>
      <c r="L361" s="21">
        <v>15404.25</v>
      </c>
      <c r="M361" s="21">
        <v>8646.89</v>
      </c>
      <c r="N361" s="21">
        <v>6757.36</v>
      </c>
      <c r="O361" t="s">
        <v>49</v>
      </c>
      <c r="P361" s="21">
        <v>103.13</v>
      </c>
      <c r="Q361" t="s">
        <v>68</v>
      </c>
      <c r="R361" t="s">
        <v>31</v>
      </c>
      <c r="S361">
        <v>5</v>
      </c>
      <c r="T361">
        <v>3</v>
      </c>
      <c r="U361" t="s">
        <v>32</v>
      </c>
      <c r="V361" t="s">
        <v>33</v>
      </c>
      <c r="W361">
        <v>5</v>
      </c>
    </row>
    <row r="362" spans="1:23" x14ac:dyDescent="0.25">
      <c r="A362" t="s">
        <v>716</v>
      </c>
      <c r="B362" s="1">
        <v>45988</v>
      </c>
      <c r="C362" t="s">
        <v>717</v>
      </c>
      <c r="D362" t="s">
        <v>67</v>
      </c>
      <c r="E362" t="s">
        <v>26</v>
      </c>
      <c r="F362" t="s">
        <v>86</v>
      </c>
      <c r="G362" t="s">
        <v>87</v>
      </c>
      <c r="H362">
        <v>3</v>
      </c>
      <c r="I362" s="21">
        <v>53675</v>
      </c>
      <c r="J362">
        <v>0</v>
      </c>
      <c r="K362" s="21">
        <v>0</v>
      </c>
      <c r="L362" s="21">
        <v>161025</v>
      </c>
      <c r="M362" s="21">
        <v>125457.91</v>
      </c>
      <c r="N362" s="21">
        <v>35567.089999999997</v>
      </c>
      <c r="O362" t="s">
        <v>29</v>
      </c>
      <c r="P362" s="21">
        <v>1968.78</v>
      </c>
      <c r="Q362" t="s">
        <v>68</v>
      </c>
      <c r="R362" t="s">
        <v>41</v>
      </c>
      <c r="S362">
        <v>2</v>
      </c>
      <c r="T362">
        <v>3</v>
      </c>
      <c r="U362" t="s">
        <v>56</v>
      </c>
      <c r="V362" t="s">
        <v>33</v>
      </c>
      <c r="W362">
        <v>5</v>
      </c>
    </row>
    <row r="363" spans="1:23" x14ac:dyDescent="0.25">
      <c r="A363" t="s">
        <v>718</v>
      </c>
      <c r="B363" s="1">
        <v>45811</v>
      </c>
      <c r="C363" t="s">
        <v>719</v>
      </c>
      <c r="D363" t="s">
        <v>97</v>
      </c>
      <c r="E363" t="s">
        <v>46</v>
      </c>
      <c r="F363" t="s">
        <v>27</v>
      </c>
      <c r="G363" t="s">
        <v>72</v>
      </c>
      <c r="H363">
        <v>1</v>
      </c>
      <c r="I363" s="21">
        <v>24125</v>
      </c>
      <c r="J363">
        <v>0</v>
      </c>
      <c r="K363" s="21">
        <v>0</v>
      </c>
      <c r="L363" s="21">
        <v>24125</v>
      </c>
      <c r="M363" s="21">
        <v>18174.95</v>
      </c>
      <c r="N363" s="21">
        <v>5950.05</v>
      </c>
      <c r="O363" t="s">
        <v>91</v>
      </c>
      <c r="P363" s="21">
        <v>724.82</v>
      </c>
      <c r="Q363" t="s">
        <v>30</v>
      </c>
      <c r="R363" t="s">
        <v>41</v>
      </c>
      <c r="S363">
        <v>2</v>
      </c>
      <c r="T363">
        <v>6</v>
      </c>
      <c r="U363" t="s">
        <v>32</v>
      </c>
      <c r="V363" t="s">
        <v>42</v>
      </c>
    </row>
    <row r="364" spans="1:23" x14ac:dyDescent="0.25">
      <c r="A364" t="s">
        <v>720</v>
      </c>
      <c r="B364" s="1">
        <v>45892</v>
      </c>
      <c r="C364" t="s">
        <v>618</v>
      </c>
      <c r="D364" t="s">
        <v>97</v>
      </c>
      <c r="E364" t="s">
        <v>46</v>
      </c>
      <c r="F364" t="s">
        <v>27</v>
      </c>
      <c r="G364" t="s">
        <v>113</v>
      </c>
      <c r="H364">
        <v>1</v>
      </c>
      <c r="I364" s="21">
        <v>5780</v>
      </c>
      <c r="J364">
        <v>10</v>
      </c>
      <c r="K364" s="21">
        <v>578</v>
      </c>
      <c r="L364" s="21">
        <v>5202</v>
      </c>
      <c r="M364" s="21">
        <v>3303.26</v>
      </c>
      <c r="N364" s="21">
        <v>1898.74</v>
      </c>
      <c r="O364" t="s">
        <v>49</v>
      </c>
      <c r="P364" s="21">
        <v>226.97</v>
      </c>
      <c r="Q364" t="s">
        <v>83</v>
      </c>
      <c r="R364" t="s">
        <v>41</v>
      </c>
      <c r="S364">
        <v>2</v>
      </c>
      <c r="T364">
        <v>1</v>
      </c>
      <c r="U364" t="s">
        <v>32</v>
      </c>
      <c r="V364" t="s">
        <v>33</v>
      </c>
      <c r="W364">
        <v>1</v>
      </c>
    </row>
    <row r="365" spans="1:23" x14ac:dyDescent="0.25">
      <c r="A365" t="s">
        <v>721</v>
      </c>
      <c r="B365" s="1">
        <v>45819</v>
      </c>
      <c r="C365" t="s">
        <v>722</v>
      </c>
      <c r="D365" t="s">
        <v>97</v>
      </c>
      <c r="E365" t="s">
        <v>46</v>
      </c>
      <c r="F365" t="s">
        <v>47</v>
      </c>
      <c r="G365" t="s">
        <v>64</v>
      </c>
      <c r="H365">
        <v>3</v>
      </c>
      <c r="I365" s="21">
        <v>43281</v>
      </c>
      <c r="J365">
        <v>10</v>
      </c>
      <c r="K365" s="21">
        <v>12984.3</v>
      </c>
      <c r="L365" s="21">
        <v>116858.7</v>
      </c>
      <c r="M365" s="21">
        <v>64521.62</v>
      </c>
      <c r="N365" s="21">
        <v>52337.08</v>
      </c>
      <c r="O365" t="s">
        <v>39</v>
      </c>
      <c r="P365" s="21">
        <v>1129.06</v>
      </c>
      <c r="Q365" t="s">
        <v>68</v>
      </c>
      <c r="R365" t="s">
        <v>31</v>
      </c>
      <c r="S365">
        <v>5</v>
      </c>
      <c r="T365">
        <v>5</v>
      </c>
      <c r="U365" t="s">
        <v>32</v>
      </c>
      <c r="V365" t="s">
        <v>33</v>
      </c>
      <c r="W365">
        <v>5</v>
      </c>
    </row>
    <row r="366" spans="1:23" x14ac:dyDescent="0.25">
      <c r="A366" t="s">
        <v>723</v>
      </c>
      <c r="B366" s="1">
        <v>45695</v>
      </c>
      <c r="C366" t="s">
        <v>514</v>
      </c>
      <c r="D366" t="s">
        <v>25</v>
      </c>
      <c r="E366" t="s">
        <v>46</v>
      </c>
      <c r="F366" t="s">
        <v>37</v>
      </c>
      <c r="G366" t="s">
        <v>38</v>
      </c>
      <c r="H366">
        <v>1</v>
      </c>
      <c r="I366" s="21">
        <v>25921</v>
      </c>
      <c r="J366">
        <v>15</v>
      </c>
      <c r="K366" s="21">
        <v>3888.15</v>
      </c>
      <c r="L366" s="21">
        <v>22032.85</v>
      </c>
      <c r="M366" s="21">
        <v>16431.580000000002</v>
      </c>
      <c r="N366" s="21">
        <v>5601.27</v>
      </c>
      <c r="O366" t="s">
        <v>49</v>
      </c>
      <c r="P366" s="21">
        <v>177.77</v>
      </c>
      <c r="Q366" t="s">
        <v>83</v>
      </c>
      <c r="R366" t="s">
        <v>31</v>
      </c>
      <c r="S366">
        <v>5</v>
      </c>
      <c r="T366">
        <v>4</v>
      </c>
      <c r="U366" t="s">
        <v>32</v>
      </c>
      <c r="V366" t="s">
        <v>50</v>
      </c>
      <c r="W366">
        <v>5</v>
      </c>
    </row>
    <row r="367" spans="1:23" x14ac:dyDescent="0.25">
      <c r="A367" t="s">
        <v>724</v>
      </c>
      <c r="B367" s="1">
        <v>45662</v>
      </c>
      <c r="C367" t="s">
        <v>555</v>
      </c>
      <c r="D367" t="s">
        <v>97</v>
      </c>
      <c r="E367" t="s">
        <v>26</v>
      </c>
      <c r="F367" t="s">
        <v>37</v>
      </c>
      <c r="G367" t="s">
        <v>38</v>
      </c>
      <c r="H367">
        <v>1</v>
      </c>
      <c r="I367" s="21">
        <v>19816</v>
      </c>
      <c r="J367">
        <v>10</v>
      </c>
      <c r="K367" s="21">
        <v>1981.6</v>
      </c>
      <c r="L367" s="21">
        <v>17834.400000000001</v>
      </c>
      <c r="M367" s="21">
        <v>13307.27</v>
      </c>
      <c r="N367" s="21">
        <v>4527.13</v>
      </c>
      <c r="O367" t="s">
        <v>39</v>
      </c>
      <c r="P367" s="21">
        <v>337.88</v>
      </c>
      <c r="Q367" t="s">
        <v>73</v>
      </c>
      <c r="R367" t="s">
        <v>31</v>
      </c>
      <c r="S367">
        <v>5</v>
      </c>
      <c r="T367">
        <v>5</v>
      </c>
      <c r="U367" t="s">
        <v>32</v>
      </c>
      <c r="V367" t="s">
        <v>42</v>
      </c>
    </row>
    <row r="368" spans="1:23" x14ac:dyDescent="0.25">
      <c r="A368" t="s">
        <v>725</v>
      </c>
      <c r="B368" s="1">
        <v>45892</v>
      </c>
      <c r="C368" t="s">
        <v>526</v>
      </c>
      <c r="D368" t="s">
        <v>79</v>
      </c>
      <c r="E368" t="s">
        <v>26</v>
      </c>
      <c r="F368" t="s">
        <v>86</v>
      </c>
      <c r="G368" t="s">
        <v>110</v>
      </c>
      <c r="H368">
        <v>3</v>
      </c>
      <c r="I368" s="21">
        <v>81030</v>
      </c>
      <c r="J368">
        <v>20</v>
      </c>
      <c r="K368" s="21">
        <v>48618</v>
      </c>
      <c r="L368" s="21">
        <v>194472</v>
      </c>
      <c r="M368" s="21">
        <v>124758.59</v>
      </c>
      <c r="N368" s="21">
        <v>69713.41</v>
      </c>
      <c r="O368" t="s">
        <v>55</v>
      </c>
      <c r="P368" s="21">
        <v>888.16</v>
      </c>
      <c r="Q368" t="s">
        <v>40</v>
      </c>
      <c r="R368" t="s">
        <v>31</v>
      </c>
      <c r="S368">
        <v>5</v>
      </c>
      <c r="T368">
        <v>5</v>
      </c>
      <c r="U368" t="s">
        <v>32</v>
      </c>
      <c r="V368" t="s">
        <v>33</v>
      </c>
      <c r="W368">
        <v>3</v>
      </c>
    </row>
    <row r="369" spans="1:23" x14ac:dyDescent="0.25">
      <c r="A369" t="s">
        <v>726</v>
      </c>
      <c r="B369" s="1">
        <v>45976</v>
      </c>
      <c r="C369" t="s">
        <v>565</v>
      </c>
      <c r="D369" t="s">
        <v>124</v>
      </c>
      <c r="E369" t="s">
        <v>46</v>
      </c>
      <c r="F369" t="s">
        <v>47</v>
      </c>
      <c r="G369" t="s">
        <v>105</v>
      </c>
      <c r="H369">
        <v>2</v>
      </c>
      <c r="I369" s="21">
        <v>30676</v>
      </c>
      <c r="J369">
        <v>15</v>
      </c>
      <c r="K369" s="21">
        <v>9202.7999999999993</v>
      </c>
      <c r="L369" s="21">
        <v>52149.2</v>
      </c>
      <c r="M369" s="21">
        <v>40346.699999999997</v>
      </c>
      <c r="N369" s="21">
        <v>11802.5</v>
      </c>
      <c r="O369" t="s">
        <v>55</v>
      </c>
      <c r="P369" s="21">
        <v>1177.24</v>
      </c>
      <c r="Q369" t="s">
        <v>68</v>
      </c>
      <c r="R369" t="s">
        <v>31</v>
      </c>
      <c r="S369">
        <v>5</v>
      </c>
      <c r="T369">
        <v>5</v>
      </c>
      <c r="U369" t="s">
        <v>32</v>
      </c>
      <c r="V369" t="s">
        <v>33</v>
      </c>
      <c r="W369">
        <v>1</v>
      </c>
    </row>
    <row r="370" spans="1:23" x14ac:dyDescent="0.25">
      <c r="A370" t="s">
        <v>727</v>
      </c>
      <c r="B370" s="1">
        <v>45946</v>
      </c>
      <c r="C370" t="s">
        <v>380</v>
      </c>
      <c r="D370" t="s">
        <v>79</v>
      </c>
      <c r="E370" t="s">
        <v>26</v>
      </c>
      <c r="F370" t="s">
        <v>27</v>
      </c>
      <c r="G370" t="s">
        <v>76</v>
      </c>
      <c r="H370">
        <v>1</v>
      </c>
      <c r="I370" s="21">
        <v>12140</v>
      </c>
      <c r="J370">
        <v>15</v>
      </c>
      <c r="K370" s="21">
        <v>1821</v>
      </c>
      <c r="L370" s="21">
        <v>10319</v>
      </c>
      <c r="M370" s="21">
        <v>8451.86</v>
      </c>
      <c r="N370" s="21">
        <v>1867.14</v>
      </c>
      <c r="O370" t="s">
        <v>39</v>
      </c>
      <c r="P370" s="21">
        <v>2094.77</v>
      </c>
      <c r="Q370" t="s">
        <v>68</v>
      </c>
      <c r="R370" t="s">
        <v>41</v>
      </c>
      <c r="S370">
        <v>2</v>
      </c>
      <c r="T370">
        <v>5</v>
      </c>
      <c r="U370" t="s">
        <v>32</v>
      </c>
      <c r="V370" t="s">
        <v>50</v>
      </c>
      <c r="W370">
        <v>4</v>
      </c>
    </row>
    <row r="371" spans="1:23" x14ac:dyDescent="0.25">
      <c r="A371" t="s">
        <v>728</v>
      </c>
      <c r="B371" s="1">
        <v>45709</v>
      </c>
      <c r="C371" t="s">
        <v>729</v>
      </c>
      <c r="D371" t="s">
        <v>67</v>
      </c>
      <c r="E371" t="s">
        <v>36</v>
      </c>
      <c r="F371" t="s">
        <v>37</v>
      </c>
      <c r="G371" t="s">
        <v>161</v>
      </c>
      <c r="H371">
        <v>1</v>
      </c>
      <c r="I371" s="21">
        <v>35021</v>
      </c>
      <c r="J371">
        <v>0</v>
      </c>
      <c r="K371" s="21">
        <v>0</v>
      </c>
      <c r="L371" s="21">
        <v>35021</v>
      </c>
      <c r="M371" s="21">
        <v>26320.17</v>
      </c>
      <c r="N371" s="21">
        <v>8700.83</v>
      </c>
      <c r="O371" t="s">
        <v>91</v>
      </c>
      <c r="P371" s="21">
        <v>1583.68</v>
      </c>
      <c r="Q371" t="s">
        <v>30</v>
      </c>
      <c r="R371" t="s">
        <v>41</v>
      </c>
      <c r="S371">
        <v>2</v>
      </c>
      <c r="T371">
        <v>0</v>
      </c>
      <c r="U371" t="s">
        <v>32</v>
      </c>
      <c r="V371" t="s">
        <v>42</v>
      </c>
    </row>
    <row r="372" spans="1:23" x14ac:dyDescent="0.25">
      <c r="A372" t="s">
        <v>730</v>
      </c>
      <c r="B372" s="1">
        <v>45695</v>
      </c>
      <c r="C372" t="s">
        <v>731</v>
      </c>
      <c r="D372" t="s">
        <v>45</v>
      </c>
      <c r="E372" t="s">
        <v>46</v>
      </c>
      <c r="F372" t="s">
        <v>53</v>
      </c>
      <c r="G372" t="s">
        <v>151</v>
      </c>
      <c r="H372">
        <v>1</v>
      </c>
      <c r="I372" s="21">
        <v>57688</v>
      </c>
      <c r="J372">
        <v>20</v>
      </c>
      <c r="K372" s="21">
        <v>11537.6</v>
      </c>
      <c r="L372" s="21">
        <v>46150.400000000001</v>
      </c>
      <c r="M372" s="21">
        <v>25731.34</v>
      </c>
      <c r="N372" s="21">
        <v>20419.060000000001</v>
      </c>
      <c r="O372" t="s">
        <v>39</v>
      </c>
      <c r="P372" s="21">
        <v>1556.14</v>
      </c>
      <c r="Q372" t="s">
        <v>83</v>
      </c>
      <c r="R372" t="s">
        <v>31</v>
      </c>
      <c r="S372">
        <v>5</v>
      </c>
      <c r="T372">
        <v>5</v>
      </c>
      <c r="U372" t="s">
        <v>32</v>
      </c>
      <c r="V372" t="s">
        <v>33</v>
      </c>
      <c r="W372">
        <v>5</v>
      </c>
    </row>
    <row r="373" spans="1:23" x14ac:dyDescent="0.25">
      <c r="A373" t="s">
        <v>732</v>
      </c>
      <c r="B373" s="1">
        <v>45933</v>
      </c>
      <c r="C373" t="s">
        <v>682</v>
      </c>
      <c r="D373" t="s">
        <v>154</v>
      </c>
      <c r="E373" t="s">
        <v>26</v>
      </c>
      <c r="F373" t="s">
        <v>86</v>
      </c>
      <c r="G373" t="s">
        <v>94</v>
      </c>
      <c r="H373">
        <v>1</v>
      </c>
      <c r="I373" s="21">
        <v>11856</v>
      </c>
      <c r="J373">
        <v>10</v>
      </c>
      <c r="K373" s="21">
        <v>1185.5999999999999</v>
      </c>
      <c r="L373" s="21">
        <v>10670.4</v>
      </c>
      <c r="M373" s="21">
        <v>7498.69</v>
      </c>
      <c r="N373" s="21">
        <v>3171.71</v>
      </c>
      <c r="O373" t="s">
        <v>49</v>
      </c>
      <c r="P373" s="21">
        <v>425.51</v>
      </c>
      <c r="Q373" t="s">
        <v>40</v>
      </c>
      <c r="R373" t="s">
        <v>41</v>
      </c>
      <c r="S373">
        <v>2</v>
      </c>
      <c r="T373">
        <v>2</v>
      </c>
      <c r="U373" t="s">
        <v>32</v>
      </c>
      <c r="V373" t="s">
        <v>33</v>
      </c>
      <c r="W373">
        <v>4</v>
      </c>
    </row>
    <row r="374" spans="1:23" x14ac:dyDescent="0.25">
      <c r="A374" t="s">
        <v>733</v>
      </c>
      <c r="B374" s="1">
        <v>45767</v>
      </c>
      <c r="C374" t="s">
        <v>341</v>
      </c>
      <c r="D374" t="s">
        <v>67</v>
      </c>
      <c r="E374" t="s">
        <v>26</v>
      </c>
      <c r="F374" t="s">
        <v>47</v>
      </c>
      <c r="G374" t="s">
        <v>146</v>
      </c>
      <c r="H374">
        <v>1</v>
      </c>
      <c r="I374" s="21">
        <v>28313</v>
      </c>
      <c r="J374">
        <v>15</v>
      </c>
      <c r="K374" s="21">
        <v>4246.95</v>
      </c>
      <c r="L374" s="21">
        <v>24066.05</v>
      </c>
      <c r="M374" s="21">
        <v>14749.17</v>
      </c>
      <c r="N374" s="21">
        <v>9316.8799999999992</v>
      </c>
      <c r="O374" t="s">
        <v>60</v>
      </c>
      <c r="P374" s="21">
        <v>305.39</v>
      </c>
      <c r="Q374" t="s">
        <v>30</v>
      </c>
      <c r="R374" t="s">
        <v>41</v>
      </c>
      <c r="S374">
        <v>2</v>
      </c>
      <c r="T374">
        <v>4</v>
      </c>
      <c r="U374" t="s">
        <v>56</v>
      </c>
      <c r="V374" t="s">
        <v>33</v>
      </c>
      <c r="W374">
        <v>5</v>
      </c>
    </row>
    <row r="375" spans="1:23" x14ac:dyDescent="0.25">
      <c r="A375" t="s">
        <v>734</v>
      </c>
      <c r="B375" s="1">
        <v>45917</v>
      </c>
      <c r="C375" t="s">
        <v>735</v>
      </c>
      <c r="D375" t="s">
        <v>90</v>
      </c>
      <c r="E375" t="s">
        <v>26</v>
      </c>
      <c r="F375" t="s">
        <v>86</v>
      </c>
      <c r="G375" t="s">
        <v>180</v>
      </c>
      <c r="H375">
        <v>2</v>
      </c>
      <c r="I375" s="21">
        <v>22224</v>
      </c>
      <c r="J375">
        <v>5</v>
      </c>
      <c r="K375" s="21">
        <v>2222.4</v>
      </c>
      <c r="L375" s="21">
        <v>42225.599999999999</v>
      </c>
      <c r="M375" s="21">
        <v>34113.870000000003</v>
      </c>
      <c r="N375" s="21">
        <v>8111.73</v>
      </c>
      <c r="O375" t="s">
        <v>29</v>
      </c>
      <c r="P375" s="21">
        <v>1400.03</v>
      </c>
      <c r="Q375" t="s">
        <v>30</v>
      </c>
      <c r="R375" t="s">
        <v>31</v>
      </c>
      <c r="S375">
        <v>5</v>
      </c>
      <c r="T375">
        <v>4</v>
      </c>
      <c r="U375" t="s">
        <v>32</v>
      </c>
      <c r="V375" t="s">
        <v>42</v>
      </c>
    </row>
    <row r="376" spans="1:23" x14ac:dyDescent="0.25">
      <c r="A376" t="s">
        <v>736</v>
      </c>
      <c r="B376" s="1">
        <v>45793</v>
      </c>
      <c r="C376" t="s">
        <v>737</v>
      </c>
      <c r="D376" t="s">
        <v>97</v>
      </c>
      <c r="E376" t="s">
        <v>36</v>
      </c>
      <c r="F376" t="s">
        <v>37</v>
      </c>
      <c r="G376" t="s">
        <v>224</v>
      </c>
      <c r="H376">
        <v>1</v>
      </c>
      <c r="I376" s="21">
        <v>9547</v>
      </c>
      <c r="J376">
        <v>25</v>
      </c>
      <c r="K376" s="21">
        <v>2386.75</v>
      </c>
      <c r="L376" s="21">
        <v>7160.25</v>
      </c>
      <c r="M376" s="21">
        <v>5111.3500000000004</v>
      </c>
      <c r="N376" s="21">
        <v>2048.9</v>
      </c>
      <c r="O376" t="s">
        <v>91</v>
      </c>
      <c r="P376" s="21">
        <v>2182.54</v>
      </c>
      <c r="Q376" t="s">
        <v>83</v>
      </c>
      <c r="R376" t="s">
        <v>31</v>
      </c>
      <c r="S376">
        <v>5</v>
      </c>
      <c r="T376">
        <v>9</v>
      </c>
      <c r="U376" t="s">
        <v>56</v>
      </c>
      <c r="V376" t="s">
        <v>33</v>
      </c>
      <c r="W376">
        <v>4</v>
      </c>
    </row>
    <row r="377" spans="1:23" x14ac:dyDescent="0.25">
      <c r="A377" t="s">
        <v>738</v>
      </c>
      <c r="B377" s="1">
        <v>45725</v>
      </c>
      <c r="C377" t="s">
        <v>96</v>
      </c>
      <c r="D377" t="s">
        <v>71</v>
      </c>
      <c r="E377" t="s">
        <v>36</v>
      </c>
      <c r="F377" t="s">
        <v>86</v>
      </c>
      <c r="G377" t="s">
        <v>127</v>
      </c>
      <c r="H377">
        <v>1</v>
      </c>
      <c r="I377" s="21">
        <v>21026</v>
      </c>
      <c r="J377">
        <v>0</v>
      </c>
      <c r="K377" s="21">
        <v>0</v>
      </c>
      <c r="L377" s="21">
        <v>21026</v>
      </c>
      <c r="M377" s="21">
        <v>13184.25</v>
      </c>
      <c r="N377" s="21">
        <v>7841.75</v>
      </c>
      <c r="O377" t="s">
        <v>55</v>
      </c>
      <c r="P377" s="21">
        <v>406.15</v>
      </c>
      <c r="Q377" t="s">
        <v>73</v>
      </c>
      <c r="R377" t="s">
        <v>41</v>
      </c>
      <c r="S377">
        <v>2</v>
      </c>
      <c r="T377">
        <v>1</v>
      </c>
      <c r="U377" t="s">
        <v>32</v>
      </c>
      <c r="V377" t="s">
        <v>33</v>
      </c>
      <c r="W377">
        <v>5</v>
      </c>
    </row>
    <row r="378" spans="1:23" x14ac:dyDescent="0.25">
      <c r="A378" t="s">
        <v>739</v>
      </c>
      <c r="B378" s="1">
        <v>45836</v>
      </c>
      <c r="C378" t="s">
        <v>148</v>
      </c>
      <c r="D378" t="s">
        <v>45</v>
      </c>
      <c r="E378" t="s">
        <v>46</v>
      </c>
      <c r="F378" t="s">
        <v>27</v>
      </c>
      <c r="G378" t="s">
        <v>76</v>
      </c>
      <c r="H378">
        <v>2</v>
      </c>
      <c r="I378" s="21">
        <v>13987</v>
      </c>
      <c r="J378">
        <v>15</v>
      </c>
      <c r="K378" s="21">
        <v>4196.1000000000004</v>
      </c>
      <c r="L378" s="21">
        <v>23777.9</v>
      </c>
      <c r="M378" s="21">
        <v>18811.009999999998</v>
      </c>
      <c r="N378" s="21">
        <v>4966.8900000000003</v>
      </c>
      <c r="O378" t="s">
        <v>39</v>
      </c>
      <c r="P378" s="21">
        <v>2268.85</v>
      </c>
      <c r="Q378" t="s">
        <v>83</v>
      </c>
      <c r="R378" t="s">
        <v>41</v>
      </c>
      <c r="S378">
        <v>2</v>
      </c>
      <c r="T378">
        <v>3</v>
      </c>
      <c r="U378" t="s">
        <v>56</v>
      </c>
      <c r="V378" t="s">
        <v>33</v>
      </c>
      <c r="W378">
        <v>5</v>
      </c>
    </row>
    <row r="379" spans="1:23" x14ac:dyDescent="0.25">
      <c r="A379" t="s">
        <v>740</v>
      </c>
      <c r="B379" s="1">
        <v>45693</v>
      </c>
      <c r="C379" t="s">
        <v>671</v>
      </c>
      <c r="D379" t="s">
        <v>67</v>
      </c>
      <c r="E379" t="s">
        <v>26</v>
      </c>
      <c r="F379" t="s">
        <v>47</v>
      </c>
      <c r="G379" t="s">
        <v>146</v>
      </c>
      <c r="H379">
        <v>1</v>
      </c>
      <c r="I379" s="21">
        <v>24648</v>
      </c>
      <c r="J379">
        <v>25</v>
      </c>
      <c r="K379" s="21">
        <v>6162</v>
      </c>
      <c r="L379" s="21">
        <v>18486</v>
      </c>
      <c r="M379" s="21">
        <v>12199.11</v>
      </c>
      <c r="N379" s="21">
        <v>6286.89</v>
      </c>
      <c r="O379" t="s">
        <v>29</v>
      </c>
      <c r="P379" s="21">
        <v>1657.14</v>
      </c>
      <c r="Q379" t="s">
        <v>83</v>
      </c>
      <c r="R379" t="s">
        <v>31</v>
      </c>
      <c r="S379">
        <v>5</v>
      </c>
      <c r="T379">
        <v>5</v>
      </c>
      <c r="U379" t="s">
        <v>32</v>
      </c>
      <c r="V379" t="s">
        <v>33</v>
      </c>
      <c r="W379">
        <v>4</v>
      </c>
    </row>
    <row r="380" spans="1:23" x14ac:dyDescent="0.25">
      <c r="A380" t="s">
        <v>741</v>
      </c>
      <c r="B380" s="1">
        <v>45783</v>
      </c>
      <c r="C380" t="s">
        <v>742</v>
      </c>
      <c r="D380" t="s">
        <v>124</v>
      </c>
      <c r="E380" t="s">
        <v>26</v>
      </c>
      <c r="F380" t="s">
        <v>86</v>
      </c>
      <c r="G380" t="s">
        <v>110</v>
      </c>
      <c r="H380">
        <v>1</v>
      </c>
      <c r="I380" s="21">
        <v>64455</v>
      </c>
      <c r="J380">
        <v>5</v>
      </c>
      <c r="K380" s="21">
        <v>3222.75</v>
      </c>
      <c r="L380" s="21">
        <v>61232.25</v>
      </c>
      <c r="M380" s="21">
        <v>46620.89</v>
      </c>
      <c r="N380" s="21">
        <v>14611.36</v>
      </c>
      <c r="O380" t="s">
        <v>29</v>
      </c>
      <c r="P380" s="21">
        <v>2466.21</v>
      </c>
      <c r="Q380" t="s">
        <v>68</v>
      </c>
      <c r="R380" t="s">
        <v>41</v>
      </c>
      <c r="S380">
        <v>2</v>
      </c>
      <c r="T380">
        <v>6</v>
      </c>
      <c r="U380" t="s">
        <v>56</v>
      </c>
      <c r="V380" t="s">
        <v>33</v>
      </c>
      <c r="W380">
        <v>5</v>
      </c>
    </row>
    <row r="381" spans="1:23" x14ac:dyDescent="0.25">
      <c r="A381" t="s">
        <v>743</v>
      </c>
      <c r="B381" s="1">
        <v>45847</v>
      </c>
      <c r="C381" t="s">
        <v>744</v>
      </c>
      <c r="D381" t="s">
        <v>67</v>
      </c>
      <c r="E381" t="s">
        <v>46</v>
      </c>
      <c r="F381" t="s">
        <v>37</v>
      </c>
      <c r="G381" t="s">
        <v>100</v>
      </c>
      <c r="H381">
        <v>1</v>
      </c>
      <c r="I381" s="21">
        <v>14969</v>
      </c>
      <c r="J381">
        <v>0</v>
      </c>
      <c r="K381" s="21">
        <v>0</v>
      </c>
      <c r="L381" s="21">
        <v>14969</v>
      </c>
      <c r="M381" s="21">
        <v>8476.16</v>
      </c>
      <c r="N381" s="21">
        <v>6492.84</v>
      </c>
      <c r="O381" t="s">
        <v>55</v>
      </c>
      <c r="P381" s="21">
        <v>777.04</v>
      </c>
      <c r="Q381" t="s">
        <v>30</v>
      </c>
      <c r="R381" t="s">
        <v>41</v>
      </c>
      <c r="S381">
        <v>2</v>
      </c>
      <c r="T381">
        <v>1</v>
      </c>
      <c r="U381" t="s">
        <v>32</v>
      </c>
      <c r="V381" t="s">
        <v>33</v>
      </c>
      <c r="W381">
        <v>5</v>
      </c>
    </row>
    <row r="382" spans="1:23" x14ac:dyDescent="0.25">
      <c r="A382" t="s">
        <v>745</v>
      </c>
      <c r="B382" s="1">
        <v>45803</v>
      </c>
      <c r="C382" t="s">
        <v>199</v>
      </c>
      <c r="D382" t="s">
        <v>97</v>
      </c>
      <c r="E382" t="s">
        <v>46</v>
      </c>
      <c r="F382" t="s">
        <v>86</v>
      </c>
      <c r="G382" t="s">
        <v>87</v>
      </c>
      <c r="H382">
        <v>2</v>
      </c>
      <c r="I382" s="21">
        <v>45405</v>
      </c>
      <c r="J382">
        <v>0</v>
      </c>
      <c r="K382" s="21">
        <v>0</v>
      </c>
      <c r="L382" s="21">
        <v>90810</v>
      </c>
      <c r="M382" s="21">
        <v>70308.23</v>
      </c>
      <c r="N382" s="21">
        <v>20501.77</v>
      </c>
      <c r="O382" t="s">
        <v>39</v>
      </c>
      <c r="P382" s="21">
        <v>1604.02</v>
      </c>
      <c r="Q382" t="s">
        <v>73</v>
      </c>
      <c r="R382" t="s">
        <v>41</v>
      </c>
      <c r="S382">
        <v>2</v>
      </c>
      <c r="T382">
        <v>3</v>
      </c>
      <c r="U382" t="s">
        <v>32</v>
      </c>
      <c r="V382" t="s">
        <v>50</v>
      </c>
      <c r="W382">
        <v>2</v>
      </c>
    </row>
    <row r="383" spans="1:23" x14ac:dyDescent="0.25">
      <c r="A383" t="s">
        <v>746</v>
      </c>
      <c r="B383" s="1">
        <v>45738</v>
      </c>
      <c r="C383" t="s">
        <v>747</v>
      </c>
      <c r="D383" t="s">
        <v>63</v>
      </c>
      <c r="E383" t="s">
        <v>26</v>
      </c>
      <c r="F383" t="s">
        <v>86</v>
      </c>
      <c r="G383" t="s">
        <v>94</v>
      </c>
      <c r="H383">
        <v>1</v>
      </c>
      <c r="I383" s="21">
        <v>84579</v>
      </c>
      <c r="J383">
        <v>0</v>
      </c>
      <c r="K383" s="21">
        <v>0</v>
      </c>
      <c r="L383" s="21">
        <v>84579</v>
      </c>
      <c r="M383" s="21">
        <v>61280.84</v>
      </c>
      <c r="N383" s="21">
        <v>23298.16</v>
      </c>
      <c r="O383" t="s">
        <v>91</v>
      </c>
      <c r="P383" s="21">
        <v>2273.3200000000002</v>
      </c>
      <c r="Q383" t="s">
        <v>68</v>
      </c>
      <c r="R383" t="s">
        <v>41</v>
      </c>
      <c r="S383">
        <v>2</v>
      </c>
      <c r="T383">
        <v>1</v>
      </c>
      <c r="U383" t="s">
        <v>32</v>
      </c>
      <c r="V383" t="s">
        <v>33</v>
      </c>
      <c r="W383">
        <v>1</v>
      </c>
    </row>
    <row r="384" spans="1:23" x14ac:dyDescent="0.25">
      <c r="A384" t="s">
        <v>748</v>
      </c>
      <c r="B384" s="1">
        <v>45882</v>
      </c>
      <c r="C384" t="s">
        <v>142</v>
      </c>
      <c r="D384" t="s">
        <v>71</v>
      </c>
      <c r="E384" t="s">
        <v>46</v>
      </c>
      <c r="F384" t="s">
        <v>27</v>
      </c>
      <c r="G384" t="s">
        <v>28</v>
      </c>
      <c r="H384">
        <v>3</v>
      </c>
      <c r="I384" s="21">
        <v>4514</v>
      </c>
      <c r="J384">
        <v>0</v>
      </c>
      <c r="K384" s="21">
        <v>0</v>
      </c>
      <c r="L384" s="21">
        <v>13542</v>
      </c>
      <c r="M384" s="21">
        <v>8738.77</v>
      </c>
      <c r="N384" s="21">
        <v>4803.2299999999996</v>
      </c>
      <c r="O384" t="s">
        <v>29</v>
      </c>
      <c r="P384" s="21">
        <v>607.53</v>
      </c>
      <c r="Q384" t="s">
        <v>83</v>
      </c>
      <c r="R384" t="s">
        <v>41</v>
      </c>
      <c r="S384">
        <v>2</v>
      </c>
      <c r="T384">
        <v>1</v>
      </c>
      <c r="U384" t="s">
        <v>32</v>
      </c>
      <c r="V384" t="s">
        <v>33</v>
      </c>
      <c r="W384">
        <v>4</v>
      </c>
    </row>
    <row r="385" spans="1:23" x14ac:dyDescent="0.25">
      <c r="A385" t="s">
        <v>749</v>
      </c>
      <c r="B385" s="1">
        <v>45936</v>
      </c>
      <c r="C385" t="s">
        <v>121</v>
      </c>
      <c r="D385" t="s">
        <v>124</v>
      </c>
      <c r="E385" t="s">
        <v>46</v>
      </c>
      <c r="F385" t="s">
        <v>53</v>
      </c>
      <c r="G385" t="s">
        <v>54</v>
      </c>
      <c r="H385">
        <v>2</v>
      </c>
      <c r="I385" s="21">
        <v>108407</v>
      </c>
      <c r="J385">
        <v>10</v>
      </c>
      <c r="K385" s="21">
        <v>21681.4</v>
      </c>
      <c r="L385" s="21">
        <v>195132.6</v>
      </c>
      <c r="M385" s="21">
        <v>149914.9</v>
      </c>
      <c r="N385" s="21">
        <v>45217.7</v>
      </c>
      <c r="O385" t="s">
        <v>60</v>
      </c>
      <c r="P385" s="21">
        <v>2424.7800000000002</v>
      </c>
      <c r="Q385" t="s">
        <v>83</v>
      </c>
      <c r="R385" t="s">
        <v>31</v>
      </c>
      <c r="S385">
        <v>5</v>
      </c>
      <c r="T385">
        <v>3</v>
      </c>
      <c r="U385" t="s">
        <v>32</v>
      </c>
      <c r="V385" t="s">
        <v>33</v>
      </c>
      <c r="W385">
        <v>4</v>
      </c>
    </row>
    <row r="386" spans="1:23" x14ac:dyDescent="0.25">
      <c r="A386" t="s">
        <v>750</v>
      </c>
      <c r="B386" s="1">
        <v>46018</v>
      </c>
      <c r="C386" t="s">
        <v>608</v>
      </c>
      <c r="D386" t="s">
        <v>90</v>
      </c>
      <c r="E386" t="s">
        <v>36</v>
      </c>
      <c r="F386" t="s">
        <v>86</v>
      </c>
      <c r="G386" t="s">
        <v>127</v>
      </c>
      <c r="H386">
        <v>2</v>
      </c>
      <c r="I386" s="21">
        <v>80593</v>
      </c>
      <c r="J386">
        <v>0</v>
      </c>
      <c r="K386" s="21">
        <v>0</v>
      </c>
      <c r="L386" s="21">
        <v>161186</v>
      </c>
      <c r="M386" s="21">
        <v>112666.11</v>
      </c>
      <c r="N386" s="21">
        <v>48519.89</v>
      </c>
      <c r="O386" t="s">
        <v>91</v>
      </c>
      <c r="P386" s="21">
        <v>494.97</v>
      </c>
      <c r="Q386" t="s">
        <v>83</v>
      </c>
      <c r="R386" t="s">
        <v>31</v>
      </c>
      <c r="S386">
        <v>5</v>
      </c>
      <c r="T386">
        <v>0</v>
      </c>
      <c r="U386" t="s">
        <v>32</v>
      </c>
      <c r="V386" t="s">
        <v>50</v>
      </c>
      <c r="W386">
        <v>5</v>
      </c>
    </row>
    <row r="387" spans="1:23" x14ac:dyDescent="0.25">
      <c r="A387" t="s">
        <v>751</v>
      </c>
      <c r="B387" s="1">
        <v>45812</v>
      </c>
      <c r="C387" t="s">
        <v>185</v>
      </c>
      <c r="D387" t="s">
        <v>124</v>
      </c>
      <c r="E387" t="s">
        <v>26</v>
      </c>
      <c r="F387" t="s">
        <v>47</v>
      </c>
      <c r="G387" t="s">
        <v>48</v>
      </c>
      <c r="H387">
        <v>1</v>
      </c>
      <c r="I387" s="21">
        <v>8515</v>
      </c>
      <c r="J387">
        <v>25</v>
      </c>
      <c r="K387" s="21">
        <v>2128.75</v>
      </c>
      <c r="L387" s="21">
        <v>6386.25</v>
      </c>
      <c r="M387" s="21">
        <v>5035.16</v>
      </c>
      <c r="N387" s="21">
        <v>1351.09</v>
      </c>
      <c r="O387" t="s">
        <v>29</v>
      </c>
      <c r="P387" s="21">
        <v>1748.13</v>
      </c>
      <c r="Q387" t="s">
        <v>83</v>
      </c>
      <c r="R387" t="s">
        <v>41</v>
      </c>
      <c r="S387">
        <v>2</v>
      </c>
      <c r="T387">
        <v>2</v>
      </c>
      <c r="U387" t="s">
        <v>32</v>
      </c>
      <c r="V387" t="s">
        <v>33</v>
      </c>
      <c r="W387">
        <v>5</v>
      </c>
    </row>
    <row r="388" spans="1:23" x14ac:dyDescent="0.25">
      <c r="A388" t="s">
        <v>752</v>
      </c>
      <c r="B388" s="1">
        <v>45971</v>
      </c>
      <c r="C388" t="s">
        <v>753</v>
      </c>
      <c r="D388" t="s">
        <v>63</v>
      </c>
      <c r="E388" t="s">
        <v>26</v>
      </c>
      <c r="F388" t="s">
        <v>86</v>
      </c>
      <c r="G388" t="s">
        <v>127</v>
      </c>
      <c r="H388">
        <v>1</v>
      </c>
      <c r="I388" s="21">
        <v>11697</v>
      </c>
      <c r="J388">
        <v>0</v>
      </c>
      <c r="K388" s="21">
        <v>0</v>
      </c>
      <c r="L388" s="21">
        <v>11697</v>
      </c>
      <c r="M388" s="21">
        <v>7311.12</v>
      </c>
      <c r="N388" s="21">
        <v>4385.88</v>
      </c>
      <c r="O388" t="s">
        <v>55</v>
      </c>
      <c r="P388" s="21">
        <v>211.87</v>
      </c>
      <c r="Q388" t="s">
        <v>68</v>
      </c>
      <c r="R388" t="s">
        <v>41</v>
      </c>
      <c r="S388">
        <v>2</v>
      </c>
      <c r="T388">
        <v>2</v>
      </c>
      <c r="U388" t="s">
        <v>32</v>
      </c>
      <c r="V388" t="s">
        <v>33</v>
      </c>
      <c r="W388">
        <v>3</v>
      </c>
    </row>
    <row r="389" spans="1:23" x14ac:dyDescent="0.25">
      <c r="A389" t="s">
        <v>754</v>
      </c>
      <c r="B389" s="1">
        <v>45992</v>
      </c>
      <c r="C389" t="s">
        <v>310</v>
      </c>
      <c r="D389" t="s">
        <v>90</v>
      </c>
      <c r="E389" t="s">
        <v>46</v>
      </c>
      <c r="F389" t="s">
        <v>86</v>
      </c>
      <c r="G389" t="s">
        <v>180</v>
      </c>
      <c r="H389">
        <v>2</v>
      </c>
      <c r="I389" s="21">
        <v>31805</v>
      </c>
      <c r="J389">
        <v>10</v>
      </c>
      <c r="K389" s="21">
        <v>6361</v>
      </c>
      <c r="L389" s="21">
        <v>57249</v>
      </c>
      <c r="M389" s="21">
        <v>32458.35</v>
      </c>
      <c r="N389" s="21">
        <v>24790.65</v>
      </c>
      <c r="O389" t="s">
        <v>49</v>
      </c>
      <c r="P389" s="21">
        <v>244.38</v>
      </c>
      <c r="Q389" t="s">
        <v>83</v>
      </c>
      <c r="R389" t="s">
        <v>31</v>
      </c>
      <c r="S389">
        <v>5</v>
      </c>
      <c r="T389">
        <v>0</v>
      </c>
      <c r="U389" t="s">
        <v>32</v>
      </c>
      <c r="V389" t="s">
        <v>50</v>
      </c>
      <c r="W389">
        <v>4</v>
      </c>
    </row>
    <row r="390" spans="1:23" x14ac:dyDescent="0.25">
      <c r="A390" t="s">
        <v>755</v>
      </c>
      <c r="B390" s="1">
        <v>45928</v>
      </c>
      <c r="C390" t="s">
        <v>756</v>
      </c>
      <c r="D390" t="s">
        <v>124</v>
      </c>
      <c r="E390" t="s">
        <v>26</v>
      </c>
      <c r="F390" t="s">
        <v>37</v>
      </c>
      <c r="G390" t="s">
        <v>313</v>
      </c>
      <c r="H390">
        <v>3</v>
      </c>
      <c r="I390" s="21">
        <v>19515</v>
      </c>
      <c r="J390">
        <v>0</v>
      </c>
      <c r="K390" s="21">
        <v>0</v>
      </c>
      <c r="L390" s="21">
        <v>58545</v>
      </c>
      <c r="M390" s="21">
        <v>44462.14</v>
      </c>
      <c r="N390" s="21">
        <v>14082.86</v>
      </c>
      <c r="O390" t="s">
        <v>55</v>
      </c>
      <c r="P390" s="21">
        <v>420.04</v>
      </c>
      <c r="Q390" t="s">
        <v>30</v>
      </c>
      <c r="R390" t="s">
        <v>41</v>
      </c>
      <c r="S390">
        <v>2</v>
      </c>
      <c r="T390">
        <v>6</v>
      </c>
      <c r="U390" t="s">
        <v>32</v>
      </c>
      <c r="V390" t="s">
        <v>42</v>
      </c>
    </row>
    <row r="391" spans="1:23" x14ac:dyDescent="0.25">
      <c r="A391" t="s">
        <v>757</v>
      </c>
      <c r="B391" s="1">
        <v>45662</v>
      </c>
      <c r="C391" t="s">
        <v>758</v>
      </c>
      <c r="D391" t="s">
        <v>90</v>
      </c>
      <c r="E391" t="s">
        <v>46</v>
      </c>
      <c r="F391" t="s">
        <v>37</v>
      </c>
      <c r="G391" t="s">
        <v>224</v>
      </c>
      <c r="H391">
        <v>3</v>
      </c>
      <c r="I391" s="21">
        <v>32961</v>
      </c>
      <c r="J391">
        <v>0</v>
      </c>
      <c r="K391" s="21">
        <v>0</v>
      </c>
      <c r="L391" s="21">
        <v>98883</v>
      </c>
      <c r="M391" s="21">
        <v>62434.45</v>
      </c>
      <c r="N391" s="21">
        <v>36448.550000000003</v>
      </c>
      <c r="O391" t="s">
        <v>55</v>
      </c>
      <c r="P391" s="21">
        <v>1758.4</v>
      </c>
      <c r="Q391" t="s">
        <v>40</v>
      </c>
      <c r="R391" t="s">
        <v>41</v>
      </c>
      <c r="S391">
        <v>2</v>
      </c>
      <c r="T391">
        <v>0</v>
      </c>
      <c r="U391" t="s">
        <v>32</v>
      </c>
      <c r="V391" t="s">
        <v>50</v>
      </c>
      <c r="W391">
        <v>1</v>
      </c>
    </row>
    <row r="392" spans="1:23" x14ac:dyDescent="0.25">
      <c r="A392" t="s">
        <v>759</v>
      </c>
      <c r="B392" s="1">
        <v>45999</v>
      </c>
      <c r="C392" t="s">
        <v>760</v>
      </c>
      <c r="D392" t="s">
        <v>71</v>
      </c>
      <c r="E392" t="s">
        <v>26</v>
      </c>
      <c r="F392" t="s">
        <v>53</v>
      </c>
      <c r="G392" t="s">
        <v>59</v>
      </c>
      <c r="H392">
        <v>1</v>
      </c>
      <c r="I392" s="21">
        <v>87587</v>
      </c>
      <c r="J392">
        <v>20</v>
      </c>
      <c r="K392" s="21">
        <v>17517.400000000001</v>
      </c>
      <c r="L392" s="21">
        <v>70069.600000000006</v>
      </c>
      <c r="M392" s="21">
        <v>53581.84</v>
      </c>
      <c r="N392" s="21">
        <v>16487.759999999998</v>
      </c>
      <c r="O392" t="s">
        <v>55</v>
      </c>
      <c r="P392" s="21">
        <v>1697.12</v>
      </c>
      <c r="Q392" t="s">
        <v>83</v>
      </c>
      <c r="R392" t="s">
        <v>31</v>
      </c>
      <c r="S392">
        <v>5</v>
      </c>
      <c r="T392">
        <v>2</v>
      </c>
      <c r="U392" t="s">
        <v>32</v>
      </c>
      <c r="V392" t="s">
        <v>42</v>
      </c>
    </row>
    <row r="393" spans="1:23" x14ac:dyDescent="0.25">
      <c r="A393" t="s">
        <v>761</v>
      </c>
      <c r="B393" s="1">
        <v>45941</v>
      </c>
      <c r="C393" t="s">
        <v>762</v>
      </c>
      <c r="D393" t="s">
        <v>45</v>
      </c>
      <c r="E393" t="s">
        <v>46</v>
      </c>
      <c r="F393" t="s">
        <v>27</v>
      </c>
      <c r="G393" t="s">
        <v>28</v>
      </c>
      <c r="H393">
        <v>1</v>
      </c>
      <c r="I393" s="21">
        <v>29367</v>
      </c>
      <c r="J393">
        <v>0</v>
      </c>
      <c r="K393" s="21">
        <v>0</v>
      </c>
      <c r="L393" s="21">
        <v>29367</v>
      </c>
      <c r="M393" s="21">
        <v>21205.56</v>
      </c>
      <c r="N393" s="21">
        <v>8161.44</v>
      </c>
      <c r="O393" t="s">
        <v>91</v>
      </c>
      <c r="P393" s="21">
        <v>1307.22</v>
      </c>
      <c r="Q393" t="s">
        <v>40</v>
      </c>
      <c r="R393" t="s">
        <v>41</v>
      </c>
      <c r="S393">
        <v>2</v>
      </c>
      <c r="T393">
        <v>2</v>
      </c>
      <c r="U393" t="s">
        <v>32</v>
      </c>
      <c r="V393" t="s">
        <v>33</v>
      </c>
      <c r="W393">
        <v>4</v>
      </c>
    </row>
    <row r="394" spans="1:23" x14ac:dyDescent="0.25">
      <c r="A394" t="s">
        <v>763</v>
      </c>
      <c r="B394" s="1">
        <v>45811</v>
      </c>
      <c r="C394" t="s">
        <v>182</v>
      </c>
      <c r="D394" t="s">
        <v>154</v>
      </c>
      <c r="E394" t="s">
        <v>46</v>
      </c>
      <c r="F394" t="s">
        <v>27</v>
      </c>
      <c r="G394" t="s">
        <v>76</v>
      </c>
      <c r="H394">
        <v>1</v>
      </c>
      <c r="I394" s="21">
        <v>13697</v>
      </c>
      <c r="J394">
        <v>0</v>
      </c>
      <c r="K394" s="21">
        <v>0</v>
      </c>
      <c r="L394" s="21">
        <v>13697</v>
      </c>
      <c r="M394" s="21">
        <v>8078.5</v>
      </c>
      <c r="N394" s="21">
        <v>5618.5</v>
      </c>
      <c r="O394" t="s">
        <v>55</v>
      </c>
      <c r="P394" s="21">
        <v>1048.31</v>
      </c>
      <c r="Q394" t="s">
        <v>83</v>
      </c>
      <c r="R394" t="s">
        <v>41</v>
      </c>
      <c r="S394">
        <v>2</v>
      </c>
      <c r="T394">
        <v>1</v>
      </c>
      <c r="U394" t="s">
        <v>32</v>
      </c>
      <c r="V394" t="s">
        <v>33</v>
      </c>
      <c r="W394">
        <v>3</v>
      </c>
    </row>
    <row r="395" spans="1:23" x14ac:dyDescent="0.25">
      <c r="A395" t="s">
        <v>764</v>
      </c>
      <c r="B395" s="1">
        <v>45997</v>
      </c>
      <c r="C395" t="s">
        <v>500</v>
      </c>
      <c r="D395" t="s">
        <v>90</v>
      </c>
      <c r="E395" t="s">
        <v>26</v>
      </c>
      <c r="F395" t="s">
        <v>37</v>
      </c>
      <c r="G395" t="s">
        <v>38</v>
      </c>
      <c r="H395">
        <v>2</v>
      </c>
      <c r="I395" s="21">
        <v>17131</v>
      </c>
      <c r="J395">
        <v>5</v>
      </c>
      <c r="K395" s="21">
        <v>1713.1</v>
      </c>
      <c r="L395" s="21">
        <v>32548.9</v>
      </c>
      <c r="M395" s="21">
        <v>24802.95</v>
      </c>
      <c r="N395" s="21">
        <v>7745.95</v>
      </c>
      <c r="O395" t="s">
        <v>91</v>
      </c>
      <c r="P395" s="21">
        <v>1294.17</v>
      </c>
      <c r="Q395" t="s">
        <v>30</v>
      </c>
      <c r="R395" t="s">
        <v>31</v>
      </c>
      <c r="S395">
        <v>5</v>
      </c>
      <c r="T395">
        <v>8</v>
      </c>
      <c r="U395" t="s">
        <v>56</v>
      </c>
      <c r="V395" t="s">
        <v>33</v>
      </c>
      <c r="W395">
        <v>5</v>
      </c>
    </row>
    <row r="396" spans="1:23" x14ac:dyDescent="0.25">
      <c r="A396" t="s">
        <v>765</v>
      </c>
      <c r="B396" s="1">
        <v>45711</v>
      </c>
      <c r="C396" t="s">
        <v>766</v>
      </c>
      <c r="D396" t="s">
        <v>45</v>
      </c>
      <c r="E396" t="s">
        <v>26</v>
      </c>
      <c r="F396" t="s">
        <v>37</v>
      </c>
      <c r="G396" t="s">
        <v>313</v>
      </c>
      <c r="H396">
        <v>1</v>
      </c>
      <c r="I396" s="21">
        <v>6765</v>
      </c>
      <c r="J396">
        <v>20</v>
      </c>
      <c r="K396" s="21">
        <v>1353</v>
      </c>
      <c r="L396" s="21">
        <v>5412</v>
      </c>
      <c r="M396" s="21">
        <v>3297.2</v>
      </c>
      <c r="N396" s="21">
        <v>2114.8000000000002</v>
      </c>
      <c r="O396" t="s">
        <v>39</v>
      </c>
      <c r="P396" s="21">
        <v>729.63</v>
      </c>
      <c r="Q396" t="s">
        <v>40</v>
      </c>
      <c r="R396" t="s">
        <v>31</v>
      </c>
      <c r="S396">
        <v>5</v>
      </c>
      <c r="T396">
        <v>7</v>
      </c>
      <c r="U396" t="s">
        <v>56</v>
      </c>
      <c r="V396" t="s">
        <v>33</v>
      </c>
      <c r="W396">
        <v>5</v>
      </c>
    </row>
    <row r="397" spans="1:23" x14ac:dyDescent="0.25">
      <c r="A397" t="s">
        <v>767</v>
      </c>
      <c r="B397" s="1">
        <v>45726</v>
      </c>
      <c r="C397" t="s">
        <v>768</v>
      </c>
      <c r="D397" t="s">
        <v>25</v>
      </c>
      <c r="E397" t="s">
        <v>46</v>
      </c>
      <c r="F397" t="s">
        <v>47</v>
      </c>
      <c r="G397" t="s">
        <v>146</v>
      </c>
      <c r="H397">
        <v>1</v>
      </c>
      <c r="I397" s="21">
        <v>7440</v>
      </c>
      <c r="J397">
        <v>10</v>
      </c>
      <c r="K397" s="21">
        <v>744</v>
      </c>
      <c r="L397" s="21">
        <v>6696</v>
      </c>
      <c r="M397" s="21">
        <v>3737.07</v>
      </c>
      <c r="N397" s="21">
        <v>2958.93</v>
      </c>
      <c r="O397" t="s">
        <v>49</v>
      </c>
      <c r="P397" s="21">
        <v>248.18</v>
      </c>
      <c r="Q397" t="s">
        <v>40</v>
      </c>
      <c r="R397" t="s">
        <v>31</v>
      </c>
      <c r="S397">
        <v>5</v>
      </c>
      <c r="T397">
        <v>4</v>
      </c>
      <c r="U397" t="s">
        <v>32</v>
      </c>
      <c r="V397" t="s">
        <v>33</v>
      </c>
      <c r="W397">
        <v>3</v>
      </c>
    </row>
    <row r="398" spans="1:23" x14ac:dyDescent="0.25">
      <c r="A398" t="s">
        <v>769</v>
      </c>
      <c r="B398" s="1">
        <v>45793</v>
      </c>
      <c r="C398" t="s">
        <v>770</v>
      </c>
      <c r="D398" t="s">
        <v>124</v>
      </c>
      <c r="E398" t="s">
        <v>46</v>
      </c>
      <c r="F398" t="s">
        <v>86</v>
      </c>
      <c r="G398" t="s">
        <v>180</v>
      </c>
      <c r="H398">
        <v>1</v>
      </c>
      <c r="I398" s="21">
        <v>28843</v>
      </c>
      <c r="J398">
        <v>0</v>
      </c>
      <c r="K398" s="21">
        <v>0</v>
      </c>
      <c r="L398" s="21">
        <v>28843</v>
      </c>
      <c r="M398" s="21">
        <v>17389.919999999998</v>
      </c>
      <c r="N398" s="21">
        <v>11453.08</v>
      </c>
      <c r="O398" t="s">
        <v>91</v>
      </c>
      <c r="P398" s="21">
        <v>248.29</v>
      </c>
      <c r="Q398" t="s">
        <v>68</v>
      </c>
      <c r="R398" t="s">
        <v>41</v>
      </c>
      <c r="S398">
        <v>2</v>
      </c>
      <c r="T398">
        <v>1</v>
      </c>
      <c r="U398" t="s">
        <v>32</v>
      </c>
      <c r="V398" t="s">
        <v>33</v>
      </c>
      <c r="W398">
        <v>1</v>
      </c>
    </row>
    <row r="399" spans="1:23" x14ac:dyDescent="0.25">
      <c r="A399" t="s">
        <v>771</v>
      </c>
      <c r="B399" s="1">
        <v>45717</v>
      </c>
      <c r="C399" t="s">
        <v>772</v>
      </c>
      <c r="D399" t="s">
        <v>124</v>
      </c>
      <c r="E399" t="s">
        <v>26</v>
      </c>
      <c r="F399" t="s">
        <v>27</v>
      </c>
      <c r="G399" t="s">
        <v>164</v>
      </c>
      <c r="H399">
        <v>1</v>
      </c>
      <c r="I399" s="21">
        <v>20766</v>
      </c>
      <c r="J399">
        <v>0</v>
      </c>
      <c r="K399" s="21">
        <v>0</v>
      </c>
      <c r="L399" s="21">
        <v>20766</v>
      </c>
      <c r="M399" s="21">
        <v>12085.67</v>
      </c>
      <c r="N399" s="21">
        <v>8680.33</v>
      </c>
      <c r="O399" t="s">
        <v>39</v>
      </c>
      <c r="P399" s="21">
        <v>1424.88</v>
      </c>
      <c r="Q399" t="s">
        <v>73</v>
      </c>
      <c r="R399" t="s">
        <v>31</v>
      </c>
      <c r="S399">
        <v>5</v>
      </c>
      <c r="T399">
        <v>7</v>
      </c>
      <c r="U399" t="s">
        <v>56</v>
      </c>
      <c r="V399" t="s">
        <v>33</v>
      </c>
      <c r="W399">
        <v>2</v>
      </c>
    </row>
    <row r="400" spans="1:23" x14ac:dyDescent="0.25">
      <c r="A400" t="s">
        <v>773</v>
      </c>
      <c r="B400" s="1">
        <v>45712</v>
      </c>
      <c r="C400" t="s">
        <v>774</v>
      </c>
      <c r="D400" t="s">
        <v>124</v>
      </c>
      <c r="E400" t="s">
        <v>26</v>
      </c>
      <c r="F400" t="s">
        <v>86</v>
      </c>
      <c r="G400" t="s">
        <v>110</v>
      </c>
      <c r="H400">
        <v>2</v>
      </c>
      <c r="I400" s="21">
        <v>25472</v>
      </c>
      <c r="J400">
        <v>0</v>
      </c>
      <c r="K400" s="21">
        <v>0</v>
      </c>
      <c r="L400" s="21">
        <v>50944</v>
      </c>
      <c r="M400" s="21">
        <v>36677.33</v>
      </c>
      <c r="N400" s="21">
        <v>14266.67</v>
      </c>
      <c r="O400" t="s">
        <v>55</v>
      </c>
      <c r="P400" s="21">
        <v>1369.02</v>
      </c>
      <c r="Q400" t="s">
        <v>40</v>
      </c>
      <c r="R400" t="s">
        <v>31</v>
      </c>
      <c r="S400">
        <v>5</v>
      </c>
      <c r="T400">
        <v>4</v>
      </c>
      <c r="U400" t="s">
        <v>32</v>
      </c>
      <c r="V400" t="s">
        <v>33</v>
      </c>
      <c r="W400">
        <v>5</v>
      </c>
    </row>
    <row r="401" spans="1:23" x14ac:dyDescent="0.25">
      <c r="A401" t="s">
        <v>775</v>
      </c>
      <c r="B401" s="1">
        <v>45941</v>
      </c>
      <c r="C401" t="s">
        <v>44</v>
      </c>
      <c r="D401" t="s">
        <v>67</v>
      </c>
      <c r="E401" t="s">
        <v>26</v>
      </c>
      <c r="F401" t="s">
        <v>27</v>
      </c>
      <c r="G401" t="s">
        <v>76</v>
      </c>
      <c r="H401">
        <v>1</v>
      </c>
      <c r="I401" s="21">
        <v>15763</v>
      </c>
      <c r="J401">
        <v>25</v>
      </c>
      <c r="K401" s="21">
        <v>3940.75</v>
      </c>
      <c r="L401" s="21">
        <v>11822.25</v>
      </c>
      <c r="M401" s="21">
        <v>7984.18</v>
      </c>
      <c r="N401" s="21">
        <v>3838.07</v>
      </c>
      <c r="O401" t="s">
        <v>49</v>
      </c>
      <c r="P401" s="21">
        <v>362.53</v>
      </c>
      <c r="Q401" t="s">
        <v>30</v>
      </c>
      <c r="R401" t="s">
        <v>41</v>
      </c>
      <c r="S401">
        <v>2</v>
      </c>
      <c r="T401">
        <v>4</v>
      </c>
      <c r="U401" t="s">
        <v>56</v>
      </c>
      <c r="V401" t="s">
        <v>33</v>
      </c>
      <c r="W401">
        <v>5</v>
      </c>
    </row>
    <row r="402" spans="1:23" x14ac:dyDescent="0.25">
      <c r="A402" t="s">
        <v>776</v>
      </c>
      <c r="B402" s="1">
        <v>45737</v>
      </c>
      <c r="C402" t="s">
        <v>460</v>
      </c>
      <c r="D402" t="s">
        <v>71</v>
      </c>
      <c r="E402" t="s">
        <v>36</v>
      </c>
      <c r="F402" t="s">
        <v>27</v>
      </c>
      <c r="G402" t="s">
        <v>72</v>
      </c>
      <c r="H402">
        <v>2</v>
      </c>
      <c r="I402" s="21">
        <v>10151</v>
      </c>
      <c r="J402">
        <v>5</v>
      </c>
      <c r="K402" s="21">
        <v>1015.1</v>
      </c>
      <c r="L402" s="21">
        <v>19286.900000000001</v>
      </c>
      <c r="M402" s="21">
        <v>12669.43</v>
      </c>
      <c r="N402" s="21">
        <v>6617.47</v>
      </c>
      <c r="O402" t="s">
        <v>49</v>
      </c>
      <c r="P402" s="21">
        <v>307.12</v>
      </c>
      <c r="Q402" t="s">
        <v>73</v>
      </c>
      <c r="R402" t="s">
        <v>41</v>
      </c>
      <c r="S402">
        <v>2</v>
      </c>
      <c r="T402">
        <v>1</v>
      </c>
      <c r="U402" t="s">
        <v>32</v>
      </c>
      <c r="V402" t="s">
        <v>33</v>
      </c>
      <c r="W402">
        <v>4</v>
      </c>
    </row>
    <row r="403" spans="1:23" x14ac:dyDescent="0.25">
      <c r="A403" t="s">
        <v>777</v>
      </c>
      <c r="B403" s="1">
        <v>45797</v>
      </c>
      <c r="C403" t="s">
        <v>560</v>
      </c>
      <c r="D403" t="s">
        <v>154</v>
      </c>
      <c r="E403" t="s">
        <v>46</v>
      </c>
      <c r="F403" t="s">
        <v>86</v>
      </c>
      <c r="G403" t="s">
        <v>110</v>
      </c>
      <c r="H403">
        <v>1</v>
      </c>
      <c r="I403" s="21">
        <v>11392</v>
      </c>
      <c r="J403">
        <v>10</v>
      </c>
      <c r="K403" s="21">
        <v>1139.2</v>
      </c>
      <c r="L403" s="21">
        <v>10252.799999999999</v>
      </c>
      <c r="M403" s="21">
        <v>6818.6</v>
      </c>
      <c r="N403" s="21">
        <v>3434.2</v>
      </c>
      <c r="O403" t="s">
        <v>55</v>
      </c>
      <c r="P403" s="21">
        <v>1045.28</v>
      </c>
      <c r="Q403" t="s">
        <v>30</v>
      </c>
      <c r="R403" t="s">
        <v>41</v>
      </c>
      <c r="S403">
        <v>2</v>
      </c>
      <c r="T403">
        <v>1</v>
      </c>
      <c r="U403" t="s">
        <v>32</v>
      </c>
      <c r="V403" t="s">
        <v>33</v>
      </c>
      <c r="W403">
        <v>4</v>
      </c>
    </row>
    <row r="404" spans="1:23" x14ac:dyDescent="0.25">
      <c r="A404" t="s">
        <v>778</v>
      </c>
      <c r="B404" s="1">
        <v>45802</v>
      </c>
      <c r="C404" t="s">
        <v>779</v>
      </c>
      <c r="D404" t="s">
        <v>90</v>
      </c>
      <c r="E404" t="s">
        <v>46</v>
      </c>
      <c r="F404" t="s">
        <v>86</v>
      </c>
      <c r="G404" t="s">
        <v>94</v>
      </c>
      <c r="H404">
        <v>1</v>
      </c>
      <c r="I404" s="21">
        <v>16802</v>
      </c>
      <c r="J404">
        <v>25</v>
      </c>
      <c r="K404" s="21">
        <v>4200.5</v>
      </c>
      <c r="L404" s="21">
        <v>12601.5</v>
      </c>
      <c r="M404" s="21">
        <v>8790.76</v>
      </c>
      <c r="N404" s="21">
        <v>3810.74</v>
      </c>
      <c r="O404" t="s">
        <v>91</v>
      </c>
      <c r="P404" s="21">
        <v>426.34</v>
      </c>
      <c r="Q404" t="s">
        <v>83</v>
      </c>
      <c r="R404" t="s">
        <v>41</v>
      </c>
      <c r="S404">
        <v>2</v>
      </c>
      <c r="T404">
        <v>2</v>
      </c>
      <c r="U404" t="s">
        <v>32</v>
      </c>
      <c r="V404" t="s">
        <v>33</v>
      </c>
      <c r="W404">
        <v>2</v>
      </c>
    </row>
    <row r="405" spans="1:23" x14ac:dyDescent="0.25">
      <c r="A405" t="s">
        <v>780</v>
      </c>
      <c r="B405" s="1">
        <v>45967</v>
      </c>
      <c r="C405" t="s">
        <v>781</v>
      </c>
      <c r="D405" t="s">
        <v>124</v>
      </c>
      <c r="E405" t="s">
        <v>46</v>
      </c>
      <c r="F405" t="s">
        <v>86</v>
      </c>
      <c r="G405" t="s">
        <v>180</v>
      </c>
      <c r="H405">
        <v>1</v>
      </c>
      <c r="I405" s="21">
        <v>41974</v>
      </c>
      <c r="J405">
        <v>25</v>
      </c>
      <c r="K405" s="21">
        <v>10493.5</v>
      </c>
      <c r="L405" s="21">
        <v>31480.5</v>
      </c>
      <c r="M405" s="21">
        <v>25069.279999999999</v>
      </c>
      <c r="N405" s="21">
        <v>6411.22</v>
      </c>
      <c r="O405" t="s">
        <v>39</v>
      </c>
      <c r="P405" s="21">
        <v>2091.31</v>
      </c>
      <c r="Q405" t="s">
        <v>30</v>
      </c>
      <c r="R405" t="s">
        <v>41</v>
      </c>
      <c r="S405">
        <v>2</v>
      </c>
      <c r="T405">
        <v>2</v>
      </c>
      <c r="U405" t="s">
        <v>32</v>
      </c>
      <c r="V405" t="s">
        <v>33</v>
      </c>
      <c r="W405">
        <v>3</v>
      </c>
    </row>
    <row r="406" spans="1:23" x14ac:dyDescent="0.25">
      <c r="A406" t="s">
        <v>782</v>
      </c>
      <c r="B406" s="1">
        <v>45765</v>
      </c>
      <c r="C406" t="s">
        <v>203</v>
      </c>
      <c r="D406" t="s">
        <v>67</v>
      </c>
      <c r="E406" t="s">
        <v>26</v>
      </c>
      <c r="F406" t="s">
        <v>27</v>
      </c>
      <c r="G406" t="s">
        <v>28</v>
      </c>
      <c r="H406">
        <v>2</v>
      </c>
      <c r="I406" s="21">
        <v>10935</v>
      </c>
      <c r="J406">
        <v>20</v>
      </c>
      <c r="K406" s="21">
        <v>4374</v>
      </c>
      <c r="L406" s="21">
        <v>17496</v>
      </c>
      <c r="M406" s="21">
        <v>10726.89</v>
      </c>
      <c r="N406" s="21">
        <v>6769.11</v>
      </c>
      <c r="O406" t="s">
        <v>49</v>
      </c>
      <c r="P406" s="21">
        <v>416.48</v>
      </c>
      <c r="Q406" t="s">
        <v>73</v>
      </c>
      <c r="R406" t="s">
        <v>41</v>
      </c>
      <c r="S406">
        <v>2</v>
      </c>
      <c r="T406">
        <v>5</v>
      </c>
      <c r="U406" t="s">
        <v>32</v>
      </c>
      <c r="V406" t="s">
        <v>42</v>
      </c>
    </row>
    <row r="407" spans="1:23" x14ac:dyDescent="0.25">
      <c r="A407" t="s">
        <v>783</v>
      </c>
      <c r="B407" s="1">
        <v>45833</v>
      </c>
      <c r="C407" t="s">
        <v>24</v>
      </c>
      <c r="D407" t="s">
        <v>71</v>
      </c>
      <c r="E407" t="s">
        <v>46</v>
      </c>
      <c r="F407" t="s">
        <v>53</v>
      </c>
      <c r="G407" t="s">
        <v>59</v>
      </c>
      <c r="H407">
        <v>1</v>
      </c>
      <c r="I407" s="21">
        <v>82196</v>
      </c>
      <c r="J407">
        <v>10</v>
      </c>
      <c r="K407" s="21">
        <v>8219.6</v>
      </c>
      <c r="L407" s="21">
        <v>73976.399999999994</v>
      </c>
      <c r="M407" s="21">
        <v>59529.22</v>
      </c>
      <c r="N407" s="21">
        <v>14447.18</v>
      </c>
      <c r="O407" t="s">
        <v>49</v>
      </c>
      <c r="P407" s="21">
        <v>346.48</v>
      </c>
      <c r="Q407" t="s">
        <v>73</v>
      </c>
      <c r="R407" t="s">
        <v>41</v>
      </c>
      <c r="S407">
        <v>2</v>
      </c>
      <c r="T407">
        <v>3</v>
      </c>
      <c r="U407" t="s">
        <v>56</v>
      </c>
      <c r="V407" t="s">
        <v>33</v>
      </c>
      <c r="W407">
        <v>5</v>
      </c>
    </row>
    <row r="408" spans="1:23" x14ac:dyDescent="0.25">
      <c r="A408" t="s">
        <v>784</v>
      </c>
      <c r="B408" s="1">
        <v>45762</v>
      </c>
      <c r="C408" t="s">
        <v>785</v>
      </c>
      <c r="D408" t="s">
        <v>71</v>
      </c>
      <c r="E408" t="s">
        <v>26</v>
      </c>
      <c r="F408" t="s">
        <v>86</v>
      </c>
      <c r="G408" t="s">
        <v>87</v>
      </c>
      <c r="H408">
        <v>2</v>
      </c>
      <c r="I408" s="21">
        <v>45274</v>
      </c>
      <c r="J408">
        <v>0</v>
      </c>
      <c r="K408" s="21">
        <v>0</v>
      </c>
      <c r="L408" s="21">
        <v>90548</v>
      </c>
      <c r="M408" s="21">
        <v>72345.94</v>
      </c>
      <c r="N408" s="21">
        <v>18202.060000000001</v>
      </c>
      <c r="O408" t="s">
        <v>49</v>
      </c>
      <c r="P408" s="21">
        <v>333.43</v>
      </c>
      <c r="Q408" t="s">
        <v>40</v>
      </c>
      <c r="R408" t="s">
        <v>41</v>
      </c>
      <c r="S408">
        <v>2</v>
      </c>
      <c r="T408">
        <v>1</v>
      </c>
      <c r="U408" t="s">
        <v>32</v>
      </c>
      <c r="V408" t="s">
        <v>33</v>
      </c>
      <c r="W408">
        <v>5</v>
      </c>
    </row>
    <row r="409" spans="1:23" x14ac:dyDescent="0.25">
      <c r="A409" t="s">
        <v>786</v>
      </c>
      <c r="B409" s="1">
        <v>46009</v>
      </c>
      <c r="C409" t="s">
        <v>655</v>
      </c>
      <c r="D409" t="s">
        <v>71</v>
      </c>
      <c r="E409" t="s">
        <v>36</v>
      </c>
      <c r="F409" t="s">
        <v>37</v>
      </c>
      <c r="G409" t="s">
        <v>38</v>
      </c>
      <c r="H409">
        <v>1</v>
      </c>
      <c r="I409" s="21">
        <v>25550</v>
      </c>
      <c r="J409">
        <v>20</v>
      </c>
      <c r="K409" s="21">
        <v>5110</v>
      </c>
      <c r="L409" s="21">
        <v>20440</v>
      </c>
      <c r="M409" s="21">
        <v>14768.53</v>
      </c>
      <c r="N409" s="21">
        <v>5671.47</v>
      </c>
      <c r="O409" t="s">
        <v>91</v>
      </c>
      <c r="P409" s="21">
        <v>439.92</v>
      </c>
      <c r="Q409" t="s">
        <v>40</v>
      </c>
      <c r="R409" t="s">
        <v>31</v>
      </c>
      <c r="S409">
        <v>5</v>
      </c>
      <c r="T409">
        <v>4</v>
      </c>
      <c r="U409" t="s">
        <v>32</v>
      </c>
      <c r="V409" t="s">
        <v>33</v>
      </c>
      <c r="W409">
        <v>2</v>
      </c>
    </row>
    <row r="410" spans="1:23" x14ac:dyDescent="0.25">
      <c r="A410" t="s">
        <v>787</v>
      </c>
      <c r="B410" s="1">
        <v>45982</v>
      </c>
      <c r="C410" t="s">
        <v>142</v>
      </c>
      <c r="D410" t="s">
        <v>90</v>
      </c>
      <c r="E410" t="s">
        <v>46</v>
      </c>
      <c r="F410" t="s">
        <v>47</v>
      </c>
      <c r="G410" t="s">
        <v>138</v>
      </c>
      <c r="H410">
        <v>3</v>
      </c>
      <c r="I410" s="21">
        <v>25600</v>
      </c>
      <c r="J410">
        <v>25</v>
      </c>
      <c r="K410" s="21">
        <v>19200</v>
      </c>
      <c r="L410" s="21">
        <v>57600</v>
      </c>
      <c r="M410" s="21">
        <v>32768.32</v>
      </c>
      <c r="N410" s="21">
        <v>24831.68</v>
      </c>
      <c r="O410" t="s">
        <v>91</v>
      </c>
      <c r="P410" s="21">
        <v>225.41</v>
      </c>
      <c r="Q410" t="s">
        <v>73</v>
      </c>
      <c r="R410" t="s">
        <v>41</v>
      </c>
      <c r="S410">
        <v>2</v>
      </c>
      <c r="T410">
        <v>2</v>
      </c>
      <c r="U410" t="s">
        <v>32</v>
      </c>
      <c r="V410" t="s">
        <v>33</v>
      </c>
      <c r="W410">
        <v>5</v>
      </c>
    </row>
    <row r="411" spans="1:23" x14ac:dyDescent="0.25">
      <c r="A411" t="s">
        <v>788</v>
      </c>
      <c r="B411" s="1">
        <v>45793</v>
      </c>
      <c r="C411" t="s">
        <v>789</v>
      </c>
      <c r="D411" t="s">
        <v>79</v>
      </c>
      <c r="E411" t="s">
        <v>26</v>
      </c>
      <c r="F411" t="s">
        <v>27</v>
      </c>
      <c r="G411" t="s">
        <v>113</v>
      </c>
      <c r="H411">
        <v>1</v>
      </c>
      <c r="I411" s="21">
        <v>7757</v>
      </c>
      <c r="J411">
        <v>10</v>
      </c>
      <c r="K411" s="21">
        <v>775.7</v>
      </c>
      <c r="L411" s="21">
        <v>6981.3</v>
      </c>
      <c r="M411" s="21">
        <v>4654.3900000000003</v>
      </c>
      <c r="N411" s="21">
        <v>2326.91</v>
      </c>
      <c r="O411" t="s">
        <v>91</v>
      </c>
      <c r="P411" s="21">
        <v>1522.71</v>
      </c>
      <c r="Q411" t="s">
        <v>73</v>
      </c>
      <c r="R411" t="s">
        <v>41</v>
      </c>
      <c r="S411">
        <v>2</v>
      </c>
      <c r="T411">
        <v>1</v>
      </c>
      <c r="U411" t="s">
        <v>32</v>
      </c>
      <c r="V411" t="s">
        <v>50</v>
      </c>
      <c r="W411">
        <v>5</v>
      </c>
    </row>
    <row r="412" spans="1:23" x14ac:dyDescent="0.25">
      <c r="A412" t="s">
        <v>790</v>
      </c>
      <c r="B412" s="1">
        <v>45916</v>
      </c>
      <c r="C412" t="s">
        <v>158</v>
      </c>
      <c r="D412" t="s">
        <v>67</v>
      </c>
      <c r="E412" t="s">
        <v>46</v>
      </c>
      <c r="F412" t="s">
        <v>37</v>
      </c>
      <c r="G412" t="s">
        <v>161</v>
      </c>
      <c r="H412">
        <v>4</v>
      </c>
      <c r="I412" s="21">
        <v>20176</v>
      </c>
      <c r="J412">
        <v>25</v>
      </c>
      <c r="K412" s="21">
        <v>20176</v>
      </c>
      <c r="L412" s="21">
        <v>60528</v>
      </c>
      <c r="M412" s="21">
        <v>38665.33</v>
      </c>
      <c r="N412" s="21">
        <v>21862.67</v>
      </c>
      <c r="O412" t="s">
        <v>39</v>
      </c>
      <c r="P412" s="21">
        <v>1264.2</v>
      </c>
      <c r="Q412" t="s">
        <v>83</v>
      </c>
      <c r="R412" t="s">
        <v>41</v>
      </c>
      <c r="S412">
        <v>2</v>
      </c>
      <c r="T412">
        <v>3</v>
      </c>
      <c r="U412" t="s">
        <v>32</v>
      </c>
      <c r="V412" t="s">
        <v>42</v>
      </c>
    </row>
    <row r="413" spans="1:23" x14ac:dyDescent="0.25">
      <c r="A413" t="s">
        <v>791</v>
      </c>
      <c r="B413" s="1">
        <v>45908</v>
      </c>
      <c r="C413" t="s">
        <v>792</v>
      </c>
      <c r="D413" t="s">
        <v>25</v>
      </c>
      <c r="E413" t="s">
        <v>36</v>
      </c>
      <c r="F413" t="s">
        <v>53</v>
      </c>
      <c r="G413" t="s">
        <v>59</v>
      </c>
      <c r="H413">
        <v>2</v>
      </c>
      <c r="I413" s="21">
        <v>60260</v>
      </c>
      <c r="J413">
        <v>0</v>
      </c>
      <c r="K413" s="21">
        <v>0</v>
      </c>
      <c r="L413" s="21">
        <v>120520</v>
      </c>
      <c r="M413" s="21">
        <v>95571.21</v>
      </c>
      <c r="N413" s="21">
        <v>24948.79</v>
      </c>
      <c r="O413" t="s">
        <v>49</v>
      </c>
      <c r="P413" s="21">
        <v>459.87</v>
      </c>
      <c r="Q413" t="s">
        <v>68</v>
      </c>
      <c r="R413" t="s">
        <v>41</v>
      </c>
      <c r="S413">
        <v>2</v>
      </c>
      <c r="T413">
        <v>3</v>
      </c>
      <c r="U413" t="s">
        <v>32</v>
      </c>
      <c r="V413" t="s">
        <v>50</v>
      </c>
      <c r="W413">
        <v>4</v>
      </c>
    </row>
    <row r="414" spans="1:23" x14ac:dyDescent="0.25">
      <c r="A414" t="s">
        <v>793</v>
      </c>
      <c r="B414" s="1">
        <v>45786</v>
      </c>
      <c r="C414" t="s">
        <v>484</v>
      </c>
      <c r="D414" t="s">
        <v>90</v>
      </c>
      <c r="E414" t="s">
        <v>36</v>
      </c>
      <c r="F414" t="s">
        <v>37</v>
      </c>
      <c r="G414" t="s">
        <v>224</v>
      </c>
      <c r="H414">
        <v>1</v>
      </c>
      <c r="I414" s="21">
        <v>8374</v>
      </c>
      <c r="J414">
        <v>5</v>
      </c>
      <c r="K414" s="21">
        <v>418.7</v>
      </c>
      <c r="L414" s="21">
        <v>7955.3</v>
      </c>
      <c r="M414" s="21">
        <v>6327.32</v>
      </c>
      <c r="N414" s="21">
        <v>1627.98</v>
      </c>
      <c r="O414" t="s">
        <v>91</v>
      </c>
      <c r="P414" s="21">
        <v>376.03</v>
      </c>
      <c r="Q414" t="s">
        <v>83</v>
      </c>
      <c r="R414" t="s">
        <v>31</v>
      </c>
      <c r="S414">
        <v>5</v>
      </c>
      <c r="T414">
        <v>1</v>
      </c>
      <c r="U414" t="s">
        <v>32</v>
      </c>
      <c r="V414" t="s">
        <v>33</v>
      </c>
      <c r="W414">
        <v>3</v>
      </c>
    </row>
    <row r="415" spans="1:23" x14ac:dyDescent="0.25">
      <c r="A415" t="s">
        <v>794</v>
      </c>
      <c r="B415" s="1">
        <v>45684</v>
      </c>
      <c r="C415" t="s">
        <v>795</v>
      </c>
      <c r="D415" t="s">
        <v>67</v>
      </c>
      <c r="E415" t="s">
        <v>46</v>
      </c>
      <c r="F415" t="s">
        <v>37</v>
      </c>
      <c r="G415" t="s">
        <v>313</v>
      </c>
      <c r="H415">
        <v>1</v>
      </c>
      <c r="I415" s="21">
        <v>34271</v>
      </c>
      <c r="J415">
        <v>15</v>
      </c>
      <c r="K415" s="21">
        <v>5140.6499999999996</v>
      </c>
      <c r="L415" s="21">
        <v>29130.35</v>
      </c>
      <c r="M415" s="21">
        <v>18724.63</v>
      </c>
      <c r="N415" s="21">
        <v>10405.719999999999</v>
      </c>
      <c r="O415" t="s">
        <v>91</v>
      </c>
      <c r="P415" s="21">
        <v>286.88</v>
      </c>
      <c r="Q415" t="s">
        <v>73</v>
      </c>
      <c r="R415" t="s">
        <v>31</v>
      </c>
      <c r="S415">
        <v>5</v>
      </c>
      <c r="T415">
        <v>7</v>
      </c>
      <c r="U415" t="s">
        <v>56</v>
      </c>
      <c r="V415" t="s">
        <v>33</v>
      </c>
      <c r="W415">
        <v>4</v>
      </c>
    </row>
    <row r="416" spans="1:23" x14ac:dyDescent="0.25">
      <c r="A416" t="s">
        <v>796</v>
      </c>
      <c r="B416" s="1">
        <v>45705</v>
      </c>
      <c r="C416" t="s">
        <v>797</v>
      </c>
      <c r="D416" t="s">
        <v>67</v>
      </c>
      <c r="E416" t="s">
        <v>26</v>
      </c>
      <c r="F416" t="s">
        <v>53</v>
      </c>
      <c r="G416" t="s">
        <v>268</v>
      </c>
      <c r="H416">
        <v>1</v>
      </c>
      <c r="I416" s="21">
        <v>95117</v>
      </c>
      <c r="J416">
        <v>10</v>
      </c>
      <c r="K416" s="21">
        <v>9511.7000000000007</v>
      </c>
      <c r="L416" s="21">
        <v>85605.3</v>
      </c>
      <c r="M416" s="21">
        <v>66534.31</v>
      </c>
      <c r="N416" s="21">
        <v>19070.990000000002</v>
      </c>
      <c r="O416" t="s">
        <v>60</v>
      </c>
      <c r="P416" s="21">
        <v>431.18</v>
      </c>
      <c r="Q416" t="s">
        <v>73</v>
      </c>
      <c r="R416" t="s">
        <v>31</v>
      </c>
      <c r="S416">
        <v>5</v>
      </c>
      <c r="T416">
        <v>5</v>
      </c>
      <c r="U416" t="s">
        <v>32</v>
      </c>
      <c r="V416" t="s">
        <v>33</v>
      </c>
      <c r="W416">
        <v>5</v>
      </c>
    </row>
    <row r="417" spans="1:23" x14ac:dyDescent="0.25">
      <c r="A417" t="s">
        <v>798</v>
      </c>
      <c r="B417" s="1">
        <v>45982</v>
      </c>
      <c r="C417" t="s">
        <v>655</v>
      </c>
      <c r="D417" t="s">
        <v>154</v>
      </c>
      <c r="E417" t="s">
        <v>26</v>
      </c>
      <c r="F417" t="s">
        <v>53</v>
      </c>
      <c r="G417" t="s">
        <v>82</v>
      </c>
      <c r="H417">
        <v>1</v>
      </c>
      <c r="I417" s="21">
        <v>44815</v>
      </c>
      <c r="J417">
        <v>5</v>
      </c>
      <c r="K417" s="21">
        <v>2240.75</v>
      </c>
      <c r="L417" s="21">
        <v>42574.25</v>
      </c>
      <c r="M417" s="21">
        <v>31628.04</v>
      </c>
      <c r="N417" s="21">
        <v>10946.21</v>
      </c>
      <c r="O417" t="s">
        <v>55</v>
      </c>
      <c r="P417" s="21">
        <v>309.83999999999997</v>
      </c>
      <c r="Q417" t="s">
        <v>40</v>
      </c>
      <c r="R417" t="s">
        <v>31</v>
      </c>
      <c r="S417">
        <v>5</v>
      </c>
      <c r="T417">
        <v>3</v>
      </c>
      <c r="U417" t="s">
        <v>32</v>
      </c>
      <c r="V417" t="s">
        <v>50</v>
      </c>
      <c r="W417">
        <v>5</v>
      </c>
    </row>
    <row r="418" spans="1:23" x14ac:dyDescent="0.25">
      <c r="A418" t="s">
        <v>799</v>
      </c>
      <c r="B418" s="1">
        <v>45874</v>
      </c>
      <c r="C418" t="s">
        <v>201</v>
      </c>
      <c r="D418" t="s">
        <v>67</v>
      </c>
      <c r="E418" t="s">
        <v>26</v>
      </c>
      <c r="F418" t="s">
        <v>53</v>
      </c>
      <c r="G418" t="s">
        <v>54</v>
      </c>
      <c r="H418">
        <v>1</v>
      </c>
      <c r="I418" s="21">
        <v>58465</v>
      </c>
      <c r="J418">
        <v>5</v>
      </c>
      <c r="K418" s="21">
        <v>2923.25</v>
      </c>
      <c r="L418" s="21">
        <v>55541.75</v>
      </c>
      <c r="M418" s="21">
        <v>31918.42</v>
      </c>
      <c r="N418" s="21">
        <v>23623.33</v>
      </c>
      <c r="O418" t="s">
        <v>55</v>
      </c>
      <c r="P418" s="21">
        <v>975.37</v>
      </c>
      <c r="Q418" t="s">
        <v>68</v>
      </c>
      <c r="R418" t="s">
        <v>31</v>
      </c>
      <c r="S418">
        <v>5</v>
      </c>
      <c r="T418">
        <v>8</v>
      </c>
      <c r="U418" t="s">
        <v>56</v>
      </c>
      <c r="V418" t="s">
        <v>33</v>
      </c>
      <c r="W418">
        <v>1</v>
      </c>
    </row>
    <row r="419" spans="1:23" x14ac:dyDescent="0.25">
      <c r="A419" t="s">
        <v>800</v>
      </c>
      <c r="B419" s="1">
        <v>45799</v>
      </c>
      <c r="C419" t="s">
        <v>411</v>
      </c>
      <c r="D419" t="s">
        <v>154</v>
      </c>
      <c r="E419" t="s">
        <v>46</v>
      </c>
      <c r="F419" t="s">
        <v>53</v>
      </c>
      <c r="G419" t="s">
        <v>268</v>
      </c>
      <c r="H419">
        <v>1</v>
      </c>
      <c r="I419" s="21">
        <v>23114</v>
      </c>
      <c r="J419">
        <v>5</v>
      </c>
      <c r="K419" s="21">
        <v>1155.7</v>
      </c>
      <c r="L419" s="21">
        <v>21958.3</v>
      </c>
      <c r="M419" s="21">
        <v>17616.45</v>
      </c>
      <c r="N419" s="21">
        <v>4341.8500000000004</v>
      </c>
      <c r="O419" t="s">
        <v>49</v>
      </c>
      <c r="P419" s="21">
        <v>154.58000000000001</v>
      </c>
      <c r="Q419" t="s">
        <v>83</v>
      </c>
      <c r="R419" t="s">
        <v>41</v>
      </c>
      <c r="S419">
        <v>2</v>
      </c>
      <c r="T419">
        <v>2</v>
      </c>
      <c r="U419" t="s">
        <v>32</v>
      </c>
      <c r="V419" t="s">
        <v>33</v>
      </c>
      <c r="W419">
        <v>1</v>
      </c>
    </row>
    <row r="420" spans="1:23" x14ac:dyDescent="0.25">
      <c r="A420" t="s">
        <v>801</v>
      </c>
      <c r="B420" s="1">
        <v>45680</v>
      </c>
      <c r="C420" t="s">
        <v>802</v>
      </c>
      <c r="D420" t="s">
        <v>90</v>
      </c>
      <c r="E420" t="s">
        <v>26</v>
      </c>
      <c r="F420" t="s">
        <v>86</v>
      </c>
      <c r="G420" t="s">
        <v>94</v>
      </c>
      <c r="H420">
        <v>1</v>
      </c>
      <c r="I420" s="21">
        <v>34848</v>
      </c>
      <c r="J420">
        <v>10</v>
      </c>
      <c r="K420" s="21">
        <v>3484.8</v>
      </c>
      <c r="L420" s="21">
        <v>31363.200000000001</v>
      </c>
      <c r="M420" s="21">
        <v>17621.84</v>
      </c>
      <c r="N420" s="21">
        <v>13741.36</v>
      </c>
      <c r="O420" t="s">
        <v>60</v>
      </c>
      <c r="P420" s="21">
        <v>1965.35</v>
      </c>
      <c r="Q420" t="s">
        <v>30</v>
      </c>
      <c r="R420" t="s">
        <v>41</v>
      </c>
      <c r="S420">
        <v>2</v>
      </c>
      <c r="T420">
        <v>4</v>
      </c>
      <c r="U420" t="s">
        <v>56</v>
      </c>
      <c r="V420" t="s">
        <v>33</v>
      </c>
      <c r="W420">
        <v>3</v>
      </c>
    </row>
    <row r="421" spans="1:23" x14ac:dyDescent="0.25">
      <c r="A421" t="s">
        <v>803</v>
      </c>
      <c r="B421" s="1">
        <v>45659</v>
      </c>
      <c r="C421" t="s">
        <v>804</v>
      </c>
      <c r="D421" t="s">
        <v>154</v>
      </c>
      <c r="E421" t="s">
        <v>36</v>
      </c>
      <c r="F421" t="s">
        <v>53</v>
      </c>
      <c r="G421" t="s">
        <v>82</v>
      </c>
      <c r="H421">
        <v>2</v>
      </c>
      <c r="I421" s="21">
        <v>91689</v>
      </c>
      <c r="J421">
        <v>10</v>
      </c>
      <c r="K421" s="21">
        <v>18337.8</v>
      </c>
      <c r="L421" s="21">
        <v>165040.20000000001</v>
      </c>
      <c r="M421" s="21">
        <v>98585.01</v>
      </c>
      <c r="N421" s="21">
        <v>66455.19</v>
      </c>
      <c r="O421" t="s">
        <v>39</v>
      </c>
      <c r="P421" s="21">
        <v>1308.9000000000001</v>
      </c>
      <c r="Q421" t="s">
        <v>73</v>
      </c>
      <c r="R421" t="s">
        <v>41</v>
      </c>
      <c r="S421">
        <v>2</v>
      </c>
      <c r="T421">
        <v>6</v>
      </c>
      <c r="U421" t="s">
        <v>32</v>
      </c>
      <c r="V421" t="s">
        <v>50</v>
      </c>
      <c r="W421">
        <v>5</v>
      </c>
    </row>
    <row r="422" spans="1:23" x14ac:dyDescent="0.25">
      <c r="A422" t="s">
        <v>805</v>
      </c>
      <c r="B422" s="1">
        <v>45828</v>
      </c>
      <c r="C422" t="s">
        <v>199</v>
      </c>
      <c r="D422" t="s">
        <v>67</v>
      </c>
      <c r="E422" t="s">
        <v>26</v>
      </c>
      <c r="F422" t="s">
        <v>53</v>
      </c>
      <c r="G422" t="s">
        <v>82</v>
      </c>
      <c r="H422">
        <v>2</v>
      </c>
      <c r="I422" s="21">
        <v>74984</v>
      </c>
      <c r="J422">
        <v>0</v>
      </c>
      <c r="K422" s="21">
        <v>0</v>
      </c>
      <c r="L422" s="21">
        <v>149968</v>
      </c>
      <c r="M422" s="21">
        <v>94988.1</v>
      </c>
      <c r="N422" s="21">
        <v>54979.9</v>
      </c>
      <c r="O422" t="s">
        <v>60</v>
      </c>
      <c r="P422" s="21">
        <v>1625.46</v>
      </c>
      <c r="Q422" t="s">
        <v>83</v>
      </c>
      <c r="R422" t="s">
        <v>41</v>
      </c>
      <c r="S422">
        <v>2</v>
      </c>
      <c r="T422">
        <v>6</v>
      </c>
      <c r="U422" t="s">
        <v>32</v>
      </c>
      <c r="V422" t="s">
        <v>50</v>
      </c>
      <c r="W422">
        <v>2</v>
      </c>
    </row>
    <row r="423" spans="1:23" x14ac:dyDescent="0.25">
      <c r="A423" t="s">
        <v>806</v>
      </c>
      <c r="B423" s="1">
        <v>45724</v>
      </c>
      <c r="C423" t="s">
        <v>807</v>
      </c>
      <c r="D423" t="s">
        <v>63</v>
      </c>
      <c r="E423" t="s">
        <v>46</v>
      </c>
      <c r="F423" t="s">
        <v>47</v>
      </c>
      <c r="G423" t="s">
        <v>48</v>
      </c>
      <c r="H423">
        <v>1</v>
      </c>
      <c r="I423" s="21">
        <v>22601</v>
      </c>
      <c r="J423">
        <v>0</v>
      </c>
      <c r="K423" s="21">
        <v>0</v>
      </c>
      <c r="L423" s="21">
        <v>22601</v>
      </c>
      <c r="M423" s="21">
        <v>14127.75</v>
      </c>
      <c r="N423" s="21">
        <v>8473.25</v>
      </c>
      <c r="O423" t="s">
        <v>91</v>
      </c>
      <c r="P423" s="21">
        <v>2448.41</v>
      </c>
      <c r="Q423" t="s">
        <v>73</v>
      </c>
      <c r="R423" t="s">
        <v>31</v>
      </c>
      <c r="S423">
        <v>5</v>
      </c>
      <c r="T423">
        <v>4</v>
      </c>
      <c r="U423" t="s">
        <v>32</v>
      </c>
      <c r="V423" t="s">
        <v>50</v>
      </c>
      <c r="W423">
        <v>5</v>
      </c>
    </row>
    <row r="424" spans="1:23" x14ac:dyDescent="0.25">
      <c r="A424" t="s">
        <v>808</v>
      </c>
      <c r="B424" s="1">
        <v>45984</v>
      </c>
      <c r="C424" t="s">
        <v>316</v>
      </c>
      <c r="D424" t="s">
        <v>25</v>
      </c>
      <c r="E424" t="s">
        <v>46</v>
      </c>
      <c r="F424" t="s">
        <v>53</v>
      </c>
      <c r="G424" t="s">
        <v>268</v>
      </c>
      <c r="H424">
        <v>1</v>
      </c>
      <c r="I424" s="21">
        <v>96163</v>
      </c>
      <c r="J424">
        <v>25</v>
      </c>
      <c r="K424" s="21">
        <v>24040.75</v>
      </c>
      <c r="L424" s="21">
        <v>72122.25</v>
      </c>
      <c r="M424" s="21">
        <v>45930.48</v>
      </c>
      <c r="N424" s="21">
        <v>26191.77</v>
      </c>
      <c r="O424" t="s">
        <v>91</v>
      </c>
      <c r="P424" s="21">
        <v>2200.69</v>
      </c>
      <c r="Q424" t="s">
        <v>83</v>
      </c>
      <c r="R424" t="s">
        <v>31</v>
      </c>
      <c r="S424">
        <v>5</v>
      </c>
      <c r="T424">
        <v>4</v>
      </c>
      <c r="U424" t="s">
        <v>32</v>
      </c>
      <c r="V424" t="s">
        <v>33</v>
      </c>
      <c r="W424">
        <v>1</v>
      </c>
    </row>
    <row r="425" spans="1:23" x14ac:dyDescent="0.25">
      <c r="A425" t="s">
        <v>809</v>
      </c>
      <c r="B425" s="1">
        <v>45792</v>
      </c>
      <c r="C425" t="s">
        <v>535</v>
      </c>
      <c r="D425" t="s">
        <v>124</v>
      </c>
      <c r="E425" t="s">
        <v>46</v>
      </c>
      <c r="F425" t="s">
        <v>47</v>
      </c>
      <c r="G425" t="s">
        <v>138</v>
      </c>
      <c r="H425">
        <v>2</v>
      </c>
      <c r="I425" s="21">
        <v>20393</v>
      </c>
      <c r="J425">
        <v>15</v>
      </c>
      <c r="K425" s="21">
        <v>6117.9</v>
      </c>
      <c r="L425" s="21">
        <v>34668.1</v>
      </c>
      <c r="M425" s="21">
        <v>25853.63</v>
      </c>
      <c r="N425" s="21">
        <v>8814.4699999999993</v>
      </c>
      <c r="O425" t="s">
        <v>91</v>
      </c>
      <c r="P425" s="21">
        <v>654.33000000000004</v>
      </c>
      <c r="Q425" t="s">
        <v>30</v>
      </c>
      <c r="R425" t="s">
        <v>31</v>
      </c>
      <c r="S425">
        <v>5</v>
      </c>
      <c r="T425">
        <v>6</v>
      </c>
      <c r="U425" t="s">
        <v>56</v>
      </c>
      <c r="V425" t="s">
        <v>33</v>
      </c>
      <c r="W425">
        <v>5</v>
      </c>
    </row>
    <row r="426" spans="1:23" x14ac:dyDescent="0.25">
      <c r="A426" t="s">
        <v>810</v>
      </c>
      <c r="B426" s="1">
        <v>45740</v>
      </c>
      <c r="C426" t="s">
        <v>156</v>
      </c>
      <c r="D426" t="s">
        <v>63</v>
      </c>
      <c r="E426" t="s">
        <v>26</v>
      </c>
      <c r="F426" t="s">
        <v>47</v>
      </c>
      <c r="G426" t="s">
        <v>64</v>
      </c>
      <c r="H426">
        <v>3</v>
      </c>
      <c r="I426" s="21">
        <v>24816</v>
      </c>
      <c r="J426">
        <v>15</v>
      </c>
      <c r="K426" s="21">
        <v>11167.2</v>
      </c>
      <c r="L426" s="21">
        <v>63280.800000000003</v>
      </c>
      <c r="M426" s="21">
        <v>41258.050000000003</v>
      </c>
      <c r="N426" s="21">
        <v>22022.75</v>
      </c>
      <c r="O426" t="s">
        <v>39</v>
      </c>
      <c r="P426" s="21">
        <v>1362.17</v>
      </c>
      <c r="Q426" t="s">
        <v>30</v>
      </c>
      <c r="R426" t="s">
        <v>41</v>
      </c>
      <c r="S426">
        <v>2</v>
      </c>
      <c r="T426">
        <v>3</v>
      </c>
      <c r="U426" t="s">
        <v>56</v>
      </c>
      <c r="V426" t="s">
        <v>33</v>
      </c>
      <c r="W426">
        <v>4</v>
      </c>
    </row>
    <row r="427" spans="1:23" x14ac:dyDescent="0.25">
      <c r="A427" t="s">
        <v>811</v>
      </c>
      <c r="B427" s="1">
        <v>45884</v>
      </c>
      <c r="C427" t="s">
        <v>812</v>
      </c>
      <c r="D427" t="s">
        <v>71</v>
      </c>
      <c r="E427" t="s">
        <v>36</v>
      </c>
      <c r="F427" t="s">
        <v>47</v>
      </c>
      <c r="G427" t="s">
        <v>105</v>
      </c>
      <c r="H427">
        <v>2</v>
      </c>
      <c r="I427" s="21">
        <v>46005</v>
      </c>
      <c r="J427">
        <v>10</v>
      </c>
      <c r="K427" s="21">
        <v>9201</v>
      </c>
      <c r="L427" s="21">
        <v>82809</v>
      </c>
      <c r="M427" s="21">
        <v>54051.22</v>
      </c>
      <c r="N427" s="21">
        <v>28757.78</v>
      </c>
      <c r="O427" t="s">
        <v>60</v>
      </c>
      <c r="P427" s="21">
        <v>1062.8399999999999</v>
      </c>
      <c r="Q427" t="s">
        <v>40</v>
      </c>
      <c r="R427" t="s">
        <v>41</v>
      </c>
      <c r="S427">
        <v>2</v>
      </c>
      <c r="T427">
        <v>4</v>
      </c>
      <c r="U427" t="s">
        <v>56</v>
      </c>
      <c r="V427" t="s">
        <v>33</v>
      </c>
      <c r="W427">
        <v>3</v>
      </c>
    </row>
    <row r="428" spans="1:23" x14ac:dyDescent="0.25">
      <c r="A428" t="s">
        <v>813</v>
      </c>
      <c r="B428" s="1">
        <v>45940</v>
      </c>
      <c r="C428" t="s">
        <v>814</v>
      </c>
      <c r="D428" t="s">
        <v>154</v>
      </c>
      <c r="E428" t="s">
        <v>26</v>
      </c>
      <c r="F428" t="s">
        <v>27</v>
      </c>
      <c r="G428" t="s">
        <v>164</v>
      </c>
      <c r="H428">
        <v>1</v>
      </c>
      <c r="I428" s="21">
        <v>19906</v>
      </c>
      <c r="J428">
        <v>20</v>
      </c>
      <c r="K428" s="21">
        <v>3981.2</v>
      </c>
      <c r="L428" s="21">
        <v>15924.8</v>
      </c>
      <c r="M428" s="21">
        <v>10498.1</v>
      </c>
      <c r="N428" s="21">
        <v>5426.7</v>
      </c>
      <c r="O428" t="s">
        <v>49</v>
      </c>
      <c r="P428" s="21">
        <v>217.92</v>
      </c>
      <c r="Q428" t="s">
        <v>30</v>
      </c>
      <c r="R428" t="s">
        <v>41</v>
      </c>
      <c r="S428">
        <v>2</v>
      </c>
      <c r="T428">
        <v>1</v>
      </c>
      <c r="U428" t="s">
        <v>32</v>
      </c>
      <c r="V428" t="s">
        <v>33</v>
      </c>
      <c r="W428">
        <v>5</v>
      </c>
    </row>
    <row r="429" spans="1:23" x14ac:dyDescent="0.25">
      <c r="A429" t="s">
        <v>815</v>
      </c>
      <c r="B429" s="1">
        <v>46019</v>
      </c>
      <c r="C429" t="s">
        <v>384</v>
      </c>
      <c r="D429" t="s">
        <v>71</v>
      </c>
      <c r="E429" t="s">
        <v>36</v>
      </c>
      <c r="F429" t="s">
        <v>86</v>
      </c>
      <c r="G429" t="s">
        <v>110</v>
      </c>
      <c r="H429">
        <v>1</v>
      </c>
      <c r="I429" s="21">
        <v>31457</v>
      </c>
      <c r="J429">
        <v>10</v>
      </c>
      <c r="K429" s="21">
        <v>3145.7</v>
      </c>
      <c r="L429" s="21">
        <v>28311.3</v>
      </c>
      <c r="M429" s="21">
        <v>21466.85</v>
      </c>
      <c r="N429" s="21">
        <v>6844.45</v>
      </c>
      <c r="O429" t="s">
        <v>55</v>
      </c>
      <c r="P429" s="21">
        <v>1323.83</v>
      </c>
      <c r="Q429" t="s">
        <v>73</v>
      </c>
      <c r="R429" t="s">
        <v>41</v>
      </c>
      <c r="S429">
        <v>2</v>
      </c>
      <c r="T429">
        <v>4</v>
      </c>
      <c r="U429" t="s">
        <v>32</v>
      </c>
      <c r="V429" t="s">
        <v>50</v>
      </c>
      <c r="W429">
        <v>5</v>
      </c>
    </row>
    <row r="430" spans="1:23" x14ac:dyDescent="0.25">
      <c r="A430" t="s">
        <v>816</v>
      </c>
      <c r="B430" s="1">
        <v>45876</v>
      </c>
      <c r="C430" t="s">
        <v>817</v>
      </c>
      <c r="D430" t="s">
        <v>124</v>
      </c>
      <c r="E430" t="s">
        <v>26</v>
      </c>
      <c r="F430" t="s">
        <v>53</v>
      </c>
      <c r="G430" t="s">
        <v>54</v>
      </c>
      <c r="H430">
        <v>3</v>
      </c>
      <c r="I430" s="21">
        <v>56371</v>
      </c>
      <c r="J430">
        <v>10</v>
      </c>
      <c r="K430" s="21">
        <v>16911.3</v>
      </c>
      <c r="L430" s="21">
        <v>152201.70000000001</v>
      </c>
      <c r="M430" s="21">
        <v>108590.98</v>
      </c>
      <c r="N430" s="21">
        <v>43610.720000000001</v>
      </c>
      <c r="O430" t="s">
        <v>91</v>
      </c>
      <c r="P430" s="21">
        <v>1584.94</v>
      </c>
      <c r="Q430" t="s">
        <v>68</v>
      </c>
      <c r="R430" t="s">
        <v>31</v>
      </c>
      <c r="S430">
        <v>5</v>
      </c>
      <c r="T430">
        <v>2</v>
      </c>
      <c r="U430" t="s">
        <v>32</v>
      </c>
      <c r="V430" t="s">
        <v>50</v>
      </c>
      <c r="W430">
        <v>2</v>
      </c>
    </row>
    <row r="431" spans="1:23" x14ac:dyDescent="0.25">
      <c r="A431" t="s">
        <v>818</v>
      </c>
      <c r="B431" s="1">
        <v>45945</v>
      </c>
      <c r="C431" t="s">
        <v>819</v>
      </c>
      <c r="D431" t="s">
        <v>71</v>
      </c>
      <c r="E431" t="s">
        <v>26</v>
      </c>
      <c r="F431" t="s">
        <v>53</v>
      </c>
      <c r="G431" t="s">
        <v>151</v>
      </c>
      <c r="H431">
        <v>4</v>
      </c>
      <c r="I431" s="21">
        <v>19531</v>
      </c>
      <c r="J431">
        <v>15</v>
      </c>
      <c r="K431" s="21">
        <v>11718.6</v>
      </c>
      <c r="L431" s="21">
        <v>66405.399999999994</v>
      </c>
      <c r="M431" s="21">
        <v>41056.81</v>
      </c>
      <c r="N431" s="21">
        <v>25348.59</v>
      </c>
      <c r="O431" t="s">
        <v>60</v>
      </c>
      <c r="P431" s="21">
        <v>908.35</v>
      </c>
      <c r="Q431" t="s">
        <v>30</v>
      </c>
      <c r="R431" t="s">
        <v>41</v>
      </c>
      <c r="S431">
        <v>2</v>
      </c>
      <c r="T431">
        <v>1</v>
      </c>
      <c r="U431" t="s">
        <v>32</v>
      </c>
      <c r="V431" t="s">
        <v>33</v>
      </c>
      <c r="W431">
        <v>5</v>
      </c>
    </row>
    <row r="432" spans="1:23" x14ac:dyDescent="0.25">
      <c r="A432" t="s">
        <v>820</v>
      </c>
      <c r="B432" s="1">
        <v>45662</v>
      </c>
      <c r="C432" t="s">
        <v>109</v>
      </c>
      <c r="D432" t="s">
        <v>25</v>
      </c>
      <c r="E432" t="s">
        <v>46</v>
      </c>
      <c r="F432" t="s">
        <v>53</v>
      </c>
      <c r="G432" t="s">
        <v>151</v>
      </c>
      <c r="H432">
        <v>1</v>
      </c>
      <c r="I432" s="21">
        <v>107079</v>
      </c>
      <c r="J432">
        <v>20</v>
      </c>
      <c r="K432" s="21">
        <v>21415.8</v>
      </c>
      <c r="L432" s="21">
        <v>85663.2</v>
      </c>
      <c r="M432" s="21">
        <v>47151.27</v>
      </c>
      <c r="N432" s="21">
        <v>38511.93</v>
      </c>
      <c r="O432" t="s">
        <v>91</v>
      </c>
      <c r="P432" s="21">
        <v>1158.74</v>
      </c>
      <c r="Q432" t="s">
        <v>73</v>
      </c>
      <c r="R432" t="s">
        <v>41</v>
      </c>
      <c r="S432">
        <v>2</v>
      </c>
      <c r="T432">
        <v>1</v>
      </c>
      <c r="U432" t="s">
        <v>32</v>
      </c>
      <c r="V432" t="s">
        <v>33</v>
      </c>
      <c r="W432">
        <v>5</v>
      </c>
    </row>
    <row r="433" spans="1:23" x14ac:dyDescent="0.25">
      <c r="A433" t="s">
        <v>821</v>
      </c>
      <c r="B433" s="1">
        <v>45715</v>
      </c>
      <c r="C433" t="s">
        <v>822</v>
      </c>
      <c r="D433" t="s">
        <v>25</v>
      </c>
      <c r="E433" t="s">
        <v>26</v>
      </c>
      <c r="F433" t="s">
        <v>27</v>
      </c>
      <c r="G433" t="s">
        <v>76</v>
      </c>
      <c r="H433">
        <v>1</v>
      </c>
      <c r="I433" s="21">
        <v>18267</v>
      </c>
      <c r="J433">
        <v>0</v>
      </c>
      <c r="K433" s="21">
        <v>0</v>
      </c>
      <c r="L433" s="21">
        <v>18267</v>
      </c>
      <c r="M433" s="21">
        <v>11037.91</v>
      </c>
      <c r="N433" s="21">
        <v>7229.09</v>
      </c>
      <c r="O433" t="s">
        <v>91</v>
      </c>
      <c r="P433" s="21">
        <v>641.34</v>
      </c>
      <c r="Q433" t="s">
        <v>30</v>
      </c>
      <c r="R433" t="s">
        <v>31</v>
      </c>
      <c r="S433">
        <v>5</v>
      </c>
      <c r="T433">
        <v>6</v>
      </c>
      <c r="U433" t="s">
        <v>32</v>
      </c>
      <c r="V433" t="s">
        <v>50</v>
      </c>
      <c r="W433">
        <v>5</v>
      </c>
    </row>
    <row r="434" spans="1:23" x14ac:dyDescent="0.25">
      <c r="A434" t="s">
        <v>823</v>
      </c>
      <c r="B434" s="1">
        <v>45696</v>
      </c>
      <c r="C434" t="s">
        <v>824</v>
      </c>
      <c r="D434" t="s">
        <v>154</v>
      </c>
      <c r="E434" t="s">
        <v>46</v>
      </c>
      <c r="F434" t="s">
        <v>27</v>
      </c>
      <c r="G434" t="s">
        <v>28</v>
      </c>
      <c r="H434">
        <v>1</v>
      </c>
      <c r="I434" s="21">
        <v>4472</v>
      </c>
      <c r="J434">
        <v>20</v>
      </c>
      <c r="K434" s="21">
        <v>894.4</v>
      </c>
      <c r="L434" s="21">
        <v>3577.6</v>
      </c>
      <c r="M434" s="21">
        <v>2436.35</v>
      </c>
      <c r="N434" s="21">
        <v>1141.25</v>
      </c>
      <c r="O434" t="s">
        <v>55</v>
      </c>
      <c r="P434" s="21">
        <v>811.99</v>
      </c>
      <c r="Q434" t="s">
        <v>83</v>
      </c>
      <c r="R434" t="s">
        <v>31</v>
      </c>
      <c r="S434">
        <v>5</v>
      </c>
      <c r="T434">
        <v>4</v>
      </c>
      <c r="U434" t="s">
        <v>32</v>
      </c>
      <c r="V434" t="s">
        <v>33</v>
      </c>
      <c r="W434">
        <v>1</v>
      </c>
    </row>
    <row r="435" spans="1:23" x14ac:dyDescent="0.25">
      <c r="A435" t="s">
        <v>825</v>
      </c>
      <c r="B435" s="1">
        <v>46011</v>
      </c>
      <c r="C435" t="s">
        <v>826</v>
      </c>
      <c r="D435" t="s">
        <v>124</v>
      </c>
      <c r="E435" t="s">
        <v>26</v>
      </c>
      <c r="F435" t="s">
        <v>37</v>
      </c>
      <c r="G435" t="s">
        <v>224</v>
      </c>
      <c r="H435">
        <v>1</v>
      </c>
      <c r="I435" s="21">
        <v>26087</v>
      </c>
      <c r="J435">
        <v>15</v>
      </c>
      <c r="K435" s="21">
        <v>3913.05</v>
      </c>
      <c r="L435" s="21">
        <v>22173.95</v>
      </c>
      <c r="M435" s="21">
        <v>14210.59</v>
      </c>
      <c r="N435" s="21">
        <v>7963.36</v>
      </c>
      <c r="O435" t="s">
        <v>29</v>
      </c>
      <c r="P435" s="21">
        <v>751.07</v>
      </c>
      <c r="Q435" t="s">
        <v>73</v>
      </c>
      <c r="R435" t="s">
        <v>41</v>
      </c>
      <c r="S435">
        <v>2</v>
      </c>
      <c r="T435">
        <v>2</v>
      </c>
      <c r="U435" t="s">
        <v>32</v>
      </c>
      <c r="V435" t="s">
        <v>50</v>
      </c>
      <c r="W435">
        <v>5</v>
      </c>
    </row>
    <row r="436" spans="1:23" x14ac:dyDescent="0.25">
      <c r="A436" t="s">
        <v>827</v>
      </c>
      <c r="B436" s="1">
        <v>45734</v>
      </c>
      <c r="C436" t="s">
        <v>828</v>
      </c>
      <c r="D436" t="s">
        <v>25</v>
      </c>
      <c r="E436" t="s">
        <v>36</v>
      </c>
      <c r="F436" t="s">
        <v>27</v>
      </c>
      <c r="G436" t="s">
        <v>113</v>
      </c>
      <c r="H436">
        <v>1</v>
      </c>
      <c r="I436" s="21">
        <v>4341</v>
      </c>
      <c r="J436">
        <v>25</v>
      </c>
      <c r="K436" s="21">
        <v>1085.25</v>
      </c>
      <c r="L436" s="21">
        <v>3255.75</v>
      </c>
      <c r="M436" s="21">
        <v>2036.33</v>
      </c>
      <c r="N436" s="21">
        <v>1219.42</v>
      </c>
      <c r="O436" t="s">
        <v>39</v>
      </c>
      <c r="P436" s="21">
        <v>1622.21</v>
      </c>
      <c r="Q436" t="s">
        <v>30</v>
      </c>
      <c r="R436" t="s">
        <v>31</v>
      </c>
      <c r="S436">
        <v>5</v>
      </c>
      <c r="T436">
        <v>2</v>
      </c>
      <c r="U436" t="s">
        <v>32</v>
      </c>
      <c r="V436" t="s">
        <v>50</v>
      </c>
      <c r="W436">
        <v>4</v>
      </c>
    </row>
    <row r="437" spans="1:23" x14ac:dyDescent="0.25">
      <c r="A437" t="s">
        <v>829</v>
      </c>
      <c r="B437" s="1">
        <v>45937</v>
      </c>
      <c r="C437" t="s">
        <v>24</v>
      </c>
      <c r="D437" t="s">
        <v>90</v>
      </c>
      <c r="E437" t="s">
        <v>36</v>
      </c>
      <c r="F437" t="s">
        <v>37</v>
      </c>
      <c r="G437" t="s">
        <v>100</v>
      </c>
      <c r="H437">
        <v>2</v>
      </c>
      <c r="I437" s="21">
        <v>25333</v>
      </c>
      <c r="J437">
        <v>20</v>
      </c>
      <c r="K437" s="21">
        <v>10133.200000000001</v>
      </c>
      <c r="L437" s="21">
        <v>40532.800000000003</v>
      </c>
      <c r="M437" s="21">
        <v>24849.07</v>
      </c>
      <c r="N437" s="21">
        <v>15683.73</v>
      </c>
      <c r="O437" t="s">
        <v>49</v>
      </c>
      <c r="P437" s="21">
        <v>325.67</v>
      </c>
      <c r="Q437" t="s">
        <v>83</v>
      </c>
      <c r="R437" t="s">
        <v>41</v>
      </c>
      <c r="S437">
        <v>2</v>
      </c>
      <c r="T437">
        <v>2</v>
      </c>
      <c r="U437" t="s">
        <v>32</v>
      </c>
      <c r="V437" t="s">
        <v>33</v>
      </c>
      <c r="W437">
        <v>5</v>
      </c>
    </row>
    <row r="438" spans="1:23" x14ac:dyDescent="0.25">
      <c r="A438" t="s">
        <v>830</v>
      </c>
      <c r="B438" s="1">
        <v>45676</v>
      </c>
      <c r="C438" t="s">
        <v>831</v>
      </c>
      <c r="D438" t="s">
        <v>79</v>
      </c>
      <c r="E438" t="s">
        <v>46</v>
      </c>
      <c r="F438" t="s">
        <v>86</v>
      </c>
      <c r="G438" t="s">
        <v>127</v>
      </c>
      <c r="H438">
        <v>2</v>
      </c>
      <c r="I438" s="21">
        <v>74164</v>
      </c>
      <c r="J438">
        <v>0</v>
      </c>
      <c r="K438" s="21">
        <v>0</v>
      </c>
      <c r="L438" s="21">
        <v>148328</v>
      </c>
      <c r="M438" s="21">
        <v>86701.06</v>
      </c>
      <c r="N438" s="21">
        <v>61626.94</v>
      </c>
      <c r="O438" t="s">
        <v>49</v>
      </c>
      <c r="P438" s="21">
        <v>352.88</v>
      </c>
      <c r="Q438" t="s">
        <v>40</v>
      </c>
      <c r="R438" t="s">
        <v>41</v>
      </c>
      <c r="S438">
        <v>2</v>
      </c>
      <c r="T438">
        <v>5</v>
      </c>
      <c r="U438" t="s">
        <v>56</v>
      </c>
      <c r="V438" t="s">
        <v>33</v>
      </c>
      <c r="W438">
        <v>5</v>
      </c>
    </row>
    <row r="439" spans="1:23" x14ac:dyDescent="0.25">
      <c r="A439" t="s">
        <v>832</v>
      </c>
      <c r="B439" s="1">
        <v>45847</v>
      </c>
      <c r="C439" t="s">
        <v>380</v>
      </c>
      <c r="D439" t="s">
        <v>79</v>
      </c>
      <c r="E439" t="s">
        <v>26</v>
      </c>
      <c r="F439" t="s">
        <v>27</v>
      </c>
      <c r="G439" t="s">
        <v>76</v>
      </c>
      <c r="H439">
        <v>1</v>
      </c>
      <c r="I439" s="21">
        <v>6956</v>
      </c>
      <c r="J439">
        <v>0</v>
      </c>
      <c r="K439" s="21">
        <v>0</v>
      </c>
      <c r="L439" s="21">
        <v>6956</v>
      </c>
      <c r="M439" s="21">
        <v>4126.74</v>
      </c>
      <c r="N439" s="21">
        <v>2829.26</v>
      </c>
      <c r="O439" t="s">
        <v>60</v>
      </c>
      <c r="P439" s="21">
        <v>844.82</v>
      </c>
      <c r="Q439" t="s">
        <v>73</v>
      </c>
      <c r="R439" t="s">
        <v>41</v>
      </c>
      <c r="S439">
        <v>2</v>
      </c>
      <c r="T439">
        <v>1</v>
      </c>
      <c r="U439" t="s">
        <v>32</v>
      </c>
      <c r="V439" t="s">
        <v>33</v>
      </c>
      <c r="W439">
        <v>5</v>
      </c>
    </row>
    <row r="440" spans="1:23" x14ac:dyDescent="0.25">
      <c r="A440" t="s">
        <v>833</v>
      </c>
      <c r="B440" s="1">
        <v>45956</v>
      </c>
      <c r="C440" t="s">
        <v>524</v>
      </c>
      <c r="D440" t="s">
        <v>97</v>
      </c>
      <c r="E440" t="s">
        <v>26</v>
      </c>
      <c r="F440" t="s">
        <v>27</v>
      </c>
      <c r="G440" t="s">
        <v>164</v>
      </c>
      <c r="H440">
        <v>1</v>
      </c>
      <c r="I440" s="21">
        <v>22373</v>
      </c>
      <c r="J440">
        <v>10</v>
      </c>
      <c r="K440" s="21">
        <v>2237.3000000000002</v>
      </c>
      <c r="L440" s="21">
        <v>20135.7</v>
      </c>
      <c r="M440" s="21">
        <v>13124.3</v>
      </c>
      <c r="N440" s="21">
        <v>7011.4</v>
      </c>
      <c r="O440" t="s">
        <v>49</v>
      </c>
      <c r="P440" s="21">
        <v>403.29</v>
      </c>
      <c r="Q440" t="s">
        <v>30</v>
      </c>
      <c r="R440" t="s">
        <v>41</v>
      </c>
      <c r="S440">
        <v>2</v>
      </c>
      <c r="T440">
        <v>5</v>
      </c>
      <c r="U440" t="s">
        <v>32</v>
      </c>
      <c r="V440" t="s">
        <v>50</v>
      </c>
      <c r="W440">
        <v>5</v>
      </c>
    </row>
    <row r="441" spans="1:23" x14ac:dyDescent="0.25">
      <c r="A441" t="s">
        <v>834</v>
      </c>
      <c r="B441" s="1">
        <v>45940</v>
      </c>
      <c r="C441" t="s">
        <v>835</v>
      </c>
      <c r="D441" t="s">
        <v>79</v>
      </c>
      <c r="E441" t="s">
        <v>46</v>
      </c>
      <c r="F441" t="s">
        <v>47</v>
      </c>
      <c r="G441" t="s">
        <v>146</v>
      </c>
      <c r="H441">
        <v>1</v>
      </c>
      <c r="I441" s="21">
        <v>45810</v>
      </c>
      <c r="J441">
        <v>10</v>
      </c>
      <c r="K441" s="21">
        <v>4581</v>
      </c>
      <c r="L441" s="21">
        <v>41229</v>
      </c>
      <c r="M441" s="21">
        <v>24094.34</v>
      </c>
      <c r="N441" s="21">
        <v>17134.66</v>
      </c>
      <c r="O441" t="s">
        <v>39</v>
      </c>
      <c r="P441" s="21">
        <v>1894.91</v>
      </c>
      <c r="Q441" t="s">
        <v>73</v>
      </c>
      <c r="R441" t="s">
        <v>41</v>
      </c>
      <c r="S441">
        <v>2</v>
      </c>
      <c r="T441">
        <v>1</v>
      </c>
      <c r="U441" t="s">
        <v>32</v>
      </c>
      <c r="V441" t="s">
        <v>33</v>
      </c>
      <c r="W441">
        <v>5</v>
      </c>
    </row>
    <row r="442" spans="1:23" x14ac:dyDescent="0.25">
      <c r="A442" t="s">
        <v>836</v>
      </c>
      <c r="B442" s="1">
        <v>45733</v>
      </c>
      <c r="C442" t="s">
        <v>179</v>
      </c>
      <c r="D442" t="s">
        <v>124</v>
      </c>
      <c r="E442" t="s">
        <v>36</v>
      </c>
      <c r="F442" t="s">
        <v>53</v>
      </c>
      <c r="G442" t="s">
        <v>82</v>
      </c>
      <c r="H442">
        <v>1</v>
      </c>
      <c r="I442" s="21">
        <v>56844</v>
      </c>
      <c r="J442">
        <v>0</v>
      </c>
      <c r="K442" s="21">
        <v>0</v>
      </c>
      <c r="L442" s="21">
        <v>56844</v>
      </c>
      <c r="M442" s="21">
        <v>37331.410000000003</v>
      </c>
      <c r="N442" s="21">
        <v>19512.59</v>
      </c>
      <c r="O442" t="s">
        <v>60</v>
      </c>
      <c r="P442" s="21">
        <v>532.80999999999995</v>
      </c>
      <c r="Q442" t="s">
        <v>73</v>
      </c>
      <c r="R442" t="s">
        <v>41</v>
      </c>
      <c r="S442">
        <v>2</v>
      </c>
      <c r="T442">
        <v>2</v>
      </c>
      <c r="U442" t="s">
        <v>32</v>
      </c>
      <c r="V442" t="s">
        <v>42</v>
      </c>
    </row>
    <row r="443" spans="1:23" x14ac:dyDescent="0.25">
      <c r="A443" t="s">
        <v>837</v>
      </c>
      <c r="B443" s="1">
        <v>45878</v>
      </c>
      <c r="C443" t="s">
        <v>339</v>
      </c>
      <c r="D443" t="s">
        <v>154</v>
      </c>
      <c r="E443" t="s">
        <v>46</v>
      </c>
      <c r="F443" t="s">
        <v>47</v>
      </c>
      <c r="G443" t="s">
        <v>105</v>
      </c>
      <c r="H443">
        <v>2</v>
      </c>
      <c r="I443" s="21">
        <v>53069</v>
      </c>
      <c r="J443">
        <v>10</v>
      </c>
      <c r="K443" s="21">
        <v>10613.8</v>
      </c>
      <c r="L443" s="21">
        <v>95524.2</v>
      </c>
      <c r="M443" s="21">
        <v>65495.41</v>
      </c>
      <c r="N443" s="21">
        <v>30028.79</v>
      </c>
      <c r="O443" t="s">
        <v>29</v>
      </c>
      <c r="P443" s="21">
        <v>1825</v>
      </c>
      <c r="Q443" t="s">
        <v>30</v>
      </c>
      <c r="R443" t="s">
        <v>31</v>
      </c>
      <c r="S443">
        <v>5</v>
      </c>
      <c r="T443">
        <v>2</v>
      </c>
      <c r="U443" t="s">
        <v>32</v>
      </c>
      <c r="V443" t="s">
        <v>50</v>
      </c>
      <c r="W443">
        <v>5</v>
      </c>
    </row>
    <row r="444" spans="1:23" x14ac:dyDescent="0.25">
      <c r="A444" t="s">
        <v>838</v>
      </c>
      <c r="B444" s="1">
        <v>45723</v>
      </c>
      <c r="C444" t="s">
        <v>272</v>
      </c>
      <c r="D444" t="s">
        <v>71</v>
      </c>
      <c r="E444" t="s">
        <v>36</v>
      </c>
      <c r="F444" t="s">
        <v>47</v>
      </c>
      <c r="G444" t="s">
        <v>105</v>
      </c>
      <c r="H444">
        <v>1</v>
      </c>
      <c r="I444" s="21">
        <v>53973</v>
      </c>
      <c r="J444">
        <v>0</v>
      </c>
      <c r="K444" s="21">
        <v>0</v>
      </c>
      <c r="L444" s="21">
        <v>53973</v>
      </c>
      <c r="M444" s="21">
        <v>43138.06</v>
      </c>
      <c r="N444" s="21">
        <v>10834.94</v>
      </c>
      <c r="O444" t="s">
        <v>55</v>
      </c>
      <c r="P444" s="21">
        <v>1101.1600000000001</v>
      </c>
      <c r="Q444" t="s">
        <v>68</v>
      </c>
      <c r="R444" t="s">
        <v>41</v>
      </c>
      <c r="S444">
        <v>2</v>
      </c>
      <c r="T444">
        <v>1</v>
      </c>
      <c r="U444" t="s">
        <v>32</v>
      </c>
      <c r="V444" t="s">
        <v>33</v>
      </c>
      <c r="W444">
        <v>5</v>
      </c>
    </row>
    <row r="445" spans="1:23" x14ac:dyDescent="0.25">
      <c r="A445" t="s">
        <v>839</v>
      </c>
      <c r="B445" s="1">
        <v>45679</v>
      </c>
      <c r="C445" t="s">
        <v>840</v>
      </c>
      <c r="D445" t="s">
        <v>25</v>
      </c>
      <c r="E445" t="s">
        <v>26</v>
      </c>
      <c r="F445" t="s">
        <v>53</v>
      </c>
      <c r="G445" t="s">
        <v>82</v>
      </c>
      <c r="H445">
        <v>4</v>
      </c>
      <c r="I445" s="21">
        <v>108315</v>
      </c>
      <c r="J445">
        <v>10</v>
      </c>
      <c r="K445" s="21">
        <v>43326</v>
      </c>
      <c r="L445" s="21">
        <v>389934</v>
      </c>
      <c r="M445" s="21">
        <v>244191.61</v>
      </c>
      <c r="N445" s="21">
        <v>145742.39000000001</v>
      </c>
      <c r="O445" t="s">
        <v>60</v>
      </c>
      <c r="P445" s="21">
        <v>501.07</v>
      </c>
      <c r="Q445" t="s">
        <v>40</v>
      </c>
      <c r="R445" t="s">
        <v>41</v>
      </c>
      <c r="S445">
        <v>2</v>
      </c>
      <c r="T445">
        <v>1</v>
      </c>
      <c r="U445" t="s">
        <v>32</v>
      </c>
      <c r="V445" t="s">
        <v>33</v>
      </c>
      <c r="W445">
        <v>1</v>
      </c>
    </row>
    <row r="446" spans="1:23" x14ac:dyDescent="0.25">
      <c r="A446" t="s">
        <v>841</v>
      </c>
      <c r="B446" s="1">
        <v>45815</v>
      </c>
      <c r="C446" t="s">
        <v>78</v>
      </c>
      <c r="D446" t="s">
        <v>154</v>
      </c>
      <c r="E446" t="s">
        <v>46</v>
      </c>
      <c r="F446" t="s">
        <v>53</v>
      </c>
      <c r="G446" t="s">
        <v>59</v>
      </c>
      <c r="H446">
        <v>2</v>
      </c>
      <c r="I446" s="21">
        <v>47152</v>
      </c>
      <c r="J446">
        <v>0</v>
      </c>
      <c r="K446" s="21">
        <v>0</v>
      </c>
      <c r="L446" s="21">
        <v>94304</v>
      </c>
      <c r="M446" s="21">
        <v>61090.22</v>
      </c>
      <c r="N446" s="21">
        <v>33213.78</v>
      </c>
      <c r="O446" t="s">
        <v>29</v>
      </c>
      <c r="P446" s="21">
        <v>2006.65</v>
      </c>
      <c r="Q446" t="s">
        <v>68</v>
      </c>
      <c r="R446" t="s">
        <v>31</v>
      </c>
      <c r="S446">
        <v>5</v>
      </c>
      <c r="T446">
        <v>5</v>
      </c>
      <c r="U446" t="s">
        <v>32</v>
      </c>
      <c r="V446" t="s">
        <v>42</v>
      </c>
    </row>
    <row r="447" spans="1:23" x14ac:dyDescent="0.25">
      <c r="A447" t="s">
        <v>842</v>
      </c>
      <c r="B447" s="1">
        <v>45844</v>
      </c>
      <c r="C447" t="s">
        <v>335</v>
      </c>
      <c r="D447" t="s">
        <v>90</v>
      </c>
      <c r="E447" t="s">
        <v>46</v>
      </c>
      <c r="F447" t="s">
        <v>27</v>
      </c>
      <c r="G447" t="s">
        <v>113</v>
      </c>
      <c r="H447">
        <v>1</v>
      </c>
      <c r="I447" s="21">
        <v>24802</v>
      </c>
      <c r="J447">
        <v>15</v>
      </c>
      <c r="K447" s="21">
        <v>3720.3</v>
      </c>
      <c r="L447" s="21">
        <v>21081.7</v>
      </c>
      <c r="M447" s="21">
        <v>17114.68</v>
      </c>
      <c r="N447" s="21">
        <v>3967.02</v>
      </c>
      <c r="O447" t="s">
        <v>55</v>
      </c>
      <c r="P447" s="21">
        <v>473.25</v>
      </c>
      <c r="Q447" t="s">
        <v>30</v>
      </c>
      <c r="R447" t="s">
        <v>41</v>
      </c>
      <c r="S447">
        <v>2</v>
      </c>
      <c r="T447">
        <v>1</v>
      </c>
      <c r="U447" t="s">
        <v>32</v>
      </c>
      <c r="V447" t="s">
        <v>50</v>
      </c>
      <c r="W447">
        <v>1</v>
      </c>
    </row>
    <row r="448" spans="1:23" x14ac:dyDescent="0.25">
      <c r="A448" t="s">
        <v>843</v>
      </c>
      <c r="B448" s="1">
        <v>45678</v>
      </c>
      <c r="C448" t="s">
        <v>253</v>
      </c>
      <c r="D448" t="s">
        <v>71</v>
      </c>
      <c r="E448" t="s">
        <v>36</v>
      </c>
      <c r="F448" t="s">
        <v>27</v>
      </c>
      <c r="G448" t="s">
        <v>72</v>
      </c>
      <c r="H448">
        <v>2</v>
      </c>
      <c r="I448" s="21">
        <v>12518</v>
      </c>
      <c r="J448">
        <v>10</v>
      </c>
      <c r="K448" s="21">
        <v>2503.6</v>
      </c>
      <c r="L448" s="21">
        <v>22532.400000000001</v>
      </c>
      <c r="M448" s="21">
        <v>12463.41</v>
      </c>
      <c r="N448" s="21">
        <v>10068.99</v>
      </c>
      <c r="O448" t="s">
        <v>49</v>
      </c>
      <c r="P448" s="21">
        <v>270.14999999999998</v>
      </c>
      <c r="Q448" t="s">
        <v>40</v>
      </c>
      <c r="R448" t="s">
        <v>31</v>
      </c>
      <c r="S448">
        <v>5</v>
      </c>
      <c r="T448">
        <v>5</v>
      </c>
      <c r="U448" t="s">
        <v>32</v>
      </c>
      <c r="V448" t="s">
        <v>33</v>
      </c>
      <c r="W448">
        <v>1</v>
      </c>
    </row>
    <row r="449" spans="1:23" x14ac:dyDescent="0.25">
      <c r="A449" t="s">
        <v>844</v>
      </c>
      <c r="B449" s="1">
        <v>45841</v>
      </c>
      <c r="C449" t="s">
        <v>109</v>
      </c>
      <c r="D449" t="s">
        <v>45</v>
      </c>
      <c r="E449" t="s">
        <v>46</v>
      </c>
      <c r="F449" t="s">
        <v>47</v>
      </c>
      <c r="G449" t="s">
        <v>138</v>
      </c>
      <c r="H449">
        <v>2</v>
      </c>
      <c r="I449" s="21">
        <v>45854</v>
      </c>
      <c r="J449">
        <v>15</v>
      </c>
      <c r="K449" s="21">
        <v>13756.2</v>
      </c>
      <c r="L449" s="21">
        <v>77951.8</v>
      </c>
      <c r="M449" s="21">
        <v>49153.14</v>
      </c>
      <c r="N449" s="21">
        <v>28798.66</v>
      </c>
      <c r="O449" t="s">
        <v>60</v>
      </c>
      <c r="P449" s="21">
        <v>346.05</v>
      </c>
      <c r="Q449" t="s">
        <v>40</v>
      </c>
      <c r="R449" t="s">
        <v>31</v>
      </c>
      <c r="S449">
        <v>5</v>
      </c>
      <c r="T449">
        <v>3</v>
      </c>
      <c r="U449" t="s">
        <v>32</v>
      </c>
      <c r="V449" t="s">
        <v>33</v>
      </c>
      <c r="W449">
        <v>3</v>
      </c>
    </row>
    <row r="450" spans="1:23" x14ac:dyDescent="0.25">
      <c r="A450" t="s">
        <v>845</v>
      </c>
      <c r="B450" s="1">
        <v>45765</v>
      </c>
      <c r="C450" t="s">
        <v>812</v>
      </c>
      <c r="D450" t="s">
        <v>71</v>
      </c>
      <c r="E450" t="s">
        <v>36</v>
      </c>
      <c r="F450" t="s">
        <v>47</v>
      </c>
      <c r="G450" t="s">
        <v>105</v>
      </c>
      <c r="H450">
        <v>2</v>
      </c>
      <c r="I450" s="21">
        <v>39018</v>
      </c>
      <c r="J450">
        <v>0</v>
      </c>
      <c r="K450" s="21">
        <v>0</v>
      </c>
      <c r="L450" s="21">
        <v>78036</v>
      </c>
      <c r="M450" s="21">
        <v>58796.01</v>
      </c>
      <c r="N450" s="21">
        <v>19239.990000000002</v>
      </c>
      <c r="O450" t="s">
        <v>29</v>
      </c>
      <c r="P450" s="21">
        <v>2182.61</v>
      </c>
      <c r="Q450" t="s">
        <v>68</v>
      </c>
      <c r="R450" t="s">
        <v>31</v>
      </c>
      <c r="S450">
        <v>5</v>
      </c>
      <c r="T450">
        <v>3</v>
      </c>
      <c r="U450" t="s">
        <v>32</v>
      </c>
      <c r="V450" t="s">
        <v>33</v>
      </c>
      <c r="W450">
        <v>2</v>
      </c>
    </row>
    <row r="451" spans="1:23" x14ac:dyDescent="0.25">
      <c r="A451" t="s">
        <v>846</v>
      </c>
      <c r="B451" s="1">
        <v>46007</v>
      </c>
      <c r="C451" t="s">
        <v>297</v>
      </c>
      <c r="D451" t="s">
        <v>25</v>
      </c>
      <c r="E451" t="s">
        <v>46</v>
      </c>
      <c r="F451" t="s">
        <v>53</v>
      </c>
      <c r="G451" t="s">
        <v>82</v>
      </c>
      <c r="H451">
        <v>2</v>
      </c>
      <c r="I451" s="21">
        <v>94542</v>
      </c>
      <c r="J451">
        <v>0</v>
      </c>
      <c r="K451" s="21">
        <v>0</v>
      </c>
      <c r="L451" s="21">
        <v>189084</v>
      </c>
      <c r="M451" s="21">
        <v>108315.78</v>
      </c>
      <c r="N451" s="21">
        <v>80768.22</v>
      </c>
      <c r="O451" t="s">
        <v>55</v>
      </c>
      <c r="P451" s="21">
        <v>2422.44</v>
      </c>
      <c r="Q451" t="s">
        <v>68</v>
      </c>
      <c r="R451" t="s">
        <v>41</v>
      </c>
      <c r="S451">
        <v>2</v>
      </c>
      <c r="T451">
        <v>1</v>
      </c>
      <c r="U451" t="s">
        <v>32</v>
      </c>
      <c r="V451" t="s">
        <v>33</v>
      </c>
      <c r="W451">
        <v>3</v>
      </c>
    </row>
    <row r="452" spans="1:23" x14ac:dyDescent="0.25">
      <c r="A452" t="s">
        <v>847</v>
      </c>
      <c r="B452" s="1">
        <v>45785</v>
      </c>
      <c r="C452" t="s">
        <v>156</v>
      </c>
      <c r="D452" t="s">
        <v>63</v>
      </c>
      <c r="E452" t="s">
        <v>36</v>
      </c>
      <c r="F452" t="s">
        <v>27</v>
      </c>
      <c r="G452" t="s">
        <v>164</v>
      </c>
      <c r="H452">
        <v>1</v>
      </c>
      <c r="I452" s="21">
        <v>18079</v>
      </c>
      <c r="J452">
        <v>20</v>
      </c>
      <c r="K452" s="21">
        <v>3615.8</v>
      </c>
      <c r="L452" s="21">
        <v>14463.2</v>
      </c>
      <c r="M452" s="21">
        <v>10669.18</v>
      </c>
      <c r="N452" s="21">
        <v>3794.02</v>
      </c>
      <c r="O452" t="s">
        <v>55</v>
      </c>
      <c r="P452" s="21">
        <v>1437.88</v>
      </c>
      <c r="Q452" t="s">
        <v>68</v>
      </c>
      <c r="R452" t="s">
        <v>41</v>
      </c>
      <c r="S452">
        <v>2</v>
      </c>
      <c r="T452">
        <v>4</v>
      </c>
      <c r="U452" t="s">
        <v>32</v>
      </c>
      <c r="V452" t="s">
        <v>42</v>
      </c>
    </row>
    <row r="453" spans="1:23" x14ac:dyDescent="0.25">
      <c r="A453" t="s">
        <v>848</v>
      </c>
      <c r="B453" s="1">
        <v>45999</v>
      </c>
      <c r="C453" t="s">
        <v>671</v>
      </c>
      <c r="D453" t="s">
        <v>90</v>
      </c>
      <c r="E453" t="s">
        <v>46</v>
      </c>
      <c r="F453" t="s">
        <v>53</v>
      </c>
      <c r="G453" t="s">
        <v>151</v>
      </c>
      <c r="H453">
        <v>3</v>
      </c>
      <c r="I453" s="21">
        <v>37208</v>
      </c>
      <c r="J453">
        <v>10</v>
      </c>
      <c r="K453" s="21">
        <v>11162.4</v>
      </c>
      <c r="L453" s="21">
        <v>100461.6</v>
      </c>
      <c r="M453" s="21">
        <v>62778.14</v>
      </c>
      <c r="N453" s="21">
        <v>37683.46</v>
      </c>
      <c r="O453" t="s">
        <v>91</v>
      </c>
      <c r="P453" s="21">
        <v>786.42</v>
      </c>
      <c r="Q453" t="s">
        <v>30</v>
      </c>
      <c r="R453" t="s">
        <v>41</v>
      </c>
      <c r="S453">
        <v>2</v>
      </c>
      <c r="T453">
        <v>0</v>
      </c>
      <c r="U453" t="s">
        <v>32</v>
      </c>
      <c r="V453" t="s">
        <v>50</v>
      </c>
      <c r="W453">
        <v>5</v>
      </c>
    </row>
    <row r="454" spans="1:23" x14ac:dyDescent="0.25">
      <c r="A454" t="s">
        <v>849</v>
      </c>
      <c r="B454" s="1">
        <v>45710</v>
      </c>
      <c r="C454" t="s">
        <v>792</v>
      </c>
      <c r="D454" t="s">
        <v>79</v>
      </c>
      <c r="E454" t="s">
        <v>26</v>
      </c>
      <c r="F454" t="s">
        <v>47</v>
      </c>
      <c r="G454" t="s">
        <v>105</v>
      </c>
      <c r="H454">
        <v>3</v>
      </c>
      <c r="I454" s="21">
        <v>42121</v>
      </c>
      <c r="J454">
        <v>5</v>
      </c>
      <c r="K454" s="21">
        <v>6318.15</v>
      </c>
      <c r="L454" s="21">
        <v>120044.85</v>
      </c>
      <c r="M454" s="21">
        <v>89181.34</v>
      </c>
      <c r="N454" s="21">
        <v>30863.51</v>
      </c>
      <c r="O454" t="s">
        <v>39</v>
      </c>
      <c r="P454" s="21">
        <v>2089.61</v>
      </c>
      <c r="Q454" t="s">
        <v>73</v>
      </c>
      <c r="R454" t="s">
        <v>31</v>
      </c>
      <c r="S454">
        <v>5</v>
      </c>
      <c r="T454">
        <v>3</v>
      </c>
      <c r="U454" t="s">
        <v>32</v>
      </c>
      <c r="V454" t="s">
        <v>42</v>
      </c>
    </row>
    <row r="455" spans="1:23" x14ac:dyDescent="0.25">
      <c r="A455" t="s">
        <v>850</v>
      </c>
      <c r="B455" s="1">
        <v>45839</v>
      </c>
      <c r="C455" t="s">
        <v>286</v>
      </c>
      <c r="D455" t="s">
        <v>45</v>
      </c>
      <c r="E455" t="s">
        <v>46</v>
      </c>
      <c r="F455" t="s">
        <v>27</v>
      </c>
      <c r="G455" t="s">
        <v>113</v>
      </c>
      <c r="H455">
        <v>1</v>
      </c>
      <c r="I455" s="21">
        <v>16829</v>
      </c>
      <c r="J455">
        <v>10</v>
      </c>
      <c r="K455" s="21">
        <v>1682.9</v>
      </c>
      <c r="L455" s="21">
        <v>15146.1</v>
      </c>
      <c r="M455" s="21">
        <v>10948.33</v>
      </c>
      <c r="N455" s="21">
        <v>4197.7700000000004</v>
      </c>
      <c r="O455" t="s">
        <v>91</v>
      </c>
      <c r="P455" s="21">
        <v>828.48</v>
      </c>
      <c r="Q455" t="s">
        <v>68</v>
      </c>
      <c r="R455" t="s">
        <v>41</v>
      </c>
      <c r="S455">
        <v>2</v>
      </c>
      <c r="T455">
        <v>3</v>
      </c>
      <c r="U455" t="s">
        <v>56</v>
      </c>
      <c r="V455" t="s">
        <v>33</v>
      </c>
      <c r="W455">
        <v>5</v>
      </c>
    </row>
    <row r="456" spans="1:23" x14ac:dyDescent="0.25">
      <c r="A456" t="s">
        <v>851</v>
      </c>
      <c r="B456" s="1">
        <v>45944</v>
      </c>
      <c r="C456" t="s">
        <v>852</v>
      </c>
      <c r="D456" t="s">
        <v>71</v>
      </c>
      <c r="E456" t="s">
        <v>46</v>
      </c>
      <c r="F456" t="s">
        <v>86</v>
      </c>
      <c r="G456" t="s">
        <v>180</v>
      </c>
      <c r="H456">
        <v>1</v>
      </c>
      <c r="I456" s="21">
        <v>75006</v>
      </c>
      <c r="J456">
        <v>20</v>
      </c>
      <c r="K456" s="21">
        <v>15001.2</v>
      </c>
      <c r="L456" s="21">
        <v>60004.800000000003</v>
      </c>
      <c r="M456" s="21">
        <v>34550.519999999997</v>
      </c>
      <c r="N456" s="21">
        <v>25454.28</v>
      </c>
      <c r="O456" t="s">
        <v>91</v>
      </c>
      <c r="P456" s="21">
        <v>823.42</v>
      </c>
      <c r="Q456" t="s">
        <v>83</v>
      </c>
      <c r="R456" t="s">
        <v>41</v>
      </c>
      <c r="S456">
        <v>2</v>
      </c>
      <c r="T456">
        <v>1</v>
      </c>
      <c r="U456" t="s">
        <v>32</v>
      </c>
      <c r="V456" t="s">
        <v>33</v>
      </c>
      <c r="W456">
        <v>5</v>
      </c>
    </row>
    <row r="457" spans="1:23" x14ac:dyDescent="0.25">
      <c r="A457" t="s">
        <v>853</v>
      </c>
      <c r="B457" s="1">
        <v>45866</v>
      </c>
      <c r="C457" t="s">
        <v>854</v>
      </c>
      <c r="D457" t="s">
        <v>71</v>
      </c>
      <c r="E457" t="s">
        <v>46</v>
      </c>
      <c r="F457" t="s">
        <v>53</v>
      </c>
      <c r="G457" t="s">
        <v>268</v>
      </c>
      <c r="H457">
        <v>2</v>
      </c>
      <c r="I457" s="21">
        <v>112382</v>
      </c>
      <c r="J457">
        <v>20</v>
      </c>
      <c r="K457" s="21">
        <v>44952.800000000003</v>
      </c>
      <c r="L457" s="21">
        <v>179811.20000000001</v>
      </c>
      <c r="M457" s="21">
        <v>127652.24</v>
      </c>
      <c r="N457" s="21">
        <v>52158.96</v>
      </c>
      <c r="O457" t="s">
        <v>91</v>
      </c>
      <c r="P457" s="21">
        <v>1381.2</v>
      </c>
      <c r="Q457" t="s">
        <v>68</v>
      </c>
      <c r="R457" t="s">
        <v>31</v>
      </c>
      <c r="S457">
        <v>5</v>
      </c>
      <c r="T457">
        <v>3</v>
      </c>
      <c r="U457" t="s">
        <v>32</v>
      </c>
      <c r="V457" t="s">
        <v>33</v>
      </c>
      <c r="W457">
        <v>5</v>
      </c>
    </row>
    <row r="458" spans="1:23" x14ac:dyDescent="0.25">
      <c r="A458" t="s">
        <v>855</v>
      </c>
      <c r="B458" s="1">
        <v>45975</v>
      </c>
      <c r="C458" t="s">
        <v>511</v>
      </c>
      <c r="D458" t="s">
        <v>45</v>
      </c>
      <c r="E458" t="s">
        <v>46</v>
      </c>
      <c r="F458" t="s">
        <v>47</v>
      </c>
      <c r="G458" t="s">
        <v>146</v>
      </c>
      <c r="H458">
        <v>3</v>
      </c>
      <c r="I458" s="21">
        <v>31258</v>
      </c>
      <c r="J458">
        <v>20</v>
      </c>
      <c r="K458" s="21">
        <v>18754.8</v>
      </c>
      <c r="L458" s="21">
        <v>75019.199999999997</v>
      </c>
      <c r="M458" s="21">
        <v>44969.38</v>
      </c>
      <c r="N458" s="21">
        <v>30049.82</v>
      </c>
      <c r="P458" s="21">
        <v>179.07</v>
      </c>
      <c r="Q458" t="s">
        <v>30</v>
      </c>
      <c r="R458" t="s">
        <v>41</v>
      </c>
      <c r="S458">
        <v>2</v>
      </c>
      <c r="T458">
        <v>1</v>
      </c>
      <c r="U458" t="s">
        <v>32</v>
      </c>
      <c r="V458" t="s">
        <v>33</v>
      </c>
      <c r="W458">
        <v>5</v>
      </c>
    </row>
    <row r="459" spans="1:23" x14ac:dyDescent="0.25">
      <c r="A459" t="s">
        <v>856</v>
      </c>
      <c r="B459" s="1">
        <v>45737</v>
      </c>
      <c r="C459" t="s">
        <v>857</v>
      </c>
      <c r="D459" t="s">
        <v>79</v>
      </c>
      <c r="E459" t="s">
        <v>46</v>
      </c>
      <c r="F459" t="s">
        <v>37</v>
      </c>
      <c r="G459" t="s">
        <v>161</v>
      </c>
      <c r="H459">
        <v>1</v>
      </c>
      <c r="I459" s="21">
        <v>19731</v>
      </c>
      <c r="J459">
        <v>0</v>
      </c>
      <c r="K459" s="21">
        <v>0</v>
      </c>
      <c r="L459" s="21">
        <v>19731</v>
      </c>
      <c r="M459" s="21">
        <v>11731.67</v>
      </c>
      <c r="N459" s="21">
        <v>7999.33</v>
      </c>
      <c r="O459" t="s">
        <v>39</v>
      </c>
      <c r="P459" s="21">
        <v>857.46</v>
      </c>
      <c r="Q459" t="s">
        <v>30</v>
      </c>
      <c r="R459" t="s">
        <v>31</v>
      </c>
      <c r="S459">
        <v>5</v>
      </c>
      <c r="T459">
        <v>2</v>
      </c>
      <c r="U459" t="s">
        <v>32</v>
      </c>
      <c r="V459" t="s">
        <v>33</v>
      </c>
      <c r="W459">
        <v>5</v>
      </c>
    </row>
    <row r="460" spans="1:23" x14ac:dyDescent="0.25">
      <c r="A460" t="s">
        <v>858</v>
      </c>
      <c r="B460" s="1">
        <v>45779</v>
      </c>
      <c r="C460" t="s">
        <v>52</v>
      </c>
      <c r="D460" t="s">
        <v>154</v>
      </c>
      <c r="E460" t="s">
        <v>26</v>
      </c>
      <c r="F460" t="s">
        <v>53</v>
      </c>
      <c r="G460" t="s">
        <v>54</v>
      </c>
      <c r="H460">
        <v>2</v>
      </c>
      <c r="I460" s="21">
        <v>97706</v>
      </c>
      <c r="J460">
        <v>5</v>
      </c>
      <c r="K460" s="21">
        <v>9770.6</v>
      </c>
      <c r="L460" s="21">
        <v>185641.4</v>
      </c>
      <c r="M460" s="21">
        <v>147759.29</v>
      </c>
      <c r="N460" s="21">
        <v>37882.11</v>
      </c>
      <c r="O460" t="s">
        <v>60</v>
      </c>
      <c r="P460" s="21">
        <v>1815.96</v>
      </c>
      <c r="Q460" t="s">
        <v>73</v>
      </c>
      <c r="R460" t="s">
        <v>31</v>
      </c>
      <c r="S460">
        <v>5</v>
      </c>
      <c r="T460">
        <v>5</v>
      </c>
      <c r="U460" t="s">
        <v>32</v>
      </c>
      <c r="V460" t="s">
        <v>50</v>
      </c>
      <c r="W460">
        <v>4</v>
      </c>
    </row>
    <row r="461" spans="1:23" x14ac:dyDescent="0.25">
      <c r="A461" t="s">
        <v>859</v>
      </c>
      <c r="B461" s="1">
        <v>45741</v>
      </c>
      <c r="C461" t="s">
        <v>860</v>
      </c>
      <c r="D461" t="s">
        <v>45</v>
      </c>
      <c r="E461" t="s">
        <v>36</v>
      </c>
      <c r="F461" t="s">
        <v>47</v>
      </c>
      <c r="G461" t="s">
        <v>64</v>
      </c>
      <c r="H461">
        <v>2</v>
      </c>
      <c r="I461" s="21">
        <v>41309</v>
      </c>
      <c r="J461">
        <v>10</v>
      </c>
      <c r="K461" s="21">
        <v>8261.7999999999993</v>
      </c>
      <c r="L461" s="21">
        <v>74356.2</v>
      </c>
      <c r="M461" s="21">
        <v>57748.03</v>
      </c>
      <c r="N461" s="21">
        <v>16608.169999999998</v>
      </c>
      <c r="O461" t="s">
        <v>60</v>
      </c>
      <c r="P461" s="21">
        <v>1172.26</v>
      </c>
      <c r="Q461" t="s">
        <v>30</v>
      </c>
      <c r="R461" t="s">
        <v>41</v>
      </c>
      <c r="S461">
        <v>2</v>
      </c>
      <c r="T461">
        <v>0</v>
      </c>
      <c r="U461" t="s">
        <v>32</v>
      </c>
      <c r="V461" t="s">
        <v>42</v>
      </c>
    </row>
    <row r="462" spans="1:23" x14ac:dyDescent="0.25">
      <c r="A462" t="s">
        <v>861</v>
      </c>
      <c r="B462" s="1">
        <v>45748</v>
      </c>
      <c r="C462" t="s">
        <v>553</v>
      </c>
      <c r="D462" t="s">
        <v>25</v>
      </c>
      <c r="E462" t="s">
        <v>46</v>
      </c>
      <c r="F462" t="s">
        <v>47</v>
      </c>
      <c r="G462" t="s">
        <v>48</v>
      </c>
      <c r="H462">
        <v>1</v>
      </c>
      <c r="I462" s="21">
        <v>14724</v>
      </c>
      <c r="J462">
        <v>10</v>
      </c>
      <c r="K462" s="21">
        <v>1472.4</v>
      </c>
      <c r="L462" s="21">
        <v>13251.6</v>
      </c>
      <c r="M462" s="21">
        <v>8235.64</v>
      </c>
      <c r="N462" s="21">
        <v>5015.96</v>
      </c>
      <c r="O462" t="s">
        <v>49</v>
      </c>
      <c r="P462" s="21">
        <v>465.38</v>
      </c>
      <c r="Q462" t="s">
        <v>40</v>
      </c>
      <c r="R462" t="s">
        <v>41</v>
      </c>
      <c r="S462">
        <v>2</v>
      </c>
      <c r="T462">
        <v>5</v>
      </c>
      <c r="U462" t="s">
        <v>56</v>
      </c>
      <c r="V462" t="s">
        <v>33</v>
      </c>
      <c r="W462">
        <v>2</v>
      </c>
    </row>
    <row r="463" spans="1:23" x14ac:dyDescent="0.25">
      <c r="A463" t="s">
        <v>862</v>
      </c>
      <c r="B463" s="1">
        <v>45869</v>
      </c>
      <c r="C463" t="s">
        <v>462</v>
      </c>
      <c r="D463" t="s">
        <v>90</v>
      </c>
      <c r="E463" t="s">
        <v>46</v>
      </c>
      <c r="F463" t="s">
        <v>53</v>
      </c>
      <c r="G463" t="s">
        <v>54</v>
      </c>
      <c r="H463">
        <v>1</v>
      </c>
      <c r="I463" s="21">
        <v>48105</v>
      </c>
      <c r="J463">
        <v>0</v>
      </c>
      <c r="K463" s="21">
        <v>0</v>
      </c>
      <c r="L463" s="21">
        <v>48105</v>
      </c>
      <c r="M463" s="21">
        <v>31679.95</v>
      </c>
      <c r="N463" s="21">
        <v>16425.05</v>
      </c>
      <c r="O463" t="s">
        <v>39</v>
      </c>
      <c r="P463" s="21">
        <v>1331.71</v>
      </c>
      <c r="Q463" t="s">
        <v>83</v>
      </c>
      <c r="R463" t="s">
        <v>31</v>
      </c>
      <c r="S463">
        <v>5</v>
      </c>
      <c r="T463">
        <v>5</v>
      </c>
      <c r="U463" t="s">
        <v>32</v>
      </c>
      <c r="V463" t="s">
        <v>33</v>
      </c>
      <c r="W463">
        <v>4</v>
      </c>
    </row>
    <row r="464" spans="1:23" x14ac:dyDescent="0.25">
      <c r="A464" t="s">
        <v>863</v>
      </c>
      <c r="B464" s="1">
        <v>45670</v>
      </c>
      <c r="C464" t="s">
        <v>864</v>
      </c>
      <c r="E464" t="s">
        <v>36</v>
      </c>
      <c r="F464" t="s">
        <v>37</v>
      </c>
      <c r="G464" t="s">
        <v>38</v>
      </c>
      <c r="H464">
        <v>1</v>
      </c>
      <c r="I464" s="21">
        <v>34847</v>
      </c>
      <c r="J464">
        <v>15</v>
      </c>
      <c r="K464" s="21">
        <v>5227.05</v>
      </c>
      <c r="L464" s="21">
        <v>29619.95</v>
      </c>
      <c r="M464" s="21">
        <v>19284.47</v>
      </c>
      <c r="N464" s="21">
        <v>10335.48</v>
      </c>
      <c r="O464" t="s">
        <v>55</v>
      </c>
      <c r="P464" s="21">
        <v>1433.78</v>
      </c>
      <c r="Q464" t="s">
        <v>73</v>
      </c>
      <c r="R464" t="s">
        <v>41</v>
      </c>
      <c r="S464">
        <v>2</v>
      </c>
      <c r="T464">
        <v>1</v>
      </c>
      <c r="U464" t="s">
        <v>32</v>
      </c>
      <c r="V464" t="s">
        <v>33</v>
      </c>
      <c r="W464">
        <v>2</v>
      </c>
    </row>
    <row r="465" spans="1:23" x14ac:dyDescent="0.25">
      <c r="A465" t="s">
        <v>865</v>
      </c>
      <c r="B465" s="1">
        <v>45749</v>
      </c>
      <c r="C465" t="s">
        <v>421</v>
      </c>
      <c r="D465" t="s">
        <v>154</v>
      </c>
      <c r="E465" t="s">
        <v>46</v>
      </c>
      <c r="F465" t="s">
        <v>53</v>
      </c>
      <c r="G465" t="s">
        <v>54</v>
      </c>
      <c r="H465">
        <v>1</v>
      </c>
      <c r="I465" s="21">
        <v>56085</v>
      </c>
      <c r="J465">
        <v>10</v>
      </c>
      <c r="K465" s="21">
        <v>5608.5</v>
      </c>
      <c r="L465" s="21">
        <v>50476.5</v>
      </c>
      <c r="M465" s="21">
        <v>28310.71</v>
      </c>
      <c r="N465" s="21">
        <v>22165.79</v>
      </c>
      <c r="O465" t="s">
        <v>91</v>
      </c>
      <c r="P465" s="21">
        <v>961.79</v>
      </c>
      <c r="Q465" t="s">
        <v>83</v>
      </c>
      <c r="R465" t="s">
        <v>41</v>
      </c>
      <c r="S465">
        <v>2</v>
      </c>
      <c r="T465">
        <v>2</v>
      </c>
      <c r="U465" t="s">
        <v>32</v>
      </c>
      <c r="V465" t="s">
        <v>33</v>
      </c>
      <c r="W465">
        <v>5</v>
      </c>
    </row>
    <row r="466" spans="1:23" x14ac:dyDescent="0.25">
      <c r="A466" t="s">
        <v>866</v>
      </c>
      <c r="B466" s="1">
        <v>45828</v>
      </c>
      <c r="C466" t="s">
        <v>406</v>
      </c>
      <c r="D466" t="s">
        <v>63</v>
      </c>
      <c r="E466" t="s">
        <v>46</v>
      </c>
      <c r="F466" t="s">
        <v>47</v>
      </c>
      <c r="G466" t="s">
        <v>146</v>
      </c>
      <c r="H466">
        <v>2</v>
      </c>
      <c r="I466" s="21">
        <v>51678</v>
      </c>
      <c r="J466">
        <v>25</v>
      </c>
      <c r="K466" s="21">
        <v>25839</v>
      </c>
      <c r="L466" s="21">
        <v>77517</v>
      </c>
      <c r="M466" s="21">
        <v>57829.120000000003</v>
      </c>
      <c r="N466" s="21">
        <v>19687.88</v>
      </c>
      <c r="O466" t="s">
        <v>55</v>
      </c>
      <c r="P466" s="21">
        <v>2402.66</v>
      </c>
      <c r="Q466" t="s">
        <v>83</v>
      </c>
      <c r="R466" t="s">
        <v>41</v>
      </c>
      <c r="S466">
        <v>2</v>
      </c>
      <c r="T466">
        <v>1</v>
      </c>
      <c r="U466" t="s">
        <v>32</v>
      </c>
      <c r="V466" t="s">
        <v>50</v>
      </c>
      <c r="W466">
        <v>1</v>
      </c>
    </row>
    <row r="467" spans="1:23" x14ac:dyDescent="0.25">
      <c r="A467" t="s">
        <v>867</v>
      </c>
      <c r="B467" s="1">
        <v>45868</v>
      </c>
      <c r="C467" t="s">
        <v>390</v>
      </c>
      <c r="D467" t="s">
        <v>97</v>
      </c>
      <c r="E467" t="s">
        <v>26</v>
      </c>
      <c r="F467" t="s">
        <v>47</v>
      </c>
      <c r="G467" t="s">
        <v>146</v>
      </c>
      <c r="H467">
        <v>1</v>
      </c>
      <c r="I467" s="21">
        <v>29422</v>
      </c>
      <c r="J467">
        <v>15</v>
      </c>
      <c r="K467" s="21">
        <v>4413.3</v>
      </c>
      <c r="L467" s="21">
        <v>25008.7</v>
      </c>
      <c r="M467" s="21">
        <v>16997.22</v>
      </c>
      <c r="N467" s="21">
        <v>8011.48</v>
      </c>
      <c r="O467" t="s">
        <v>55</v>
      </c>
      <c r="P467" s="21">
        <v>1950.07</v>
      </c>
      <c r="Q467" t="s">
        <v>68</v>
      </c>
      <c r="R467" t="s">
        <v>41</v>
      </c>
      <c r="S467">
        <v>2</v>
      </c>
      <c r="T467">
        <v>1</v>
      </c>
      <c r="U467" t="s">
        <v>32</v>
      </c>
      <c r="V467" t="s">
        <v>33</v>
      </c>
      <c r="W467">
        <v>1</v>
      </c>
    </row>
    <row r="468" spans="1:23" x14ac:dyDescent="0.25">
      <c r="A468" t="s">
        <v>868</v>
      </c>
      <c r="B468" s="1">
        <v>46000</v>
      </c>
      <c r="C468" t="s">
        <v>869</v>
      </c>
      <c r="D468" t="s">
        <v>154</v>
      </c>
      <c r="E468" t="s">
        <v>46</v>
      </c>
      <c r="F468" t="s">
        <v>37</v>
      </c>
      <c r="G468" t="s">
        <v>161</v>
      </c>
      <c r="H468">
        <v>1</v>
      </c>
      <c r="I468" s="21">
        <v>32125</v>
      </c>
      <c r="J468">
        <v>5</v>
      </c>
      <c r="K468" s="21">
        <v>1606.25</v>
      </c>
      <c r="L468" s="21">
        <v>30518.75</v>
      </c>
      <c r="M468" s="21">
        <v>20690.22</v>
      </c>
      <c r="N468" s="21">
        <v>9828.5300000000007</v>
      </c>
      <c r="O468" t="s">
        <v>91</v>
      </c>
      <c r="P468" s="21">
        <v>2482.87</v>
      </c>
      <c r="Q468" t="s">
        <v>40</v>
      </c>
      <c r="R468" t="s">
        <v>31</v>
      </c>
      <c r="S468">
        <v>5</v>
      </c>
      <c r="T468">
        <v>6</v>
      </c>
      <c r="U468" t="s">
        <v>56</v>
      </c>
      <c r="V468" t="s">
        <v>33</v>
      </c>
      <c r="W468">
        <v>2</v>
      </c>
    </row>
    <row r="469" spans="1:23" x14ac:dyDescent="0.25">
      <c r="A469" t="s">
        <v>870</v>
      </c>
      <c r="B469" s="1">
        <v>45785</v>
      </c>
      <c r="C469" t="s">
        <v>737</v>
      </c>
      <c r="D469" t="s">
        <v>154</v>
      </c>
      <c r="E469" t="s">
        <v>46</v>
      </c>
      <c r="F469" t="s">
        <v>47</v>
      </c>
      <c r="G469" t="s">
        <v>146</v>
      </c>
      <c r="H469">
        <v>4</v>
      </c>
      <c r="I469" s="21">
        <v>34938</v>
      </c>
      <c r="J469">
        <v>0</v>
      </c>
      <c r="K469" s="21">
        <v>0</v>
      </c>
      <c r="L469" s="21">
        <v>139752</v>
      </c>
      <c r="M469" s="21">
        <v>109478.16</v>
      </c>
      <c r="N469" s="21">
        <v>30273.84</v>
      </c>
      <c r="O469" t="s">
        <v>60</v>
      </c>
      <c r="P469" s="21">
        <v>904.83</v>
      </c>
      <c r="Q469" t="s">
        <v>68</v>
      </c>
      <c r="R469" t="s">
        <v>41</v>
      </c>
      <c r="S469">
        <v>2</v>
      </c>
      <c r="T469">
        <v>3</v>
      </c>
      <c r="U469" t="s">
        <v>56</v>
      </c>
      <c r="V469" t="s">
        <v>33</v>
      </c>
      <c r="W469">
        <v>5</v>
      </c>
    </row>
    <row r="470" spans="1:23" x14ac:dyDescent="0.25">
      <c r="A470" t="s">
        <v>871</v>
      </c>
      <c r="B470" s="1">
        <v>45794</v>
      </c>
      <c r="C470" t="s">
        <v>282</v>
      </c>
      <c r="D470" t="s">
        <v>67</v>
      </c>
      <c r="E470" t="s">
        <v>26</v>
      </c>
      <c r="F470" t="s">
        <v>47</v>
      </c>
      <c r="G470" t="s">
        <v>48</v>
      </c>
      <c r="H470">
        <v>2</v>
      </c>
      <c r="I470" s="21">
        <v>14212</v>
      </c>
      <c r="J470">
        <v>10</v>
      </c>
      <c r="K470" s="21">
        <v>2842.4</v>
      </c>
      <c r="L470" s="21">
        <v>25581.599999999999</v>
      </c>
      <c r="M470" s="21">
        <v>18984.82</v>
      </c>
      <c r="N470" s="21">
        <v>6596.78</v>
      </c>
      <c r="O470" t="s">
        <v>55</v>
      </c>
      <c r="P470" s="21">
        <v>618.03</v>
      </c>
      <c r="Q470" t="s">
        <v>83</v>
      </c>
      <c r="R470" t="s">
        <v>41</v>
      </c>
      <c r="S470">
        <v>2</v>
      </c>
      <c r="T470">
        <v>1</v>
      </c>
      <c r="U470" t="s">
        <v>32</v>
      </c>
      <c r="V470" t="s">
        <v>33</v>
      </c>
      <c r="W470">
        <v>1</v>
      </c>
    </row>
    <row r="471" spans="1:23" x14ac:dyDescent="0.25">
      <c r="A471" t="s">
        <v>872</v>
      </c>
      <c r="B471" s="1">
        <v>45739</v>
      </c>
      <c r="C471" t="s">
        <v>691</v>
      </c>
      <c r="D471" t="s">
        <v>63</v>
      </c>
      <c r="E471" t="s">
        <v>46</v>
      </c>
      <c r="F471" t="s">
        <v>53</v>
      </c>
      <c r="G471" t="s">
        <v>59</v>
      </c>
      <c r="H471">
        <v>2</v>
      </c>
      <c r="I471" s="21">
        <v>65479</v>
      </c>
      <c r="J471">
        <v>10</v>
      </c>
      <c r="K471" s="21">
        <v>13095.8</v>
      </c>
      <c r="L471" s="21">
        <v>117862.2</v>
      </c>
      <c r="M471" s="21">
        <v>74509.69</v>
      </c>
      <c r="N471" s="21">
        <v>43352.51</v>
      </c>
      <c r="O471" t="s">
        <v>60</v>
      </c>
      <c r="P471" s="21">
        <v>1469.07</v>
      </c>
      <c r="Q471" t="s">
        <v>68</v>
      </c>
      <c r="R471" t="s">
        <v>31</v>
      </c>
      <c r="S471">
        <v>5</v>
      </c>
      <c r="T471">
        <v>3</v>
      </c>
      <c r="U471" t="s">
        <v>32</v>
      </c>
      <c r="V471" t="s">
        <v>33</v>
      </c>
      <c r="W471">
        <v>5</v>
      </c>
    </row>
    <row r="472" spans="1:23" x14ac:dyDescent="0.25">
      <c r="A472" t="s">
        <v>873</v>
      </c>
      <c r="B472" s="1">
        <v>46017</v>
      </c>
      <c r="C472" t="s">
        <v>434</v>
      </c>
      <c r="D472" t="s">
        <v>45</v>
      </c>
      <c r="E472" t="s">
        <v>26</v>
      </c>
      <c r="F472" t="s">
        <v>86</v>
      </c>
      <c r="G472" t="s">
        <v>94</v>
      </c>
      <c r="H472">
        <v>1</v>
      </c>
      <c r="I472" s="21">
        <v>82588</v>
      </c>
      <c r="J472">
        <v>0</v>
      </c>
      <c r="K472" s="21">
        <v>0</v>
      </c>
      <c r="L472" s="21">
        <v>82588</v>
      </c>
      <c r="M472" s="21">
        <v>48333.06</v>
      </c>
      <c r="N472" s="21">
        <v>34254.94</v>
      </c>
      <c r="O472" t="s">
        <v>29</v>
      </c>
      <c r="P472" s="21">
        <v>2427.16</v>
      </c>
      <c r="Q472" t="s">
        <v>68</v>
      </c>
      <c r="R472" t="s">
        <v>31</v>
      </c>
      <c r="S472">
        <v>5</v>
      </c>
      <c r="T472">
        <v>0</v>
      </c>
      <c r="U472" t="s">
        <v>32</v>
      </c>
      <c r="V472" t="s">
        <v>50</v>
      </c>
      <c r="W472">
        <v>5</v>
      </c>
    </row>
    <row r="473" spans="1:23" x14ac:dyDescent="0.25">
      <c r="A473" t="s">
        <v>874</v>
      </c>
      <c r="B473" s="1">
        <v>45713</v>
      </c>
      <c r="C473" t="s">
        <v>875</v>
      </c>
      <c r="D473" t="s">
        <v>79</v>
      </c>
      <c r="E473" t="s">
        <v>26</v>
      </c>
      <c r="F473" t="s">
        <v>47</v>
      </c>
      <c r="G473" t="s">
        <v>105</v>
      </c>
      <c r="H473">
        <v>1</v>
      </c>
      <c r="I473" s="21">
        <v>20238</v>
      </c>
      <c r="J473">
        <v>0</v>
      </c>
      <c r="K473" s="21">
        <v>0</v>
      </c>
      <c r="L473" s="21">
        <v>20238</v>
      </c>
      <c r="M473" s="21">
        <v>11829.41</v>
      </c>
      <c r="N473" s="21">
        <v>8408.59</v>
      </c>
      <c r="O473" t="s">
        <v>29</v>
      </c>
      <c r="P473" s="21">
        <v>2162.91</v>
      </c>
      <c r="Q473" t="s">
        <v>40</v>
      </c>
      <c r="R473" t="s">
        <v>41</v>
      </c>
      <c r="S473">
        <v>2</v>
      </c>
      <c r="T473">
        <v>1</v>
      </c>
      <c r="U473" t="s">
        <v>32</v>
      </c>
      <c r="V473" t="s">
        <v>33</v>
      </c>
      <c r="W473">
        <v>5</v>
      </c>
    </row>
    <row r="474" spans="1:23" x14ac:dyDescent="0.25">
      <c r="A474" t="s">
        <v>876</v>
      </c>
      <c r="B474" s="1">
        <v>45853</v>
      </c>
      <c r="C474" t="s">
        <v>168</v>
      </c>
      <c r="D474" t="s">
        <v>79</v>
      </c>
      <c r="E474" t="s">
        <v>46</v>
      </c>
      <c r="F474" t="s">
        <v>86</v>
      </c>
      <c r="G474" t="s">
        <v>94</v>
      </c>
      <c r="H474">
        <v>1</v>
      </c>
      <c r="I474" s="21">
        <v>27880</v>
      </c>
      <c r="J474">
        <v>0</v>
      </c>
      <c r="K474" s="21">
        <v>0</v>
      </c>
      <c r="L474" s="21">
        <v>27880</v>
      </c>
      <c r="M474" s="21">
        <v>17514.419999999998</v>
      </c>
      <c r="N474" s="21">
        <v>10365.58</v>
      </c>
      <c r="O474" t="s">
        <v>60</v>
      </c>
      <c r="P474" s="21">
        <v>2436.69</v>
      </c>
      <c r="Q474" t="s">
        <v>68</v>
      </c>
      <c r="R474" t="s">
        <v>31</v>
      </c>
      <c r="S474">
        <v>5</v>
      </c>
      <c r="T474">
        <v>6</v>
      </c>
      <c r="U474" t="s">
        <v>32</v>
      </c>
      <c r="V474" t="s">
        <v>42</v>
      </c>
    </row>
    <row r="475" spans="1:23" x14ac:dyDescent="0.25">
      <c r="A475" t="s">
        <v>877</v>
      </c>
      <c r="B475" s="1">
        <v>45677</v>
      </c>
      <c r="C475" t="s">
        <v>878</v>
      </c>
      <c r="D475" t="s">
        <v>97</v>
      </c>
      <c r="E475" t="s">
        <v>46</v>
      </c>
      <c r="F475" t="s">
        <v>27</v>
      </c>
      <c r="G475" t="s">
        <v>113</v>
      </c>
      <c r="H475">
        <v>2</v>
      </c>
      <c r="I475" s="21">
        <v>16635</v>
      </c>
      <c r="J475">
        <v>5</v>
      </c>
      <c r="K475" s="21">
        <v>1663.5</v>
      </c>
      <c r="L475" s="21">
        <v>31606.5</v>
      </c>
      <c r="M475" s="21">
        <v>18954.349999999999</v>
      </c>
      <c r="N475" s="21">
        <v>12652.15</v>
      </c>
      <c r="O475" t="s">
        <v>55</v>
      </c>
      <c r="P475" s="21">
        <v>1802.46</v>
      </c>
      <c r="Q475" t="s">
        <v>40</v>
      </c>
      <c r="R475" t="s">
        <v>31</v>
      </c>
      <c r="S475">
        <v>5</v>
      </c>
      <c r="T475">
        <v>7</v>
      </c>
      <c r="U475" t="s">
        <v>56</v>
      </c>
      <c r="V475" t="s">
        <v>33</v>
      </c>
      <c r="W475">
        <v>5</v>
      </c>
    </row>
    <row r="476" spans="1:23" x14ac:dyDescent="0.25">
      <c r="A476" t="s">
        <v>879</v>
      </c>
      <c r="B476" s="1">
        <v>45898</v>
      </c>
      <c r="C476" t="s">
        <v>880</v>
      </c>
      <c r="D476" t="s">
        <v>63</v>
      </c>
      <c r="E476" t="s">
        <v>36</v>
      </c>
      <c r="F476" t="s">
        <v>27</v>
      </c>
      <c r="G476" t="s">
        <v>28</v>
      </c>
      <c r="H476">
        <v>1</v>
      </c>
      <c r="I476" s="21">
        <v>9106</v>
      </c>
      <c r="J476">
        <v>0</v>
      </c>
      <c r="K476" s="21">
        <v>0</v>
      </c>
      <c r="L476" s="21">
        <v>9106</v>
      </c>
      <c r="M476" s="21">
        <v>6320.14</v>
      </c>
      <c r="N476" s="21">
        <v>2785.86</v>
      </c>
      <c r="O476" t="s">
        <v>39</v>
      </c>
      <c r="P476" s="21">
        <v>540.72</v>
      </c>
      <c r="Q476" t="s">
        <v>73</v>
      </c>
      <c r="R476" t="s">
        <v>31</v>
      </c>
      <c r="S476">
        <v>5</v>
      </c>
      <c r="T476">
        <v>8</v>
      </c>
      <c r="U476" t="s">
        <v>56</v>
      </c>
      <c r="V476" t="s">
        <v>33</v>
      </c>
      <c r="W476">
        <v>5</v>
      </c>
    </row>
    <row r="477" spans="1:23" x14ac:dyDescent="0.25">
      <c r="A477" t="s">
        <v>881</v>
      </c>
      <c r="B477" s="1">
        <v>45771</v>
      </c>
      <c r="C477" t="s">
        <v>882</v>
      </c>
      <c r="D477" t="s">
        <v>124</v>
      </c>
      <c r="E477" t="s">
        <v>26</v>
      </c>
      <c r="F477" t="s">
        <v>47</v>
      </c>
      <c r="G477" t="s">
        <v>48</v>
      </c>
      <c r="H477">
        <v>1</v>
      </c>
      <c r="I477" s="21">
        <v>48463</v>
      </c>
      <c r="J477">
        <v>25</v>
      </c>
      <c r="K477" s="21">
        <v>12115.75</v>
      </c>
      <c r="L477" s="21">
        <v>36347.25</v>
      </c>
      <c r="M477" s="21">
        <v>22582.19</v>
      </c>
      <c r="N477" s="21">
        <v>13765.06</v>
      </c>
      <c r="O477" t="s">
        <v>91</v>
      </c>
      <c r="P477" s="21">
        <v>878.26</v>
      </c>
      <c r="Q477" t="s">
        <v>83</v>
      </c>
      <c r="R477" t="s">
        <v>41</v>
      </c>
      <c r="S477">
        <v>2</v>
      </c>
      <c r="T477">
        <v>1</v>
      </c>
      <c r="U477" t="s">
        <v>32</v>
      </c>
      <c r="V477" t="s">
        <v>33</v>
      </c>
      <c r="W477">
        <v>5</v>
      </c>
    </row>
    <row r="478" spans="1:23" x14ac:dyDescent="0.25">
      <c r="A478" t="s">
        <v>883</v>
      </c>
      <c r="B478" s="1">
        <v>45760</v>
      </c>
      <c r="C478" t="s">
        <v>884</v>
      </c>
      <c r="D478" t="s">
        <v>63</v>
      </c>
      <c r="E478" t="s">
        <v>46</v>
      </c>
      <c r="F478" t="s">
        <v>53</v>
      </c>
      <c r="G478" t="s">
        <v>59</v>
      </c>
      <c r="H478">
        <v>1</v>
      </c>
      <c r="I478" s="21">
        <v>95155</v>
      </c>
      <c r="J478">
        <v>10</v>
      </c>
      <c r="K478" s="21">
        <v>9515.5</v>
      </c>
      <c r="L478" s="21">
        <v>85639.5</v>
      </c>
      <c r="M478" s="21">
        <v>67219.039999999994</v>
      </c>
      <c r="N478" s="21">
        <v>18420.46</v>
      </c>
      <c r="O478" t="s">
        <v>91</v>
      </c>
      <c r="P478" s="21">
        <v>707.47</v>
      </c>
      <c r="Q478" t="s">
        <v>73</v>
      </c>
      <c r="R478" t="s">
        <v>31</v>
      </c>
      <c r="S478">
        <v>5</v>
      </c>
      <c r="T478">
        <v>6</v>
      </c>
      <c r="U478" t="s">
        <v>32</v>
      </c>
      <c r="V478" t="s">
        <v>50</v>
      </c>
      <c r="W478">
        <v>4</v>
      </c>
    </row>
    <row r="479" spans="1:23" x14ac:dyDescent="0.25">
      <c r="A479" t="s">
        <v>885</v>
      </c>
      <c r="B479" s="1">
        <v>45893</v>
      </c>
      <c r="C479" t="s">
        <v>702</v>
      </c>
      <c r="D479" t="s">
        <v>154</v>
      </c>
      <c r="E479" t="s">
        <v>46</v>
      </c>
      <c r="F479" t="s">
        <v>47</v>
      </c>
      <c r="G479" t="s">
        <v>64</v>
      </c>
      <c r="H479">
        <v>2</v>
      </c>
      <c r="I479" s="21">
        <v>16721</v>
      </c>
      <c r="J479">
        <v>0</v>
      </c>
      <c r="K479" s="21">
        <v>0</v>
      </c>
      <c r="L479" s="21">
        <v>33442</v>
      </c>
      <c r="M479" s="21">
        <v>22541.09</v>
      </c>
      <c r="N479" s="21">
        <v>10900.91</v>
      </c>
      <c r="O479" t="s">
        <v>60</v>
      </c>
      <c r="P479" s="21">
        <v>1328.19</v>
      </c>
      <c r="Q479" t="s">
        <v>68</v>
      </c>
      <c r="R479" t="s">
        <v>31</v>
      </c>
      <c r="S479">
        <v>5</v>
      </c>
      <c r="T479">
        <v>5</v>
      </c>
      <c r="U479" t="s">
        <v>32</v>
      </c>
      <c r="V479" t="s">
        <v>33</v>
      </c>
      <c r="W479">
        <v>5</v>
      </c>
    </row>
    <row r="480" spans="1:23" x14ac:dyDescent="0.25">
      <c r="A480" t="s">
        <v>886</v>
      </c>
      <c r="B480" s="1">
        <v>45837</v>
      </c>
      <c r="C480" t="s">
        <v>887</v>
      </c>
      <c r="D480" t="s">
        <v>154</v>
      </c>
      <c r="E480" t="s">
        <v>36</v>
      </c>
      <c r="F480" t="s">
        <v>86</v>
      </c>
      <c r="G480" t="s">
        <v>180</v>
      </c>
      <c r="H480">
        <v>2</v>
      </c>
      <c r="I480" s="21">
        <v>24811</v>
      </c>
      <c r="J480">
        <v>5</v>
      </c>
      <c r="K480" s="21">
        <v>2481.1</v>
      </c>
      <c r="L480" s="21">
        <v>47140.9</v>
      </c>
      <c r="M480" s="21">
        <v>31719.06</v>
      </c>
      <c r="N480" s="21">
        <v>15421.84</v>
      </c>
      <c r="O480" t="s">
        <v>91</v>
      </c>
      <c r="P480" s="21">
        <v>1411.59</v>
      </c>
      <c r="Q480" t="s">
        <v>83</v>
      </c>
      <c r="R480" t="s">
        <v>41</v>
      </c>
      <c r="S480">
        <v>2</v>
      </c>
      <c r="T480">
        <v>0</v>
      </c>
      <c r="U480" t="s">
        <v>32</v>
      </c>
      <c r="V480" t="s">
        <v>50</v>
      </c>
      <c r="W480">
        <v>5</v>
      </c>
    </row>
    <row r="481" spans="1:23" x14ac:dyDescent="0.25">
      <c r="A481" t="s">
        <v>888</v>
      </c>
      <c r="B481" s="1">
        <v>45814</v>
      </c>
      <c r="C481" t="s">
        <v>427</v>
      </c>
      <c r="D481" t="s">
        <v>71</v>
      </c>
      <c r="E481" t="s">
        <v>46</v>
      </c>
      <c r="F481" t="s">
        <v>37</v>
      </c>
      <c r="G481" t="s">
        <v>224</v>
      </c>
      <c r="H481">
        <v>1</v>
      </c>
      <c r="I481" s="21">
        <v>20275</v>
      </c>
      <c r="J481">
        <v>0</v>
      </c>
      <c r="K481" s="21">
        <v>0</v>
      </c>
      <c r="L481" s="21">
        <v>20275</v>
      </c>
      <c r="M481" s="21">
        <v>12616.47</v>
      </c>
      <c r="N481" s="21">
        <v>7658.53</v>
      </c>
      <c r="O481" t="s">
        <v>55</v>
      </c>
      <c r="P481" s="21">
        <v>2402.52</v>
      </c>
      <c r="Q481" t="s">
        <v>83</v>
      </c>
      <c r="R481" t="s">
        <v>31</v>
      </c>
      <c r="S481">
        <v>5</v>
      </c>
      <c r="T481">
        <v>6</v>
      </c>
      <c r="U481" t="s">
        <v>32</v>
      </c>
      <c r="V481" t="s">
        <v>50</v>
      </c>
      <c r="W481">
        <v>1</v>
      </c>
    </row>
    <row r="482" spans="1:23" x14ac:dyDescent="0.25">
      <c r="A482" t="s">
        <v>889</v>
      </c>
      <c r="B482" s="1">
        <v>45774</v>
      </c>
      <c r="C482" t="s">
        <v>758</v>
      </c>
      <c r="D482" t="s">
        <v>124</v>
      </c>
      <c r="E482" t="s">
        <v>26</v>
      </c>
      <c r="F482" t="s">
        <v>37</v>
      </c>
      <c r="G482" t="s">
        <v>313</v>
      </c>
      <c r="H482">
        <v>2</v>
      </c>
      <c r="I482" s="21">
        <v>35385</v>
      </c>
      <c r="J482">
        <v>0</v>
      </c>
      <c r="K482" s="21">
        <v>0</v>
      </c>
      <c r="L482" s="21">
        <v>70770</v>
      </c>
      <c r="M482" s="21">
        <v>43582.18</v>
      </c>
      <c r="N482" s="21">
        <v>27187.82</v>
      </c>
      <c r="O482" t="s">
        <v>91</v>
      </c>
      <c r="P482" s="21">
        <v>1450.31</v>
      </c>
      <c r="Q482" t="s">
        <v>83</v>
      </c>
      <c r="R482" t="s">
        <v>41</v>
      </c>
      <c r="S482">
        <v>2</v>
      </c>
      <c r="T482">
        <v>5</v>
      </c>
      <c r="U482" t="s">
        <v>32</v>
      </c>
      <c r="V482" t="s">
        <v>42</v>
      </c>
    </row>
    <row r="483" spans="1:23" x14ac:dyDescent="0.25">
      <c r="A483" t="s">
        <v>890</v>
      </c>
      <c r="B483" s="1">
        <v>45772</v>
      </c>
      <c r="C483" t="s">
        <v>170</v>
      </c>
      <c r="D483" t="s">
        <v>63</v>
      </c>
      <c r="E483" t="s">
        <v>26</v>
      </c>
      <c r="F483" t="s">
        <v>53</v>
      </c>
      <c r="G483" t="s">
        <v>151</v>
      </c>
      <c r="H483">
        <v>2</v>
      </c>
      <c r="I483" s="21">
        <v>27590</v>
      </c>
      <c r="J483">
        <v>15</v>
      </c>
      <c r="K483" s="21">
        <v>8277</v>
      </c>
      <c r="L483" s="21">
        <v>46903</v>
      </c>
      <c r="M483" s="21">
        <v>30677.07</v>
      </c>
      <c r="N483" s="21">
        <v>16225.93</v>
      </c>
      <c r="O483" t="s">
        <v>55</v>
      </c>
      <c r="P483" s="21">
        <v>2319.89</v>
      </c>
      <c r="Q483" t="s">
        <v>30</v>
      </c>
      <c r="R483" t="s">
        <v>41</v>
      </c>
      <c r="S483">
        <v>2</v>
      </c>
      <c r="T483">
        <v>1</v>
      </c>
      <c r="U483" t="s">
        <v>32</v>
      </c>
      <c r="V483" t="s">
        <v>33</v>
      </c>
      <c r="W483">
        <v>2</v>
      </c>
    </row>
    <row r="484" spans="1:23" x14ac:dyDescent="0.25">
      <c r="A484" t="s">
        <v>891</v>
      </c>
      <c r="B484" s="1">
        <v>45670</v>
      </c>
      <c r="C484" t="s">
        <v>892</v>
      </c>
      <c r="D484" t="s">
        <v>79</v>
      </c>
      <c r="E484" t="s">
        <v>46</v>
      </c>
      <c r="F484" t="s">
        <v>53</v>
      </c>
      <c r="G484" t="s">
        <v>54</v>
      </c>
      <c r="H484">
        <v>3</v>
      </c>
      <c r="I484" s="21">
        <v>55833</v>
      </c>
      <c r="J484">
        <v>0</v>
      </c>
      <c r="K484" s="21">
        <v>0</v>
      </c>
      <c r="L484" s="21">
        <v>167499</v>
      </c>
      <c r="M484" s="21">
        <v>132627.10999999999</v>
      </c>
      <c r="N484" s="21">
        <v>34871.89</v>
      </c>
      <c r="O484" t="s">
        <v>91</v>
      </c>
      <c r="P484" s="21">
        <v>1185.8499999999999</v>
      </c>
      <c r="Q484" t="s">
        <v>73</v>
      </c>
      <c r="R484" t="s">
        <v>31</v>
      </c>
      <c r="S484">
        <v>5</v>
      </c>
      <c r="T484">
        <v>1</v>
      </c>
      <c r="U484" t="s">
        <v>32</v>
      </c>
      <c r="V484" t="s">
        <v>42</v>
      </c>
    </row>
    <row r="485" spans="1:23" x14ac:dyDescent="0.25">
      <c r="A485" t="s">
        <v>893</v>
      </c>
      <c r="B485" s="1">
        <v>45995</v>
      </c>
      <c r="C485" t="s">
        <v>601</v>
      </c>
      <c r="D485" t="s">
        <v>154</v>
      </c>
      <c r="E485" t="s">
        <v>26</v>
      </c>
      <c r="F485" t="s">
        <v>37</v>
      </c>
      <c r="G485" t="s">
        <v>161</v>
      </c>
      <c r="H485">
        <v>2</v>
      </c>
      <c r="I485" s="21">
        <v>36718</v>
      </c>
      <c r="J485">
        <v>10</v>
      </c>
      <c r="K485" s="21">
        <v>7343.6</v>
      </c>
      <c r="L485" s="21">
        <v>66092.399999999994</v>
      </c>
      <c r="M485" s="21">
        <v>52998.05</v>
      </c>
      <c r="N485" s="21">
        <v>13094.35</v>
      </c>
      <c r="O485" t="s">
        <v>49</v>
      </c>
      <c r="P485" s="21">
        <v>437.77</v>
      </c>
      <c r="Q485" t="s">
        <v>68</v>
      </c>
      <c r="R485" t="s">
        <v>31</v>
      </c>
      <c r="S485">
        <v>5</v>
      </c>
      <c r="T485">
        <v>6</v>
      </c>
      <c r="U485" t="s">
        <v>32</v>
      </c>
      <c r="V485" t="s">
        <v>50</v>
      </c>
      <c r="W485">
        <v>1</v>
      </c>
    </row>
    <row r="486" spans="1:23" x14ac:dyDescent="0.25">
      <c r="A486" t="s">
        <v>894</v>
      </c>
      <c r="B486" s="1">
        <v>45756</v>
      </c>
      <c r="C486" t="s">
        <v>895</v>
      </c>
      <c r="D486" t="s">
        <v>71</v>
      </c>
      <c r="E486" t="s">
        <v>26</v>
      </c>
      <c r="F486" t="s">
        <v>47</v>
      </c>
      <c r="G486" t="s">
        <v>48</v>
      </c>
      <c r="H486">
        <v>2</v>
      </c>
      <c r="I486" s="21">
        <v>11411</v>
      </c>
      <c r="J486">
        <v>10</v>
      </c>
      <c r="K486" s="21">
        <v>2282.1999999999998</v>
      </c>
      <c r="L486" s="21">
        <v>20539.8</v>
      </c>
      <c r="M486" s="21">
        <v>12099.18</v>
      </c>
      <c r="N486" s="21">
        <v>8440.6200000000008</v>
      </c>
      <c r="O486" t="s">
        <v>60</v>
      </c>
      <c r="P486" s="21">
        <v>1965.33</v>
      </c>
      <c r="Q486" t="s">
        <v>73</v>
      </c>
      <c r="R486" t="s">
        <v>31</v>
      </c>
      <c r="S486">
        <v>5</v>
      </c>
      <c r="T486">
        <v>3</v>
      </c>
      <c r="U486" t="s">
        <v>32</v>
      </c>
      <c r="V486" t="s">
        <v>33</v>
      </c>
      <c r="W486">
        <v>2</v>
      </c>
    </row>
    <row r="487" spans="1:23" x14ac:dyDescent="0.25">
      <c r="A487" t="s">
        <v>896</v>
      </c>
      <c r="B487" s="1">
        <v>45862</v>
      </c>
      <c r="C487" t="s">
        <v>817</v>
      </c>
      <c r="D487" t="s">
        <v>67</v>
      </c>
      <c r="E487" t="s">
        <v>36</v>
      </c>
      <c r="F487" t="s">
        <v>86</v>
      </c>
      <c r="G487" t="s">
        <v>127</v>
      </c>
      <c r="H487">
        <v>2</v>
      </c>
      <c r="I487" s="21">
        <v>24116</v>
      </c>
      <c r="J487">
        <v>15</v>
      </c>
      <c r="K487" s="21">
        <v>7234.8</v>
      </c>
      <c r="L487" s="21">
        <v>40997.199999999997</v>
      </c>
      <c r="M487" s="21">
        <v>27182.71</v>
      </c>
      <c r="N487" s="21">
        <v>13814.49</v>
      </c>
      <c r="O487" t="s">
        <v>49</v>
      </c>
      <c r="P487" s="21">
        <v>291.3</v>
      </c>
      <c r="Q487" t="s">
        <v>68</v>
      </c>
      <c r="R487" t="s">
        <v>41</v>
      </c>
      <c r="S487">
        <v>2</v>
      </c>
      <c r="T487">
        <v>1</v>
      </c>
      <c r="U487" t="s">
        <v>32</v>
      </c>
      <c r="V487" t="s">
        <v>33</v>
      </c>
      <c r="W487">
        <v>5</v>
      </c>
    </row>
    <row r="488" spans="1:23" x14ac:dyDescent="0.25">
      <c r="A488" t="s">
        <v>897</v>
      </c>
      <c r="B488" s="1">
        <v>45826</v>
      </c>
      <c r="C488" t="s">
        <v>898</v>
      </c>
      <c r="D488" t="s">
        <v>71</v>
      </c>
      <c r="E488" t="s">
        <v>26</v>
      </c>
      <c r="F488" t="s">
        <v>27</v>
      </c>
      <c r="G488" t="s">
        <v>164</v>
      </c>
      <c r="H488">
        <v>2</v>
      </c>
      <c r="I488" s="21">
        <v>11206</v>
      </c>
      <c r="J488">
        <v>0</v>
      </c>
      <c r="K488" s="21">
        <v>0</v>
      </c>
      <c r="L488" s="21">
        <v>22412</v>
      </c>
      <c r="M488" s="21">
        <v>13556.69</v>
      </c>
      <c r="N488" s="21">
        <v>8855.31</v>
      </c>
      <c r="O488" t="s">
        <v>29</v>
      </c>
      <c r="P488" s="21">
        <v>1290.03</v>
      </c>
      <c r="Q488" t="s">
        <v>68</v>
      </c>
      <c r="R488" t="s">
        <v>41</v>
      </c>
      <c r="S488">
        <v>2</v>
      </c>
      <c r="T488">
        <v>1</v>
      </c>
      <c r="U488" t="s">
        <v>32</v>
      </c>
      <c r="V488" t="s">
        <v>33</v>
      </c>
      <c r="W488">
        <v>5</v>
      </c>
    </row>
    <row r="489" spans="1:23" x14ac:dyDescent="0.25">
      <c r="A489" t="s">
        <v>899</v>
      </c>
      <c r="B489" s="1">
        <v>45800</v>
      </c>
      <c r="C489" t="s">
        <v>900</v>
      </c>
      <c r="D489" t="s">
        <v>25</v>
      </c>
      <c r="E489" t="s">
        <v>46</v>
      </c>
      <c r="F489" t="s">
        <v>53</v>
      </c>
      <c r="G489" t="s">
        <v>151</v>
      </c>
      <c r="H489">
        <v>1</v>
      </c>
      <c r="I489" s="21">
        <v>81286</v>
      </c>
      <c r="J489">
        <v>0</v>
      </c>
      <c r="K489" s="21">
        <v>0</v>
      </c>
      <c r="L489" s="21">
        <v>81286</v>
      </c>
      <c r="M489" s="21">
        <v>61101.77</v>
      </c>
      <c r="N489" s="21">
        <v>20184.23</v>
      </c>
      <c r="O489" t="s">
        <v>91</v>
      </c>
      <c r="P489" s="21">
        <v>1886.09</v>
      </c>
      <c r="Q489" t="s">
        <v>30</v>
      </c>
      <c r="R489" t="s">
        <v>31</v>
      </c>
      <c r="S489">
        <v>5</v>
      </c>
      <c r="T489">
        <v>2</v>
      </c>
      <c r="U489" t="s">
        <v>32</v>
      </c>
      <c r="V489" t="s">
        <v>33</v>
      </c>
      <c r="W489">
        <v>4</v>
      </c>
    </row>
    <row r="490" spans="1:23" x14ac:dyDescent="0.25">
      <c r="A490" t="s">
        <v>901</v>
      </c>
      <c r="B490" s="1">
        <v>45693</v>
      </c>
      <c r="C490" t="s">
        <v>215</v>
      </c>
      <c r="D490" t="s">
        <v>45</v>
      </c>
      <c r="E490" t="s">
        <v>26</v>
      </c>
      <c r="F490" t="s">
        <v>86</v>
      </c>
      <c r="G490" t="s">
        <v>180</v>
      </c>
      <c r="H490">
        <v>2</v>
      </c>
      <c r="I490" s="21">
        <v>25252</v>
      </c>
      <c r="J490">
        <v>0</v>
      </c>
      <c r="K490" s="21">
        <v>0</v>
      </c>
      <c r="L490" s="21">
        <v>50504</v>
      </c>
      <c r="M490" s="21">
        <v>31118.66</v>
      </c>
      <c r="N490" s="21">
        <v>19385.34</v>
      </c>
      <c r="O490" t="s">
        <v>55</v>
      </c>
      <c r="P490" s="21">
        <v>1960.46</v>
      </c>
      <c r="Q490" t="s">
        <v>30</v>
      </c>
      <c r="R490" t="s">
        <v>41</v>
      </c>
      <c r="S490">
        <v>2</v>
      </c>
      <c r="T490">
        <v>5</v>
      </c>
      <c r="U490" t="s">
        <v>56</v>
      </c>
      <c r="V490" t="s">
        <v>33</v>
      </c>
      <c r="W490">
        <v>2</v>
      </c>
    </row>
    <row r="491" spans="1:23" x14ac:dyDescent="0.25">
      <c r="A491" t="s">
        <v>902</v>
      </c>
      <c r="B491" s="1">
        <v>45800</v>
      </c>
      <c r="C491" t="s">
        <v>903</v>
      </c>
      <c r="D491" t="s">
        <v>67</v>
      </c>
      <c r="E491" t="s">
        <v>26</v>
      </c>
      <c r="F491" t="s">
        <v>47</v>
      </c>
      <c r="G491" t="s">
        <v>64</v>
      </c>
      <c r="H491">
        <v>1</v>
      </c>
      <c r="I491" s="21">
        <v>52563</v>
      </c>
      <c r="J491">
        <v>0</v>
      </c>
      <c r="K491" s="21">
        <v>0</v>
      </c>
      <c r="L491" s="21">
        <v>52563</v>
      </c>
      <c r="M491" s="21">
        <v>29761.18</v>
      </c>
      <c r="N491" s="21">
        <v>22801.82</v>
      </c>
      <c r="O491" t="s">
        <v>60</v>
      </c>
      <c r="P491" s="21">
        <v>599.23</v>
      </c>
      <c r="Q491" t="s">
        <v>68</v>
      </c>
      <c r="R491" t="s">
        <v>31</v>
      </c>
      <c r="S491">
        <v>5</v>
      </c>
      <c r="T491">
        <v>4</v>
      </c>
      <c r="U491" t="s">
        <v>32</v>
      </c>
      <c r="V491" t="s">
        <v>50</v>
      </c>
      <c r="W491">
        <v>5</v>
      </c>
    </row>
    <row r="492" spans="1:23" x14ac:dyDescent="0.25">
      <c r="A492" t="s">
        <v>904</v>
      </c>
      <c r="B492" s="1">
        <v>45837</v>
      </c>
      <c r="C492" t="s">
        <v>905</v>
      </c>
      <c r="D492" t="s">
        <v>67</v>
      </c>
      <c r="E492" t="s">
        <v>26</v>
      </c>
      <c r="F492" t="s">
        <v>53</v>
      </c>
      <c r="G492" t="s">
        <v>54</v>
      </c>
      <c r="H492">
        <v>1</v>
      </c>
      <c r="I492" s="21">
        <v>83981</v>
      </c>
      <c r="J492">
        <v>15</v>
      </c>
      <c r="K492" s="21">
        <v>12597.15</v>
      </c>
      <c r="L492" s="21">
        <v>71383.850000000006</v>
      </c>
      <c r="M492" s="21">
        <v>57213.55</v>
      </c>
      <c r="N492" s="21">
        <v>14170.3</v>
      </c>
      <c r="O492" t="s">
        <v>29</v>
      </c>
      <c r="P492" s="21">
        <v>1068.3900000000001</v>
      </c>
      <c r="Q492" t="s">
        <v>68</v>
      </c>
      <c r="R492" t="s">
        <v>31</v>
      </c>
      <c r="S492">
        <v>5</v>
      </c>
      <c r="T492">
        <v>4</v>
      </c>
      <c r="U492" t="s">
        <v>32</v>
      </c>
      <c r="V492" t="s">
        <v>33</v>
      </c>
      <c r="W492">
        <v>5</v>
      </c>
    </row>
    <row r="493" spans="1:23" x14ac:dyDescent="0.25">
      <c r="A493" t="s">
        <v>906</v>
      </c>
      <c r="B493" s="1">
        <v>45986</v>
      </c>
      <c r="C493" t="s">
        <v>288</v>
      </c>
      <c r="D493" t="s">
        <v>124</v>
      </c>
      <c r="E493" t="s">
        <v>46</v>
      </c>
      <c r="F493" t="s">
        <v>47</v>
      </c>
      <c r="G493" t="s">
        <v>105</v>
      </c>
      <c r="H493">
        <v>2</v>
      </c>
      <c r="I493" s="21">
        <v>46654</v>
      </c>
      <c r="J493">
        <v>20</v>
      </c>
      <c r="K493" s="21">
        <v>18661.599999999999</v>
      </c>
      <c r="L493" s="21">
        <v>74646.399999999994</v>
      </c>
      <c r="M493" s="21">
        <v>47367.71</v>
      </c>
      <c r="N493" s="21">
        <v>27278.69</v>
      </c>
      <c r="O493" t="s">
        <v>60</v>
      </c>
      <c r="P493" s="21">
        <v>579.1</v>
      </c>
      <c r="Q493" t="s">
        <v>73</v>
      </c>
      <c r="R493" t="s">
        <v>41</v>
      </c>
      <c r="S493">
        <v>2</v>
      </c>
      <c r="T493">
        <v>6</v>
      </c>
      <c r="U493" t="s">
        <v>32</v>
      </c>
      <c r="V493" t="s">
        <v>50</v>
      </c>
      <c r="W493">
        <v>4</v>
      </c>
    </row>
    <row r="494" spans="1:23" x14ac:dyDescent="0.25">
      <c r="A494" t="s">
        <v>907</v>
      </c>
      <c r="B494" s="1">
        <v>45918</v>
      </c>
      <c r="C494" t="s">
        <v>908</v>
      </c>
      <c r="D494" t="s">
        <v>79</v>
      </c>
      <c r="E494" t="s">
        <v>46</v>
      </c>
      <c r="F494" t="s">
        <v>27</v>
      </c>
      <c r="G494" t="s">
        <v>76</v>
      </c>
      <c r="H494">
        <v>2</v>
      </c>
      <c r="I494" s="21">
        <v>11348</v>
      </c>
      <c r="J494">
        <v>0</v>
      </c>
      <c r="K494" s="21">
        <v>0</v>
      </c>
      <c r="L494" s="21">
        <v>22696</v>
      </c>
      <c r="M494" s="21">
        <v>15801.48</v>
      </c>
      <c r="N494" s="21">
        <v>6894.52</v>
      </c>
      <c r="O494" t="s">
        <v>55</v>
      </c>
      <c r="P494" s="21">
        <v>225.25</v>
      </c>
      <c r="Q494" t="s">
        <v>73</v>
      </c>
      <c r="R494" t="s">
        <v>31</v>
      </c>
      <c r="S494">
        <v>5</v>
      </c>
      <c r="T494">
        <v>5</v>
      </c>
      <c r="U494" t="s">
        <v>32</v>
      </c>
      <c r="V494" t="s">
        <v>33</v>
      </c>
      <c r="W494">
        <v>5</v>
      </c>
    </row>
    <row r="495" spans="1:23" x14ac:dyDescent="0.25">
      <c r="A495" t="s">
        <v>909</v>
      </c>
      <c r="B495" s="1">
        <v>45862</v>
      </c>
      <c r="C495" t="s">
        <v>89</v>
      </c>
      <c r="D495" t="s">
        <v>90</v>
      </c>
      <c r="E495" t="s">
        <v>46</v>
      </c>
      <c r="F495" t="s">
        <v>47</v>
      </c>
      <c r="G495" t="s">
        <v>64</v>
      </c>
      <c r="H495">
        <v>4</v>
      </c>
      <c r="I495" s="21">
        <v>9940</v>
      </c>
      <c r="J495">
        <v>0</v>
      </c>
      <c r="K495" s="21">
        <v>0</v>
      </c>
      <c r="L495" s="21">
        <v>39760</v>
      </c>
      <c r="M495" s="21">
        <v>22383.81</v>
      </c>
      <c r="N495" s="21">
        <v>17376.189999999999</v>
      </c>
      <c r="O495" t="s">
        <v>91</v>
      </c>
      <c r="P495" s="21">
        <v>2455.25</v>
      </c>
      <c r="Q495" t="s">
        <v>73</v>
      </c>
      <c r="R495" t="s">
        <v>41</v>
      </c>
      <c r="S495">
        <v>2</v>
      </c>
      <c r="T495">
        <v>1</v>
      </c>
      <c r="U495" t="s">
        <v>32</v>
      </c>
      <c r="V495" t="s">
        <v>33</v>
      </c>
      <c r="W495">
        <v>1</v>
      </c>
    </row>
    <row r="496" spans="1:23" x14ac:dyDescent="0.25">
      <c r="A496" t="s">
        <v>910</v>
      </c>
      <c r="B496" s="1">
        <v>46005</v>
      </c>
      <c r="C496" t="s">
        <v>230</v>
      </c>
      <c r="D496" t="s">
        <v>25</v>
      </c>
      <c r="E496" t="s">
        <v>26</v>
      </c>
      <c r="F496" t="s">
        <v>27</v>
      </c>
      <c r="G496" t="s">
        <v>28</v>
      </c>
      <c r="H496">
        <v>4</v>
      </c>
      <c r="I496" s="21">
        <v>14356</v>
      </c>
      <c r="J496">
        <v>25</v>
      </c>
      <c r="K496" s="21">
        <v>14356</v>
      </c>
      <c r="L496" s="21">
        <v>43068</v>
      </c>
      <c r="M496" s="21">
        <v>24861.9</v>
      </c>
      <c r="N496" s="21">
        <v>18206.099999999999</v>
      </c>
      <c r="O496" t="s">
        <v>60</v>
      </c>
      <c r="P496" s="21">
        <v>2030.96</v>
      </c>
      <c r="Q496" t="s">
        <v>30</v>
      </c>
      <c r="R496" t="s">
        <v>31</v>
      </c>
      <c r="S496">
        <v>5</v>
      </c>
      <c r="T496">
        <v>8</v>
      </c>
      <c r="U496" t="s">
        <v>56</v>
      </c>
      <c r="V496" t="s">
        <v>33</v>
      </c>
      <c r="W496">
        <v>5</v>
      </c>
    </row>
    <row r="497" spans="1:23" x14ac:dyDescent="0.25">
      <c r="A497" t="s">
        <v>911</v>
      </c>
      <c r="B497" s="1">
        <v>45932</v>
      </c>
      <c r="C497" t="s">
        <v>912</v>
      </c>
      <c r="D497" t="s">
        <v>154</v>
      </c>
      <c r="E497" t="s">
        <v>26</v>
      </c>
      <c r="F497" t="s">
        <v>37</v>
      </c>
      <c r="G497" t="s">
        <v>224</v>
      </c>
      <c r="H497">
        <v>1</v>
      </c>
      <c r="I497" s="21">
        <v>13231</v>
      </c>
      <c r="J497">
        <v>0</v>
      </c>
      <c r="K497" s="21">
        <v>0</v>
      </c>
      <c r="L497" s="21">
        <v>13231</v>
      </c>
      <c r="M497" s="21">
        <v>10825.9</v>
      </c>
      <c r="N497" s="21">
        <v>2405.1</v>
      </c>
      <c r="O497" t="s">
        <v>91</v>
      </c>
      <c r="P497" s="21">
        <v>2006.31</v>
      </c>
      <c r="Q497" t="s">
        <v>73</v>
      </c>
      <c r="R497" t="s">
        <v>41</v>
      </c>
      <c r="S497">
        <v>2</v>
      </c>
      <c r="T497">
        <v>3</v>
      </c>
      <c r="U497" t="s">
        <v>32</v>
      </c>
      <c r="V497" t="s">
        <v>42</v>
      </c>
    </row>
    <row r="498" spans="1:23" x14ac:dyDescent="0.25">
      <c r="A498" t="s">
        <v>913</v>
      </c>
      <c r="B498" s="1">
        <v>45827</v>
      </c>
      <c r="C498" t="s">
        <v>914</v>
      </c>
      <c r="D498" t="s">
        <v>90</v>
      </c>
      <c r="E498" t="s">
        <v>26</v>
      </c>
      <c r="F498" t="s">
        <v>86</v>
      </c>
      <c r="G498" t="s">
        <v>94</v>
      </c>
      <c r="H498">
        <v>1</v>
      </c>
      <c r="I498" s="21">
        <v>15830</v>
      </c>
      <c r="J498">
        <v>0</v>
      </c>
      <c r="K498" s="21">
        <v>0</v>
      </c>
      <c r="L498" s="21">
        <v>15830</v>
      </c>
      <c r="M498" s="21">
        <v>12145.98</v>
      </c>
      <c r="N498" s="21">
        <v>3684.02</v>
      </c>
      <c r="O498" t="s">
        <v>49</v>
      </c>
      <c r="P498" s="21">
        <v>440.39</v>
      </c>
      <c r="Q498" t="s">
        <v>83</v>
      </c>
      <c r="R498" t="s">
        <v>41</v>
      </c>
      <c r="S498">
        <v>2</v>
      </c>
      <c r="T498">
        <v>1</v>
      </c>
      <c r="U498" t="s">
        <v>32</v>
      </c>
      <c r="V498" t="s">
        <v>33</v>
      </c>
    </row>
    <row r="499" spans="1:23" x14ac:dyDescent="0.25">
      <c r="A499" t="s">
        <v>915</v>
      </c>
      <c r="B499" s="1">
        <v>45672</v>
      </c>
      <c r="C499" t="s">
        <v>595</v>
      </c>
      <c r="D499" t="s">
        <v>25</v>
      </c>
      <c r="E499" t="s">
        <v>36</v>
      </c>
      <c r="F499" t="s">
        <v>27</v>
      </c>
      <c r="G499" t="s">
        <v>164</v>
      </c>
      <c r="H499">
        <v>1</v>
      </c>
      <c r="I499" s="21">
        <v>15079</v>
      </c>
      <c r="J499">
        <v>0</v>
      </c>
      <c r="K499" s="21">
        <v>0</v>
      </c>
      <c r="L499" s="21">
        <v>15079</v>
      </c>
      <c r="M499" s="21">
        <v>9022.98</v>
      </c>
      <c r="N499" s="21">
        <v>6056.02</v>
      </c>
      <c r="O499" t="s">
        <v>91</v>
      </c>
      <c r="P499" s="21">
        <v>2450.5100000000002</v>
      </c>
      <c r="Q499" t="s">
        <v>30</v>
      </c>
      <c r="R499" t="s">
        <v>41</v>
      </c>
      <c r="S499">
        <v>2</v>
      </c>
      <c r="T499">
        <v>1</v>
      </c>
      <c r="U499" t="s">
        <v>32</v>
      </c>
      <c r="V499" t="s">
        <v>33</v>
      </c>
      <c r="W499">
        <v>4</v>
      </c>
    </row>
    <row r="500" spans="1:23" x14ac:dyDescent="0.25">
      <c r="A500" t="s">
        <v>916</v>
      </c>
      <c r="B500" s="1">
        <v>45717</v>
      </c>
      <c r="C500" t="s">
        <v>804</v>
      </c>
      <c r="D500" t="s">
        <v>67</v>
      </c>
      <c r="E500" t="s">
        <v>46</v>
      </c>
      <c r="F500" t="s">
        <v>47</v>
      </c>
      <c r="G500" t="s">
        <v>138</v>
      </c>
      <c r="H500">
        <v>1</v>
      </c>
      <c r="I500" s="21">
        <v>47611</v>
      </c>
      <c r="J500">
        <v>25</v>
      </c>
      <c r="K500" s="21">
        <v>11902.75</v>
      </c>
      <c r="L500" s="21">
        <v>35708.25</v>
      </c>
      <c r="M500" s="21">
        <v>27784.79</v>
      </c>
      <c r="N500" s="21">
        <v>7923.46</v>
      </c>
      <c r="O500" t="s">
        <v>55</v>
      </c>
      <c r="P500" s="21">
        <v>1769.06</v>
      </c>
      <c r="Q500" t="s">
        <v>40</v>
      </c>
      <c r="R500" t="s">
        <v>41</v>
      </c>
      <c r="S500">
        <v>2</v>
      </c>
      <c r="T500">
        <v>1</v>
      </c>
      <c r="U500" t="s">
        <v>32</v>
      </c>
      <c r="V500" t="s">
        <v>33</v>
      </c>
      <c r="W500">
        <v>1</v>
      </c>
    </row>
    <row r="501" spans="1:23" x14ac:dyDescent="0.25">
      <c r="A501" t="s">
        <v>917</v>
      </c>
      <c r="B501" s="1">
        <v>45791</v>
      </c>
      <c r="C501" t="s">
        <v>860</v>
      </c>
      <c r="D501" t="s">
        <v>45</v>
      </c>
      <c r="E501" t="s">
        <v>46</v>
      </c>
      <c r="F501" t="s">
        <v>27</v>
      </c>
      <c r="G501" t="s">
        <v>72</v>
      </c>
      <c r="H501">
        <v>2</v>
      </c>
      <c r="I501" s="21">
        <v>8564</v>
      </c>
      <c r="J501">
        <v>10</v>
      </c>
      <c r="K501" s="21">
        <v>1712.8</v>
      </c>
      <c r="L501" s="21">
        <v>15415.2</v>
      </c>
      <c r="M501" s="21">
        <v>10042.57</v>
      </c>
      <c r="N501" s="21">
        <v>5372.63</v>
      </c>
      <c r="O501" t="s">
        <v>49</v>
      </c>
      <c r="P501" s="21">
        <v>82.84</v>
      </c>
      <c r="Q501" t="s">
        <v>30</v>
      </c>
      <c r="R501" t="s">
        <v>41</v>
      </c>
      <c r="S501">
        <v>2</v>
      </c>
      <c r="T501">
        <v>6</v>
      </c>
      <c r="U501" t="s">
        <v>32</v>
      </c>
      <c r="V501" t="s">
        <v>42</v>
      </c>
    </row>
    <row r="502" spans="1:23" x14ac:dyDescent="0.25">
      <c r="A502" t="s">
        <v>918</v>
      </c>
      <c r="B502" s="1">
        <v>45749</v>
      </c>
      <c r="C502" t="s">
        <v>900</v>
      </c>
      <c r="D502" t="s">
        <v>67</v>
      </c>
      <c r="E502" t="s">
        <v>26</v>
      </c>
      <c r="F502" t="s">
        <v>27</v>
      </c>
      <c r="G502" t="s">
        <v>164</v>
      </c>
      <c r="H502">
        <v>3</v>
      </c>
      <c r="I502" s="21">
        <v>9407</v>
      </c>
      <c r="J502">
        <v>15</v>
      </c>
      <c r="K502" s="21">
        <v>4233.1499999999996</v>
      </c>
      <c r="L502" s="21">
        <v>23987.85</v>
      </c>
      <c r="M502" s="21">
        <v>18168.84</v>
      </c>
      <c r="N502" s="21">
        <v>5819.01</v>
      </c>
      <c r="O502" t="s">
        <v>60</v>
      </c>
      <c r="P502" s="21">
        <v>348.28</v>
      </c>
      <c r="Q502" t="s">
        <v>73</v>
      </c>
      <c r="R502" t="s">
        <v>41</v>
      </c>
      <c r="S502">
        <v>2</v>
      </c>
      <c r="T502">
        <v>3</v>
      </c>
      <c r="U502" t="s">
        <v>56</v>
      </c>
      <c r="V502" t="s">
        <v>33</v>
      </c>
      <c r="W502">
        <v>3</v>
      </c>
    </row>
    <row r="503" spans="1:23" x14ac:dyDescent="0.25">
      <c r="A503" t="s">
        <v>919</v>
      </c>
      <c r="B503" s="1">
        <v>45955</v>
      </c>
      <c r="C503" t="s">
        <v>691</v>
      </c>
      <c r="D503" t="s">
        <v>67</v>
      </c>
      <c r="E503" t="s">
        <v>46</v>
      </c>
      <c r="F503" t="s">
        <v>37</v>
      </c>
      <c r="G503" t="s">
        <v>100</v>
      </c>
      <c r="H503">
        <v>1</v>
      </c>
      <c r="I503" s="21">
        <v>17989</v>
      </c>
      <c r="J503">
        <v>10</v>
      </c>
      <c r="K503" s="21">
        <v>1798.9</v>
      </c>
      <c r="L503" s="21">
        <v>16190.1</v>
      </c>
      <c r="M503" s="21">
        <v>11388.37</v>
      </c>
      <c r="N503" s="21">
        <v>4801.7299999999996</v>
      </c>
      <c r="O503" t="s">
        <v>55</v>
      </c>
      <c r="P503" s="21">
        <v>2353.86</v>
      </c>
      <c r="Q503" t="s">
        <v>73</v>
      </c>
      <c r="R503" t="s">
        <v>41</v>
      </c>
      <c r="S503">
        <v>2</v>
      </c>
      <c r="T503">
        <v>0</v>
      </c>
      <c r="U503" t="s">
        <v>32</v>
      </c>
      <c r="V503" t="s">
        <v>42</v>
      </c>
    </row>
    <row r="504" spans="1:23" x14ac:dyDescent="0.25">
      <c r="A504" t="s">
        <v>920</v>
      </c>
      <c r="B504" s="1">
        <v>45793</v>
      </c>
      <c r="C504" t="s">
        <v>921</v>
      </c>
      <c r="D504" t="s">
        <v>90</v>
      </c>
      <c r="E504" t="s">
        <v>36</v>
      </c>
      <c r="F504" t="s">
        <v>27</v>
      </c>
      <c r="G504" t="s">
        <v>113</v>
      </c>
      <c r="H504">
        <v>3</v>
      </c>
      <c r="I504" s="21">
        <v>11759</v>
      </c>
      <c r="J504">
        <v>0</v>
      </c>
      <c r="K504" s="21">
        <v>0</v>
      </c>
      <c r="L504" s="21">
        <v>35277</v>
      </c>
      <c r="M504" s="21">
        <v>20752.37</v>
      </c>
      <c r="N504" s="21">
        <v>14524.63</v>
      </c>
      <c r="O504" t="s">
        <v>91</v>
      </c>
      <c r="P504" s="21">
        <v>886.17</v>
      </c>
      <c r="Q504" t="s">
        <v>30</v>
      </c>
      <c r="R504" t="s">
        <v>41</v>
      </c>
      <c r="S504">
        <v>2</v>
      </c>
      <c r="T504">
        <v>1</v>
      </c>
      <c r="U504" t="s">
        <v>32</v>
      </c>
      <c r="V504" t="s">
        <v>33</v>
      </c>
      <c r="W504">
        <v>1</v>
      </c>
    </row>
    <row r="505" spans="1:23" x14ac:dyDescent="0.25">
      <c r="A505" t="s">
        <v>922</v>
      </c>
      <c r="B505" s="1">
        <v>45677</v>
      </c>
      <c r="C505" t="s">
        <v>324</v>
      </c>
      <c r="D505" t="s">
        <v>63</v>
      </c>
      <c r="E505" t="s">
        <v>36</v>
      </c>
      <c r="F505" t="s">
        <v>27</v>
      </c>
      <c r="G505" t="s">
        <v>28</v>
      </c>
      <c r="H505">
        <v>1</v>
      </c>
      <c r="I505" s="21">
        <v>8891</v>
      </c>
      <c r="J505">
        <v>10</v>
      </c>
      <c r="K505" s="21">
        <v>889.1</v>
      </c>
      <c r="L505" s="21">
        <v>8001.9</v>
      </c>
      <c r="M505" s="21">
        <v>6436.12</v>
      </c>
      <c r="N505" s="21">
        <v>1565.78</v>
      </c>
      <c r="O505" t="s">
        <v>91</v>
      </c>
      <c r="P505" s="21">
        <v>1784.31</v>
      </c>
      <c r="Q505" t="s">
        <v>68</v>
      </c>
      <c r="R505" t="s">
        <v>41</v>
      </c>
      <c r="S505">
        <v>2</v>
      </c>
      <c r="T505">
        <v>3</v>
      </c>
      <c r="U505" t="s">
        <v>56</v>
      </c>
      <c r="V505" t="s">
        <v>33</v>
      </c>
      <c r="W505">
        <v>5</v>
      </c>
    </row>
    <row r="506" spans="1:23" x14ac:dyDescent="0.25">
      <c r="A506" t="s">
        <v>923</v>
      </c>
      <c r="B506" s="1">
        <v>45713</v>
      </c>
      <c r="C506" t="s">
        <v>370</v>
      </c>
      <c r="D506" t="s">
        <v>71</v>
      </c>
      <c r="E506" t="s">
        <v>26</v>
      </c>
      <c r="F506" t="s">
        <v>27</v>
      </c>
      <c r="G506" t="s">
        <v>72</v>
      </c>
      <c r="H506">
        <v>3</v>
      </c>
      <c r="I506" s="21">
        <v>23701</v>
      </c>
      <c r="J506">
        <v>10</v>
      </c>
      <c r="K506" s="21">
        <v>7110.3</v>
      </c>
      <c r="L506" s="21">
        <v>63992.7</v>
      </c>
      <c r="M506" s="21">
        <v>46669.68</v>
      </c>
      <c r="N506" s="21">
        <v>17323.02</v>
      </c>
      <c r="O506" t="s">
        <v>55</v>
      </c>
      <c r="P506" s="21">
        <v>2261.9499999999998</v>
      </c>
      <c r="Q506" t="s">
        <v>68</v>
      </c>
      <c r="R506" t="s">
        <v>41</v>
      </c>
      <c r="S506">
        <v>2</v>
      </c>
      <c r="T506">
        <v>0</v>
      </c>
      <c r="U506" t="s">
        <v>32</v>
      </c>
      <c r="V506" t="s">
        <v>50</v>
      </c>
      <c r="W506">
        <v>2</v>
      </c>
    </row>
    <row r="507" spans="1:23" x14ac:dyDescent="0.25">
      <c r="A507" t="s">
        <v>924</v>
      </c>
      <c r="B507" s="1">
        <v>45963</v>
      </c>
      <c r="C507" t="s">
        <v>925</v>
      </c>
      <c r="D507" t="s">
        <v>71</v>
      </c>
      <c r="E507" t="s">
        <v>26</v>
      </c>
      <c r="F507" t="s">
        <v>27</v>
      </c>
      <c r="G507" t="s">
        <v>72</v>
      </c>
      <c r="H507">
        <v>1</v>
      </c>
      <c r="I507" s="21">
        <v>24436</v>
      </c>
      <c r="J507">
        <v>0</v>
      </c>
      <c r="K507" s="21">
        <v>0</v>
      </c>
      <c r="L507" s="21">
        <v>24436</v>
      </c>
      <c r="M507" s="21">
        <v>14882.21</v>
      </c>
      <c r="N507" s="21">
        <v>9553.7900000000009</v>
      </c>
      <c r="O507" t="s">
        <v>39</v>
      </c>
      <c r="P507" s="21">
        <v>1456</v>
      </c>
      <c r="Q507" t="s">
        <v>68</v>
      </c>
      <c r="R507" t="s">
        <v>41</v>
      </c>
      <c r="S507">
        <v>2</v>
      </c>
      <c r="T507">
        <v>1</v>
      </c>
      <c r="U507" t="s">
        <v>32</v>
      </c>
      <c r="V507" t="s">
        <v>33</v>
      </c>
      <c r="W507">
        <v>5</v>
      </c>
    </row>
    <row r="508" spans="1:23" x14ac:dyDescent="0.25">
      <c r="A508" t="s">
        <v>926</v>
      </c>
      <c r="B508" s="1">
        <v>45880</v>
      </c>
      <c r="C508" t="s">
        <v>927</v>
      </c>
      <c r="D508" t="s">
        <v>25</v>
      </c>
      <c r="E508" t="s">
        <v>36</v>
      </c>
      <c r="F508" t="s">
        <v>37</v>
      </c>
      <c r="G508" t="s">
        <v>100</v>
      </c>
      <c r="H508">
        <v>4</v>
      </c>
      <c r="I508" s="21">
        <v>5061</v>
      </c>
      <c r="J508">
        <v>10</v>
      </c>
      <c r="K508" s="21">
        <v>2024.4</v>
      </c>
      <c r="L508" s="21">
        <v>18219.599999999999</v>
      </c>
      <c r="M508" s="21">
        <v>14431.69</v>
      </c>
      <c r="N508" s="21">
        <v>3787.91</v>
      </c>
      <c r="O508" t="s">
        <v>91</v>
      </c>
      <c r="P508" s="21">
        <v>1348</v>
      </c>
      <c r="Q508" t="s">
        <v>30</v>
      </c>
      <c r="R508" t="s">
        <v>31</v>
      </c>
      <c r="S508">
        <v>5</v>
      </c>
      <c r="T508">
        <v>5</v>
      </c>
      <c r="U508" t="s">
        <v>32</v>
      </c>
      <c r="V508" t="s">
        <v>42</v>
      </c>
    </row>
    <row r="509" spans="1:23" x14ac:dyDescent="0.25">
      <c r="A509" t="s">
        <v>928</v>
      </c>
      <c r="B509" s="1">
        <v>45834</v>
      </c>
      <c r="C509" t="s">
        <v>929</v>
      </c>
      <c r="D509" t="s">
        <v>25</v>
      </c>
      <c r="E509" t="s">
        <v>46</v>
      </c>
      <c r="F509" t="s">
        <v>27</v>
      </c>
      <c r="G509" t="s">
        <v>113</v>
      </c>
      <c r="H509">
        <v>4</v>
      </c>
      <c r="I509" s="21">
        <v>18534</v>
      </c>
      <c r="J509">
        <v>10</v>
      </c>
      <c r="K509" s="21">
        <v>7413.6</v>
      </c>
      <c r="L509" s="21">
        <v>66722.399999999994</v>
      </c>
      <c r="M509" s="21">
        <v>39884.089999999997</v>
      </c>
      <c r="N509" s="21">
        <v>26838.31</v>
      </c>
      <c r="O509" t="s">
        <v>29</v>
      </c>
      <c r="P509" s="21">
        <v>1202.52</v>
      </c>
      <c r="Q509" t="s">
        <v>73</v>
      </c>
      <c r="R509" t="s">
        <v>31</v>
      </c>
      <c r="S509">
        <v>5</v>
      </c>
      <c r="T509">
        <v>4</v>
      </c>
      <c r="U509" t="s">
        <v>32</v>
      </c>
      <c r="V509" t="s">
        <v>42</v>
      </c>
    </row>
    <row r="510" spans="1:23" x14ac:dyDescent="0.25">
      <c r="A510" t="s">
        <v>930</v>
      </c>
      <c r="B510" s="1">
        <v>45818</v>
      </c>
      <c r="C510" t="s">
        <v>875</v>
      </c>
      <c r="D510" t="s">
        <v>79</v>
      </c>
      <c r="E510" t="s">
        <v>46</v>
      </c>
      <c r="F510" t="s">
        <v>27</v>
      </c>
      <c r="G510" t="s">
        <v>72</v>
      </c>
      <c r="H510">
        <v>1</v>
      </c>
      <c r="I510" s="21">
        <v>28074</v>
      </c>
      <c r="J510">
        <v>0</v>
      </c>
      <c r="K510" s="21">
        <v>0</v>
      </c>
      <c r="L510" s="21">
        <v>28074</v>
      </c>
      <c r="M510" s="21">
        <v>20242.810000000001</v>
      </c>
      <c r="N510" s="21">
        <v>7831.19</v>
      </c>
      <c r="O510" t="s">
        <v>55</v>
      </c>
      <c r="P510" s="21">
        <v>866.78</v>
      </c>
      <c r="Q510" t="s">
        <v>30</v>
      </c>
      <c r="R510" t="s">
        <v>31</v>
      </c>
      <c r="S510">
        <v>5</v>
      </c>
      <c r="T510">
        <v>5</v>
      </c>
      <c r="U510" t="s">
        <v>32</v>
      </c>
      <c r="V510" t="s">
        <v>42</v>
      </c>
    </row>
    <row r="511" spans="1:23" x14ac:dyDescent="0.25">
      <c r="A511" t="s">
        <v>931</v>
      </c>
      <c r="B511" s="1">
        <v>45881</v>
      </c>
      <c r="C511" t="s">
        <v>595</v>
      </c>
      <c r="D511" t="s">
        <v>97</v>
      </c>
      <c r="E511" t="s">
        <v>46</v>
      </c>
      <c r="F511" t="s">
        <v>47</v>
      </c>
      <c r="G511" t="s">
        <v>146</v>
      </c>
      <c r="H511">
        <v>3</v>
      </c>
      <c r="I511" s="21">
        <v>29977</v>
      </c>
      <c r="J511">
        <v>0</v>
      </c>
      <c r="K511" s="21">
        <v>0</v>
      </c>
      <c r="L511" s="21">
        <v>89931</v>
      </c>
      <c r="M511" s="21">
        <v>72277.23</v>
      </c>
      <c r="N511" s="21">
        <v>17653.77</v>
      </c>
      <c r="O511" t="s">
        <v>60</v>
      </c>
      <c r="P511" s="21">
        <v>2223.1</v>
      </c>
      <c r="Q511" t="s">
        <v>73</v>
      </c>
      <c r="R511" t="s">
        <v>41</v>
      </c>
      <c r="S511">
        <v>2</v>
      </c>
      <c r="T511">
        <v>1</v>
      </c>
      <c r="U511" t="s">
        <v>32</v>
      </c>
      <c r="V511" t="s">
        <v>33</v>
      </c>
      <c r="W511">
        <v>3</v>
      </c>
    </row>
    <row r="512" spans="1:23" x14ac:dyDescent="0.25">
      <c r="A512" t="s">
        <v>932</v>
      </c>
      <c r="B512" s="1">
        <v>45968</v>
      </c>
      <c r="C512" t="s">
        <v>933</v>
      </c>
      <c r="D512" t="s">
        <v>90</v>
      </c>
      <c r="E512" t="s">
        <v>46</v>
      </c>
      <c r="F512" t="s">
        <v>86</v>
      </c>
      <c r="G512" t="s">
        <v>127</v>
      </c>
      <c r="H512">
        <v>1</v>
      </c>
      <c r="I512" s="21">
        <v>74021</v>
      </c>
      <c r="J512">
        <v>10</v>
      </c>
      <c r="K512" s="21">
        <v>7402.1</v>
      </c>
      <c r="L512" s="21">
        <v>66618.899999999994</v>
      </c>
      <c r="M512" s="21">
        <v>39705.589999999997</v>
      </c>
      <c r="N512" s="21">
        <v>26913.31</v>
      </c>
      <c r="O512" t="s">
        <v>60</v>
      </c>
      <c r="P512" s="21">
        <v>1478.2</v>
      </c>
      <c r="Q512" t="s">
        <v>30</v>
      </c>
      <c r="R512" t="s">
        <v>41</v>
      </c>
      <c r="S512">
        <v>2</v>
      </c>
      <c r="T512">
        <v>1</v>
      </c>
      <c r="U512" t="s">
        <v>32</v>
      </c>
      <c r="V512" t="s">
        <v>42</v>
      </c>
    </row>
    <row r="513" spans="1:23" x14ac:dyDescent="0.25">
      <c r="A513" t="s">
        <v>934</v>
      </c>
      <c r="B513" s="1">
        <v>45919</v>
      </c>
      <c r="C513" t="s">
        <v>484</v>
      </c>
      <c r="D513" t="s">
        <v>90</v>
      </c>
      <c r="E513" t="s">
        <v>46</v>
      </c>
      <c r="F513" t="s">
        <v>47</v>
      </c>
      <c r="G513" t="s">
        <v>64</v>
      </c>
      <c r="H513">
        <v>3</v>
      </c>
      <c r="I513" s="21">
        <v>54717</v>
      </c>
      <c r="J513">
        <v>25</v>
      </c>
      <c r="K513" s="21">
        <v>41037.75</v>
      </c>
      <c r="L513" s="21">
        <v>123113.25</v>
      </c>
      <c r="M513" s="21">
        <v>72979.05</v>
      </c>
      <c r="N513" s="21">
        <v>50134.2</v>
      </c>
      <c r="O513" t="s">
        <v>29</v>
      </c>
      <c r="P513" s="21">
        <v>2042.7</v>
      </c>
      <c r="Q513" t="s">
        <v>40</v>
      </c>
      <c r="R513" t="s">
        <v>31</v>
      </c>
      <c r="S513">
        <v>5</v>
      </c>
      <c r="T513">
        <v>4</v>
      </c>
      <c r="U513" t="s">
        <v>32</v>
      </c>
      <c r="V513" t="s">
        <v>33</v>
      </c>
      <c r="W513">
        <v>5</v>
      </c>
    </row>
    <row r="514" spans="1:23" x14ac:dyDescent="0.25">
      <c r="A514" t="s">
        <v>935</v>
      </c>
      <c r="B514" s="1">
        <v>45717</v>
      </c>
      <c r="C514" t="s">
        <v>840</v>
      </c>
      <c r="D514" t="s">
        <v>63</v>
      </c>
      <c r="E514" t="s">
        <v>46</v>
      </c>
      <c r="F514" t="s">
        <v>53</v>
      </c>
      <c r="G514" t="s">
        <v>82</v>
      </c>
      <c r="H514">
        <v>1</v>
      </c>
      <c r="I514" s="21">
        <v>21223</v>
      </c>
      <c r="J514">
        <v>0</v>
      </c>
      <c r="K514" s="21">
        <v>0</v>
      </c>
      <c r="L514" s="21">
        <v>21223</v>
      </c>
      <c r="M514" s="21">
        <v>11832.05</v>
      </c>
      <c r="N514" s="21">
        <v>9390.9500000000007</v>
      </c>
      <c r="O514" t="s">
        <v>29</v>
      </c>
      <c r="P514" s="21">
        <v>258.17</v>
      </c>
      <c r="Q514" t="s">
        <v>68</v>
      </c>
      <c r="R514" t="s">
        <v>31</v>
      </c>
      <c r="S514">
        <v>5</v>
      </c>
      <c r="T514">
        <v>4</v>
      </c>
      <c r="U514" t="s">
        <v>32</v>
      </c>
      <c r="V514" t="s">
        <v>50</v>
      </c>
      <c r="W514">
        <v>4</v>
      </c>
    </row>
    <row r="515" spans="1:23" x14ac:dyDescent="0.25">
      <c r="A515" t="s">
        <v>936</v>
      </c>
      <c r="B515" s="1">
        <v>45855</v>
      </c>
      <c r="C515" t="s">
        <v>937</v>
      </c>
      <c r="D515" t="s">
        <v>124</v>
      </c>
      <c r="E515" t="s">
        <v>36</v>
      </c>
      <c r="F515" t="s">
        <v>27</v>
      </c>
      <c r="G515" t="s">
        <v>72</v>
      </c>
      <c r="H515">
        <v>1</v>
      </c>
      <c r="I515" s="21">
        <v>28744</v>
      </c>
      <c r="J515">
        <v>0</v>
      </c>
      <c r="K515" s="21">
        <v>0</v>
      </c>
      <c r="L515" s="21">
        <v>28744</v>
      </c>
      <c r="M515" s="21">
        <v>17943.169999999998</v>
      </c>
      <c r="N515" s="21">
        <v>10800.83</v>
      </c>
      <c r="O515" t="s">
        <v>49</v>
      </c>
      <c r="P515" s="21">
        <v>493.16</v>
      </c>
      <c r="Q515" t="s">
        <v>83</v>
      </c>
      <c r="R515" t="s">
        <v>31</v>
      </c>
      <c r="S515">
        <v>5</v>
      </c>
      <c r="T515">
        <v>3</v>
      </c>
      <c r="U515" t="s">
        <v>32</v>
      </c>
      <c r="V515" t="s">
        <v>33</v>
      </c>
      <c r="W515">
        <v>5</v>
      </c>
    </row>
    <row r="516" spans="1:23" x14ac:dyDescent="0.25">
      <c r="A516" t="s">
        <v>938</v>
      </c>
      <c r="B516" s="1">
        <v>45953</v>
      </c>
      <c r="C516" t="s">
        <v>458</v>
      </c>
      <c r="D516" t="s">
        <v>79</v>
      </c>
      <c r="E516" t="s">
        <v>46</v>
      </c>
      <c r="F516" t="s">
        <v>53</v>
      </c>
      <c r="G516" t="s">
        <v>54</v>
      </c>
      <c r="H516">
        <v>3</v>
      </c>
      <c r="I516" s="21">
        <v>21160</v>
      </c>
      <c r="J516">
        <v>15</v>
      </c>
      <c r="K516" s="21">
        <v>9522</v>
      </c>
      <c r="L516" s="21">
        <v>53958</v>
      </c>
      <c r="M516" s="21">
        <v>31143.55</v>
      </c>
      <c r="N516" s="21">
        <v>22814.45</v>
      </c>
      <c r="O516" t="s">
        <v>91</v>
      </c>
      <c r="P516" s="21">
        <v>1318.99</v>
      </c>
      <c r="Q516" t="s">
        <v>83</v>
      </c>
      <c r="R516" t="s">
        <v>41</v>
      </c>
      <c r="S516">
        <v>2</v>
      </c>
      <c r="T516">
        <v>1</v>
      </c>
      <c r="U516" t="s">
        <v>32</v>
      </c>
      <c r="V516" t="s">
        <v>33</v>
      </c>
      <c r="W516">
        <v>1</v>
      </c>
    </row>
    <row r="517" spans="1:23" x14ac:dyDescent="0.25">
      <c r="A517" t="s">
        <v>939</v>
      </c>
      <c r="B517" s="1">
        <v>45755</v>
      </c>
      <c r="C517" t="s">
        <v>299</v>
      </c>
      <c r="D517" t="s">
        <v>25</v>
      </c>
      <c r="E517" t="s">
        <v>36</v>
      </c>
      <c r="F517" t="s">
        <v>47</v>
      </c>
      <c r="G517" t="s">
        <v>105</v>
      </c>
      <c r="H517">
        <v>2</v>
      </c>
      <c r="I517" s="21">
        <v>26579</v>
      </c>
      <c r="J517">
        <v>0</v>
      </c>
      <c r="K517" s="21">
        <v>0</v>
      </c>
      <c r="L517" s="21">
        <v>53158</v>
      </c>
      <c r="M517" s="21">
        <v>43243.89</v>
      </c>
      <c r="N517" s="21">
        <v>9914.11</v>
      </c>
      <c r="O517" t="s">
        <v>49</v>
      </c>
      <c r="P517" s="21">
        <v>320</v>
      </c>
      <c r="Q517" t="s">
        <v>83</v>
      </c>
      <c r="R517" t="s">
        <v>41</v>
      </c>
      <c r="S517">
        <v>2</v>
      </c>
      <c r="T517">
        <v>3</v>
      </c>
      <c r="U517" t="s">
        <v>56</v>
      </c>
      <c r="V517" t="s">
        <v>33</v>
      </c>
      <c r="W517">
        <v>5</v>
      </c>
    </row>
    <row r="518" spans="1:23" x14ac:dyDescent="0.25">
      <c r="A518" t="s">
        <v>940</v>
      </c>
      <c r="B518" s="1">
        <v>45788</v>
      </c>
      <c r="C518" t="s">
        <v>941</v>
      </c>
      <c r="D518" t="s">
        <v>79</v>
      </c>
      <c r="E518" t="s">
        <v>26</v>
      </c>
      <c r="F518" t="s">
        <v>47</v>
      </c>
      <c r="G518" t="s">
        <v>64</v>
      </c>
      <c r="H518">
        <v>1</v>
      </c>
      <c r="I518" s="21">
        <v>40537</v>
      </c>
      <c r="J518">
        <v>0</v>
      </c>
      <c r="K518" s="21">
        <v>0</v>
      </c>
      <c r="L518" s="21">
        <v>40537</v>
      </c>
      <c r="M518" s="21">
        <v>32130.22</v>
      </c>
      <c r="N518" s="21">
        <v>8406.7800000000007</v>
      </c>
      <c r="O518" t="s">
        <v>91</v>
      </c>
      <c r="P518" s="21">
        <v>705.45</v>
      </c>
      <c r="Q518" t="s">
        <v>68</v>
      </c>
      <c r="R518" t="s">
        <v>41</v>
      </c>
      <c r="S518">
        <v>2</v>
      </c>
      <c r="T518">
        <v>3</v>
      </c>
      <c r="U518" t="s">
        <v>56</v>
      </c>
      <c r="V518" t="s">
        <v>33</v>
      </c>
      <c r="W518">
        <v>2</v>
      </c>
    </row>
    <row r="519" spans="1:23" x14ac:dyDescent="0.25">
      <c r="A519" t="s">
        <v>942</v>
      </c>
      <c r="B519" s="1">
        <v>45680</v>
      </c>
      <c r="C519" t="s">
        <v>943</v>
      </c>
      <c r="D519" t="s">
        <v>124</v>
      </c>
      <c r="E519" t="s">
        <v>46</v>
      </c>
      <c r="F519" t="s">
        <v>86</v>
      </c>
      <c r="G519" t="s">
        <v>94</v>
      </c>
      <c r="H519">
        <v>2</v>
      </c>
      <c r="I519" s="21">
        <v>70985</v>
      </c>
      <c r="J519">
        <v>15</v>
      </c>
      <c r="K519" s="21">
        <v>21295.5</v>
      </c>
      <c r="L519" s="21">
        <v>120674.5</v>
      </c>
      <c r="M519" s="21">
        <v>96423.03</v>
      </c>
      <c r="N519" s="21">
        <v>24251.47</v>
      </c>
      <c r="O519" t="s">
        <v>55</v>
      </c>
      <c r="P519" s="21">
        <v>1780.23</v>
      </c>
      <c r="Q519" t="s">
        <v>73</v>
      </c>
      <c r="R519" t="s">
        <v>31</v>
      </c>
      <c r="S519">
        <v>5</v>
      </c>
      <c r="T519">
        <v>3</v>
      </c>
      <c r="U519" t="s">
        <v>32</v>
      </c>
      <c r="V519" t="s">
        <v>33</v>
      </c>
      <c r="W519">
        <v>2</v>
      </c>
    </row>
    <row r="520" spans="1:23" x14ac:dyDescent="0.25">
      <c r="A520" t="s">
        <v>944</v>
      </c>
      <c r="B520" s="1">
        <v>46020</v>
      </c>
      <c r="C520" t="s">
        <v>945</v>
      </c>
      <c r="D520" t="s">
        <v>45</v>
      </c>
      <c r="E520" t="s">
        <v>46</v>
      </c>
      <c r="F520" t="s">
        <v>27</v>
      </c>
      <c r="G520" t="s">
        <v>164</v>
      </c>
      <c r="H520">
        <v>1</v>
      </c>
      <c r="I520" s="21">
        <v>18119</v>
      </c>
      <c r="J520">
        <v>10</v>
      </c>
      <c r="K520" s="21">
        <v>1811.9</v>
      </c>
      <c r="L520" s="21">
        <v>16307.1</v>
      </c>
      <c r="M520" s="21">
        <v>12561.21</v>
      </c>
      <c r="N520" s="21">
        <v>3745.89</v>
      </c>
      <c r="O520" t="s">
        <v>39</v>
      </c>
      <c r="P520" s="21">
        <v>1081.01</v>
      </c>
      <c r="Q520" t="s">
        <v>68</v>
      </c>
      <c r="R520" t="s">
        <v>31</v>
      </c>
      <c r="S520">
        <v>5</v>
      </c>
      <c r="T520">
        <v>4</v>
      </c>
      <c r="U520" t="s">
        <v>32</v>
      </c>
      <c r="V520" t="s">
        <v>42</v>
      </c>
    </row>
    <row r="521" spans="1:23" x14ac:dyDescent="0.25">
      <c r="A521" t="s">
        <v>946</v>
      </c>
      <c r="B521" s="1">
        <v>45881</v>
      </c>
      <c r="C521" t="s">
        <v>188</v>
      </c>
      <c r="D521" t="s">
        <v>79</v>
      </c>
      <c r="E521" t="s">
        <v>46</v>
      </c>
      <c r="F521" t="s">
        <v>37</v>
      </c>
      <c r="G521" t="s">
        <v>313</v>
      </c>
      <c r="H521">
        <v>1</v>
      </c>
      <c r="I521" s="21">
        <v>23233</v>
      </c>
      <c r="J521">
        <v>25</v>
      </c>
      <c r="K521" s="21">
        <v>5808.25</v>
      </c>
      <c r="L521" s="21">
        <v>17424.75</v>
      </c>
      <c r="M521" s="21">
        <v>11240.85</v>
      </c>
      <c r="N521" s="21">
        <v>6183.9</v>
      </c>
      <c r="O521" t="s">
        <v>60</v>
      </c>
      <c r="P521" s="21">
        <v>2060.79</v>
      </c>
      <c r="Q521" t="s">
        <v>30</v>
      </c>
      <c r="R521" t="s">
        <v>31</v>
      </c>
      <c r="S521">
        <v>5</v>
      </c>
      <c r="T521">
        <v>6</v>
      </c>
      <c r="U521" t="s">
        <v>56</v>
      </c>
      <c r="V521" t="s">
        <v>33</v>
      </c>
      <c r="W521">
        <v>2</v>
      </c>
    </row>
    <row r="522" spans="1:23" x14ac:dyDescent="0.25">
      <c r="A522" t="s">
        <v>947</v>
      </c>
      <c r="B522" s="1">
        <v>45658</v>
      </c>
      <c r="C522" t="s">
        <v>948</v>
      </c>
      <c r="D522" t="s">
        <v>79</v>
      </c>
      <c r="E522" t="s">
        <v>26</v>
      </c>
      <c r="F522" t="s">
        <v>47</v>
      </c>
      <c r="G522" t="s">
        <v>48</v>
      </c>
      <c r="H522">
        <v>1</v>
      </c>
      <c r="I522" s="21">
        <v>27607</v>
      </c>
      <c r="J522">
        <v>0</v>
      </c>
      <c r="K522" s="21">
        <v>0</v>
      </c>
      <c r="L522" s="21">
        <v>27607</v>
      </c>
      <c r="M522" s="21">
        <v>20526.82</v>
      </c>
      <c r="N522" s="21">
        <v>7080.18</v>
      </c>
      <c r="O522" t="s">
        <v>91</v>
      </c>
      <c r="P522" s="21">
        <v>2029.05</v>
      </c>
      <c r="Q522" t="s">
        <v>68</v>
      </c>
      <c r="R522" t="s">
        <v>41</v>
      </c>
      <c r="S522">
        <v>2</v>
      </c>
      <c r="T522">
        <v>1</v>
      </c>
      <c r="U522" t="s">
        <v>32</v>
      </c>
      <c r="V522" t="s">
        <v>33</v>
      </c>
      <c r="W522">
        <v>5</v>
      </c>
    </row>
    <row r="523" spans="1:23" x14ac:dyDescent="0.25">
      <c r="A523" t="s">
        <v>949</v>
      </c>
      <c r="B523" s="1">
        <v>45924</v>
      </c>
      <c r="C523" t="s">
        <v>604</v>
      </c>
      <c r="D523" t="s">
        <v>63</v>
      </c>
      <c r="E523" t="s">
        <v>46</v>
      </c>
      <c r="F523" t="s">
        <v>37</v>
      </c>
      <c r="G523" t="s">
        <v>224</v>
      </c>
      <c r="H523">
        <v>1</v>
      </c>
      <c r="I523" s="21">
        <v>31639</v>
      </c>
      <c r="J523">
        <v>15</v>
      </c>
      <c r="K523" s="21">
        <v>4745.8500000000004</v>
      </c>
      <c r="L523" s="21">
        <v>26893.15</v>
      </c>
      <c r="M523" s="21">
        <v>17098.7</v>
      </c>
      <c r="N523" s="21">
        <v>9794.4500000000007</v>
      </c>
      <c r="O523" t="s">
        <v>29</v>
      </c>
      <c r="P523" s="21">
        <v>314.22000000000003</v>
      </c>
      <c r="Q523" t="s">
        <v>30</v>
      </c>
      <c r="R523" t="s">
        <v>31</v>
      </c>
      <c r="S523">
        <v>5</v>
      </c>
      <c r="T523">
        <v>6</v>
      </c>
      <c r="U523" t="s">
        <v>56</v>
      </c>
      <c r="V523" t="s">
        <v>33</v>
      </c>
      <c r="W523">
        <v>2</v>
      </c>
    </row>
    <row r="524" spans="1:23" x14ac:dyDescent="0.25">
      <c r="A524" t="s">
        <v>950</v>
      </c>
      <c r="B524" s="1">
        <v>45933</v>
      </c>
      <c r="C524" t="s">
        <v>99</v>
      </c>
      <c r="D524" t="s">
        <v>71</v>
      </c>
      <c r="E524" t="s">
        <v>46</v>
      </c>
      <c r="F524" t="s">
        <v>27</v>
      </c>
      <c r="G524" t="s">
        <v>164</v>
      </c>
      <c r="H524">
        <v>1</v>
      </c>
      <c r="I524" s="21">
        <v>11247</v>
      </c>
      <c r="J524">
        <v>10</v>
      </c>
      <c r="K524" s="21">
        <v>1124.7</v>
      </c>
      <c r="L524" s="21">
        <v>10122.299999999999</v>
      </c>
      <c r="M524" s="21">
        <v>5616.01</v>
      </c>
      <c r="N524" s="21">
        <v>4506.29</v>
      </c>
      <c r="O524" t="s">
        <v>55</v>
      </c>
      <c r="P524" s="21">
        <v>854.04</v>
      </c>
      <c r="Q524" t="s">
        <v>30</v>
      </c>
      <c r="R524" t="s">
        <v>31</v>
      </c>
      <c r="S524">
        <v>5</v>
      </c>
      <c r="T524">
        <v>3</v>
      </c>
      <c r="U524" t="s">
        <v>32</v>
      </c>
      <c r="V524" t="s">
        <v>42</v>
      </c>
    </row>
    <row r="525" spans="1:23" x14ac:dyDescent="0.25">
      <c r="A525" t="s">
        <v>951</v>
      </c>
      <c r="B525" s="1">
        <v>46009</v>
      </c>
      <c r="C525" t="s">
        <v>952</v>
      </c>
      <c r="D525" t="s">
        <v>90</v>
      </c>
      <c r="E525" t="s">
        <v>26</v>
      </c>
      <c r="F525" t="s">
        <v>53</v>
      </c>
      <c r="G525" t="s">
        <v>82</v>
      </c>
      <c r="H525">
        <v>1</v>
      </c>
      <c r="I525" s="21">
        <v>21467</v>
      </c>
      <c r="J525">
        <v>10</v>
      </c>
      <c r="K525" s="21">
        <v>2146.6999999999998</v>
      </c>
      <c r="L525" s="21">
        <v>19320.3</v>
      </c>
      <c r="M525" s="21">
        <v>12714.55</v>
      </c>
      <c r="N525" s="21">
        <v>6605.75</v>
      </c>
      <c r="O525" t="s">
        <v>39</v>
      </c>
      <c r="P525" s="21">
        <v>1608.34</v>
      </c>
      <c r="Q525" t="s">
        <v>30</v>
      </c>
      <c r="R525" t="s">
        <v>41</v>
      </c>
      <c r="S525">
        <v>2</v>
      </c>
      <c r="T525">
        <v>3</v>
      </c>
      <c r="U525" t="s">
        <v>32</v>
      </c>
      <c r="V525" t="s">
        <v>42</v>
      </c>
    </row>
    <row r="526" spans="1:23" x14ac:dyDescent="0.25">
      <c r="A526" t="s">
        <v>953</v>
      </c>
      <c r="B526" s="1">
        <v>46001</v>
      </c>
      <c r="C526" t="s">
        <v>954</v>
      </c>
      <c r="D526" t="s">
        <v>79</v>
      </c>
      <c r="E526" t="s">
        <v>36</v>
      </c>
      <c r="F526" t="s">
        <v>86</v>
      </c>
      <c r="G526" t="s">
        <v>127</v>
      </c>
      <c r="H526">
        <v>1</v>
      </c>
      <c r="I526" s="21">
        <v>7362</v>
      </c>
      <c r="J526">
        <v>10</v>
      </c>
      <c r="K526" s="21">
        <v>736.2</v>
      </c>
      <c r="L526" s="21">
        <v>6625.8</v>
      </c>
      <c r="M526" s="21">
        <v>5185.1899999999996</v>
      </c>
      <c r="N526" s="21">
        <v>1440.61</v>
      </c>
      <c r="O526" t="s">
        <v>39</v>
      </c>
      <c r="P526" s="21">
        <v>402.44</v>
      </c>
      <c r="Q526" t="s">
        <v>73</v>
      </c>
      <c r="R526" t="s">
        <v>41</v>
      </c>
      <c r="S526">
        <v>2</v>
      </c>
      <c r="T526">
        <v>1</v>
      </c>
      <c r="U526" t="s">
        <v>32</v>
      </c>
      <c r="V526" t="s">
        <v>50</v>
      </c>
      <c r="W526">
        <v>2</v>
      </c>
    </row>
    <row r="527" spans="1:23" x14ac:dyDescent="0.25">
      <c r="A527" t="s">
        <v>955</v>
      </c>
      <c r="B527" s="1">
        <v>45758</v>
      </c>
      <c r="C527" t="s">
        <v>66</v>
      </c>
      <c r="D527" t="s">
        <v>63</v>
      </c>
      <c r="E527" t="s">
        <v>46</v>
      </c>
      <c r="F527" t="s">
        <v>37</v>
      </c>
      <c r="G527" t="s">
        <v>224</v>
      </c>
      <c r="H527">
        <v>3</v>
      </c>
      <c r="I527" s="21">
        <v>28874</v>
      </c>
      <c r="J527">
        <v>10</v>
      </c>
      <c r="K527" s="21">
        <v>8662.2000000000007</v>
      </c>
      <c r="L527" s="21">
        <v>77959.8</v>
      </c>
      <c r="M527" s="21">
        <v>57584.19</v>
      </c>
      <c r="N527" s="21">
        <v>20375.61</v>
      </c>
      <c r="O527" t="s">
        <v>55</v>
      </c>
      <c r="P527" s="21">
        <v>490.46</v>
      </c>
      <c r="Q527" t="s">
        <v>68</v>
      </c>
      <c r="R527" t="s">
        <v>41</v>
      </c>
      <c r="S527">
        <v>2</v>
      </c>
      <c r="T527">
        <v>1</v>
      </c>
      <c r="U527" t="s">
        <v>32</v>
      </c>
      <c r="V527" t="s">
        <v>33</v>
      </c>
      <c r="W527">
        <v>1</v>
      </c>
    </row>
    <row r="528" spans="1:23" x14ac:dyDescent="0.25">
      <c r="A528" t="s">
        <v>956</v>
      </c>
      <c r="B528" s="1">
        <v>45844</v>
      </c>
      <c r="C528" t="s">
        <v>297</v>
      </c>
      <c r="D528" t="s">
        <v>79</v>
      </c>
      <c r="E528" t="s">
        <v>26</v>
      </c>
      <c r="F528" t="s">
        <v>37</v>
      </c>
      <c r="G528" t="s">
        <v>100</v>
      </c>
      <c r="H528">
        <v>2</v>
      </c>
      <c r="I528" s="21">
        <v>35634</v>
      </c>
      <c r="J528">
        <v>5</v>
      </c>
      <c r="K528" s="21">
        <v>3563.4</v>
      </c>
      <c r="L528" s="21">
        <v>67704.600000000006</v>
      </c>
      <c r="M528" s="21">
        <v>38915.64</v>
      </c>
      <c r="N528" s="21">
        <v>28788.959999999999</v>
      </c>
      <c r="O528" t="s">
        <v>29</v>
      </c>
      <c r="P528" s="21">
        <v>1484.59</v>
      </c>
      <c r="Q528" t="s">
        <v>68</v>
      </c>
      <c r="R528" t="s">
        <v>31</v>
      </c>
      <c r="S528">
        <v>5</v>
      </c>
      <c r="T528">
        <v>1</v>
      </c>
      <c r="U528" t="s">
        <v>32</v>
      </c>
      <c r="V528" t="s">
        <v>33</v>
      </c>
      <c r="W528">
        <v>3</v>
      </c>
    </row>
    <row r="529" spans="1:23" x14ac:dyDescent="0.25">
      <c r="A529" t="s">
        <v>957</v>
      </c>
      <c r="B529" s="1">
        <v>45878</v>
      </c>
      <c r="C529" t="s">
        <v>958</v>
      </c>
      <c r="D529" t="s">
        <v>67</v>
      </c>
      <c r="E529" t="s">
        <v>46</v>
      </c>
      <c r="F529" t="s">
        <v>47</v>
      </c>
      <c r="G529" t="s">
        <v>138</v>
      </c>
      <c r="H529">
        <v>2</v>
      </c>
      <c r="I529" s="21">
        <v>32235</v>
      </c>
      <c r="J529">
        <v>10</v>
      </c>
      <c r="K529" s="21">
        <v>6447</v>
      </c>
      <c r="L529" s="21">
        <v>58023</v>
      </c>
      <c r="M529" s="21">
        <v>35181.58</v>
      </c>
      <c r="N529" s="21">
        <v>22841.42</v>
      </c>
      <c r="O529" t="s">
        <v>55</v>
      </c>
      <c r="P529" s="21">
        <v>2372.08</v>
      </c>
      <c r="Q529" t="s">
        <v>30</v>
      </c>
      <c r="R529" t="s">
        <v>41</v>
      </c>
      <c r="S529">
        <v>2</v>
      </c>
      <c r="T529">
        <v>6</v>
      </c>
      <c r="U529" t="s">
        <v>32</v>
      </c>
      <c r="V529" t="s">
        <v>42</v>
      </c>
    </row>
    <row r="530" spans="1:23" x14ac:dyDescent="0.25">
      <c r="A530" t="s">
        <v>959</v>
      </c>
      <c r="B530" s="1">
        <v>45693</v>
      </c>
      <c r="C530" t="s">
        <v>215</v>
      </c>
      <c r="D530" t="s">
        <v>154</v>
      </c>
      <c r="E530" t="s">
        <v>36</v>
      </c>
      <c r="F530" t="s">
        <v>47</v>
      </c>
      <c r="G530" t="s">
        <v>64</v>
      </c>
      <c r="H530">
        <v>1</v>
      </c>
      <c r="I530" s="21">
        <v>47663</v>
      </c>
      <c r="J530">
        <v>5</v>
      </c>
      <c r="K530" s="21">
        <v>2383.15</v>
      </c>
      <c r="L530" s="21">
        <v>45279.85</v>
      </c>
      <c r="M530" s="21">
        <v>25743.07</v>
      </c>
      <c r="N530" s="21">
        <v>19536.78</v>
      </c>
      <c r="O530" t="s">
        <v>91</v>
      </c>
      <c r="P530" s="21">
        <v>906.44</v>
      </c>
      <c r="Q530" t="s">
        <v>40</v>
      </c>
      <c r="R530" t="s">
        <v>31</v>
      </c>
      <c r="S530">
        <v>5</v>
      </c>
      <c r="T530">
        <v>5</v>
      </c>
      <c r="U530" t="s">
        <v>32</v>
      </c>
      <c r="V530" t="s">
        <v>33</v>
      </c>
      <c r="W530">
        <v>5</v>
      </c>
    </row>
    <row r="531" spans="1:23" x14ac:dyDescent="0.25">
      <c r="A531" t="s">
        <v>960</v>
      </c>
      <c r="B531" s="1">
        <v>45998</v>
      </c>
      <c r="C531" t="s">
        <v>961</v>
      </c>
      <c r="D531" t="s">
        <v>79</v>
      </c>
      <c r="E531" t="s">
        <v>46</v>
      </c>
      <c r="F531" t="s">
        <v>53</v>
      </c>
      <c r="G531" t="s">
        <v>268</v>
      </c>
      <c r="H531">
        <v>1</v>
      </c>
      <c r="I531" s="21">
        <v>69404</v>
      </c>
      <c r="J531">
        <v>25</v>
      </c>
      <c r="K531" s="21">
        <v>17351</v>
      </c>
      <c r="L531" s="21">
        <v>52053</v>
      </c>
      <c r="M531" s="21">
        <v>34990.71</v>
      </c>
      <c r="N531" s="21">
        <v>17062.29</v>
      </c>
      <c r="O531" t="s">
        <v>49</v>
      </c>
      <c r="P531" s="21">
        <v>87.83</v>
      </c>
      <c r="Q531" t="s">
        <v>30</v>
      </c>
      <c r="R531" t="s">
        <v>31</v>
      </c>
      <c r="S531">
        <v>5</v>
      </c>
      <c r="T531">
        <v>3</v>
      </c>
      <c r="U531" t="s">
        <v>32</v>
      </c>
      <c r="V531" t="s">
        <v>33</v>
      </c>
      <c r="W531">
        <v>5</v>
      </c>
    </row>
    <row r="532" spans="1:23" x14ac:dyDescent="0.25">
      <c r="A532" t="s">
        <v>962</v>
      </c>
      <c r="B532" s="1">
        <v>45827</v>
      </c>
      <c r="C532" t="s">
        <v>963</v>
      </c>
      <c r="D532" t="s">
        <v>97</v>
      </c>
      <c r="E532" t="s">
        <v>26</v>
      </c>
      <c r="F532" t="s">
        <v>47</v>
      </c>
      <c r="G532" t="s">
        <v>146</v>
      </c>
      <c r="H532">
        <v>1</v>
      </c>
      <c r="I532" s="21">
        <v>31233</v>
      </c>
      <c r="J532">
        <v>15</v>
      </c>
      <c r="K532" s="21">
        <v>4684.95</v>
      </c>
      <c r="L532" s="21">
        <v>26548.05</v>
      </c>
      <c r="M532" s="21">
        <v>15991.52</v>
      </c>
      <c r="N532" s="21">
        <v>10556.53</v>
      </c>
      <c r="O532" t="s">
        <v>60</v>
      </c>
      <c r="P532" s="21">
        <v>1566.31</v>
      </c>
      <c r="Q532" t="s">
        <v>40</v>
      </c>
      <c r="R532" t="s">
        <v>41</v>
      </c>
      <c r="S532">
        <v>2</v>
      </c>
      <c r="T532">
        <v>3</v>
      </c>
      <c r="U532" t="s">
        <v>56</v>
      </c>
      <c r="V532" t="s">
        <v>33</v>
      </c>
      <c r="W532">
        <v>2</v>
      </c>
    </row>
    <row r="533" spans="1:23" x14ac:dyDescent="0.25">
      <c r="A533" t="s">
        <v>964</v>
      </c>
      <c r="B533" s="1">
        <v>45977</v>
      </c>
      <c r="C533" t="s">
        <v>506</v>
      </c>
      <c r="D533" t="s">
        <v>71</v>
      </c>
      <c r="E533" t="s">
        <v>26</v>
      </c>
      <c r="F533" t="s">
        <v>37</v>
      </c>
      <c r="G533" t="s">
        <v>100</v>
      </c>
      <c r="H533">
        <v>2</v>
      </c>
      <c r="I533" s="21">
        <v>6338</v>
      </c>
      <c r="J533">
        <v>10</v>
      </c>
      <c r="K533" s="21">
        <v>1267.5999999999999</v>
      </c>
      <c r="L533" s="21">
        <v>11408.4</v>
      </c>
      <c r="M533" s="21">
        <v>7010.09</v>
      </c>
      <c r="N533" s="21">
        <v>4398.3100000000004</v>
      </c>
      <c r="O533" t="s">
        <v>55</v>
      </c>
      <c r="P533" s="21">
        <v>720.87</v>
      </c>
      <c r="Q533" t="s">
        <v>40</v>
      </c>
      <c r="R533" t="s">
        <v>31</v>
      </c>
      <c r="S533">
        <v>5</v>
      </c>
      <c r="T533">
        <v>2</v>
      </c>
      <c r="U533" t="s">
        <v>32</v>
      </c>
      <c r="V533" t="s">
        <v>42</v>
      </c>
    </row>
    <row r="534" spans="1:23" x14ac:dyDescent="0.25">
      <c r="A534" t="s">
        <v>965</v>
      </c>
      <c r="B534" s="1">
        <v>45818</v>
      </c>
      <c r="C534" t="s">
        <v>484</v>
      </c>
      <c r="D534" t="s">
        <v>79</v>
      </c>
      <c r="E534" t="s">
        <v>26</v>
      </c>
      <c r="F534" t="s">
        <v>27</v>
      </c>
      <c r="G534" t="s">
        <v>113</v>
      </c>
      <c r="H534">
        <v>3</v>
      </c>
      <c r="I534" s="21">
        <v>9104</v>
      </c>
      <c r="J534">
        <v>10</v>
      </c>
      <c r="K534" s="21">
        <v>2731.2</v>
      </c>
      <c r="L534" s="21">
        <v>24580.799999999999</v>
      </c>
      <c r="M534" s="21">
        <v>17746.419999999998</v>
      </c>
      <c r="N534" s="21">
        <v>6834.38</v>
      </c>
      <c r="O534" t="s">
        <v>91</v>
      </c>
      <c r="P534" s="21">
        <v>416.76</v>
      </c>
      <c r="Q534" t="s">
        <v>40</v>
      </c>
      <c r="R534" t="s">
        <v>41</v>
      </c>
      <c r="S534">
        <v>2</v>
      </c>
      <c r="T534">
        <v>5</v>
      </c>
      <c r="U534" t="s">
        <v>32</v>
      </c>
      <c r="V534" t="s">
        <v>50</v>
      </c>
      <c r="W534">
        <v>1</v>
      </c>
    </row>
    <row r="535" spans="1:23" x14ac:dyDescent="0.25">
      <c r="A535" t="s">
        <v>966</v>
      </c>
      <c r="B535" s="1">
        <v>45997</v>
      </c>
      <c r="C535" t="s">
        <v>857</v>
      </c>
      <c r="D535" t="s">
        <v>124</v>
      </c>
      <c r="E535" t="s">
        <v>46</v>
      </c>
      <c r="F535" t="s">
        <v>37</v>
      </c>
      <c r="G535" t="s">
        <v>100</v>
      </c>
      <c r="H535">
        <v>1</v>
      </c>
      <c r="I535" s="21">
        <v>4834</v>
      </c>
      <c r="J535">
        <v>20</v>
      </c>
      <c r="K535" s="21">
        <v>966.8</v>
      </c>
      <c r="L535" s="21">
        <v>3867.2</v>
      </c>
      <c r="M535" s="21">
        <v>2573.77</v>
      </c>
      <c r="N535" s="21">
        <v>1293.43</v>
      </c>
      <c r="O535" t="s">
        <v>91</v>
      </c>
      <c r="P535" s="21">
        <v>2226.89</v>
      </c>
      <c r="Q535" t="s">
        <v>68</v>
      </c>
      <c r="R535" t="s">
        <v>31</v>
      </c>
      <c r="S535">
        <v>5</v>
      </c>
      <c r="T535">
        <v>2</v>
      </c>
      <c r="U535" t="s">
        <v>32</v>
      </c>
      <c r="V535" t="s">
        <v>33</v>
      </c>
      <c r="W535">
        <v>3</v>
      </c>
    </row>
    <row r="536" spans="1:23" x14ac:dyDescent="0.25">
      <c r="A536" t="s">
        <v>967</v>
      </c>
      <c r="B536" s="1">
        <v>45721</v>
      </c>
      <c r="C536" t="s">
        <v>929</v>
      </c>
      <c r="D536" t="s">
        <v>67</v>
      </c>
      <c r="E536" t="s">
        <v>46</v>
      </c>
      <c r="F536" t="s">
        <v>53</v>
      </c>
      <c r="G536" t="s">
        <v>82</v>
      </c>
      <c r="H536">
        <v>3</v>
      </c>
      <c r="I536" s="21">
        <v>70940</v>
      </c>
      <c r="J536">
        <v>5</v>
      </c>
      <c r="K536" s="21">
        <v>10641</v>
      </c>
      <c r="L536" s="21">
        <v>202179</v>
      </c>
      <c r="M536" s="21">
        <v>139872.01999999999</v>
      </c>
      <c r="N536" s="21">
        <v>62306.98</v>
      </c>
      <c r="O536" t="s">
        <v>29</v>
      </c>
      <c r="P536" s="21">
        <v>415.99</v>
      </c>
      <c r="Q536" t="s">
        <v>73</v>
      </c>
      <c r="R536" t="s">
        <v>31</v>
      </c>
      <c r="S536">
        <v>5</v>
      </c>
      <c r="T536">
        <v>3</v>
      </c>
      <c r="U536" t="s">
        <v>32</v>
      </c>
      <c r="V536" t="s">
        <v>33</v>
      </c>
      <c r="W536">
        <v>5</v>
      </c>
    </row>
    <row r="537" spans="1:23" x14ac:dyDescent="0.25">
      <c r="A537" t="s">
        <v>968</v>
      </c>
      <c r="B537" s="1">
        <v>45811</v>
      </c>
      <c r="C537" t="s">
        <v>969</v>
      </c>
      <c r="D537" t="s">
        <v>25</v>
      </c>
      <c r="E537" t="s">
        <v>46</v>
      </c>
      <c r="F537" t="s">
        <v>86</v>
      </c>
      <c r="G537" t="s">
        <v>127</v>
      </c>
      <c r="H537">
        <v>1</v>
      </c>
      <c r="I537" s="21">
        <v>7777</v>
      </c>
      <c r="J537">
        <v>10</v>
      </c>
      <c r="K537" s="21">
        <v>777.7</v>
      </c>
      <c r="L537" s="21">
        <v>6999.3</v>
      </c>
      <c r="M537" s="21">
        <v>5534.14</v>
      </c>
      <c r="N537" s="21">
        <v>1465.16</v>
      </c>
      <c r="O537" t="s">
        <v>29</v>
      </c>
      <c r="P537" s="21">
        <v>1777.3</v>
      </c>
      <c r="Q537" t="s">
        <v>83</v>
      </c>
      <c r="R537" t="s">
        <v>41</v>
      </c>
      <c r="S537">
        <v>2</v>
      </c>
      <c r="T537">
        <v>0</v>
      </c>
      <c r="U537" t="s">
        <v>32</v>
      </c>
      <c r="V537" t="s">
        <v>50</v>
      </c>
      <c r="W537">
        <v>3</v>
      </c>
    </row>
    <row r="538" spans="1:23" x14ac:dyDescent="0.25">
      <c r="A538" t="s">
        <v>970</v>
      </c>
      <c r="B538" s="1">
        <v>45917</v>
      </c>
      <c r="C538" t="s">
        <v>584</v>
      </c>
      <c r="D538" t="s">
        <v>154</v>
      </c>
      <c r="E538" t="s">
        <v>26</v>
      </c>
      <c r="F538" t="s">
        <v>47</v>
      </c>
      <c r="G538" t="s">
        <v>105</v>
      </c>
      <c r="H538">
        <v>1</v>
      </c>
      <c r="I538" s="21">
        <v>52600</v>
      </c>
      <c r="J538">
        <v>0</v>
      </c>
      <c r="K538" s="21">
        <v>0</v>
      </c>
      <c r="L538" s="21">
        <v>52600</v>
      </c>
      <c r="M538" s="21">
        <v>31682.95</v>
      </c>
      <c r="N538" s="21">
        <v>20917.05</v>
      </c>
      <c r="O538" t="s">
        <v>39</v>
      </c>
      <c r="P538" s="21">
        <v>2217.4299999999998</v>
      </c>
      <c r="Q538" t="s">
        <v>40</v>
      </c>
      <c r="R538" t="s">
        <v>31</v>
      </c>
      <c r="S538">
        <v>5</v>
      </c>
      <c r="T538">
        <v>3</v>
      </c>
      <c r="U538" t="s">
        <v>32</v>
      </c>
      <c r="V538" t="s">
        <v>33</v>
      </c>
      <c r="W538">
        <v>3</v>
      </c>
    </row>
    <row r="539" spans="1:23" x14ac:dyDescent="0.25">
      <c r="A539" t="s">
        <v>971</v>
      </c>
      <c r="B539" s="1">
        <v>45816</v>
      </c>
      <c r="C539" t="s">
        <v>176</v>
      </c>
      <c r="D539" t="s">
        <v>63</v>
      </c>
      <c r="E539" t="s">
        <v>46</v>
      </c>
      <c r="F539" t="s">
        <v>27</v>
      </c>
      <c r="G539" t="s">
        <v>28</v>
      </c>
      <c r="H539">
        <v>1</v>
      </c>
      <c r="I539" s="21">
        <v>13635</v>
      </c>
      <c r="J539">
        <v>0</v>
      </c>
      <c r="K539" s="21">
        <v>0</v>
      </c>
      <c r="L539" s="21">
        <v>13635</v>
      </c>
      <c r="M539" s="21">
        <v>9632.7099999999991</v>
      </c>
      <c r="N539" s="21">
        <v>4002.29</v>
      </c>
      <c r="O539" t="s">
        <v>49</v>
      </c>
      <c r="P539" s="21">
        <v>105.33</v>
      </c>
      <c r="Q539" t="s">
        <v>30</v>
      </c>
      <c r="R539" t="s">
        <v>41</v>
      </c>
      <c r="S539">
        <v>2</v>
      </c>
      <c r="T539">
        <v>6</v>
      </c>
      <c r="U539" t="s">
        <v>32</v>
      </c>
      <c r="V539" t="s">
        <v>50</v>
      </c>
      <c r="W539">
        <v>5</v>
      </c>
    </row>
    <row r="540" spans="1:23" x14ac:dyDescent="0.25">
      <c r="A540" t="s">
        <v>972</v>
      </c>
      <c r="B540" s="1">
        <v>45999</v>
      </c>
      <c r="C540" t="s">
        <v>973</v>
      </c>
      <c r="D540" t="s">
        <v>79</v>
      </c>
      <c r="E540" t="s">
        <v>26</v>
      </c>
      <c r="F540" t="s">
        <v>37</v>
      </c>
      <c r="G540" t="s">
        <v>313</v>
      </c>
      <c r="H540">
        <v>2</v>
      </c>
      <c r="I540" s="21">
        <v>22991</v>
      </c>
      <c r="J540">
        <v>25</v>
      </c>
      <c r="K540" s="21">
        <v>11495.5</v>
      </c>
      <c r="L540" s="21">
        <v>34486.5</v>
      </c>
      <c r="M540" s="21">
        <v>25153.3</v>
      </c>
      <c r="N540" s="21">
        <v>9333.2000000000007</v>
      </c>
      <c r="O540" t="s">
        <v>55</v>
      </c>
      <c r="P540" s="21">
        <v>348.62</v>
      </c>
      <c r="Q540" t="s">
        <v>73</v>
      </c>
      <c r="R540" t="s">
        <v>41</v>
      </c>
      <c r="S540">
        <v>2</v>
      </c>
      <c r="T540">
        <v>4</v>
      </c>
      <c r="U540" t="s">
        <v>56</v>
      </c>
      <c r="V540" t="s">
        <v>33</v>
      </c>
      <c r="W540">
        <v>3</v>
      </c>
    </row>
    <row r="541" spans="1:23" x14ac:dyDescent="0.25">
      <c r="A541" t="s">
        <v>974</v>
      </c>
      <c r="B541" s="1">
        <v>45867</v>
      </c>
      <c r="C541" t="s">
        <v>400</v>
      </c>
      <c r="D541" t="s">
        <v>124</v>
      </c>
      <c r="E541" t="s">
        <v>36</v>
      </c>
      <c r="F541" t="s">
        <v>53</v>
      </c>
      <c r="G541" t="s">
        <v>54</v>
      </c>
      <c r="H541">
        <v>1</v>
      </c>
      <c r="I541" s="21">
        <v>73011</v>
      </c>
      <c r="J541">
        <v>0</v>
      </c>
      <c r="K541" s="21">
        <v>0</v>
      </c>
      <c r="L541" s="21">
        <v>73011</v>
      </c>
      <c r="M541" s="21">
        <v>41139.769999999997</v>
      </c>
      <c r="N541" s="21">
        <v>31871.23</v>
      </c>
      <c r="O541" t="s">
        <v>39</v>
      </c>
      <c r="P541" s="21">
        <v>2006.11</v>
      </c>
      <c r="Q541" t="s">
        <v>40</v>
      </c>
      <c r="R541" t="s">
        <v>41</v>
      </c>
      <c r="S541">
        <v>2</v>
      </c>
      <c r="T541">
        <v>1</v>
      </c>
      <c r="U541" t="s">
        <v>32</v>
      </c>
      <c r="V541" t="s">
        <v>33</v>
      </c>
      <c r="W541">
        <v>3</v>
      </c>
    </row>
    <row r="542" spans="1:23" x14ac:dyDescent="0.25">
      <c r="A542" t="s">
        <v>975</v>
      </c>
      <c r="B542" s="1">
        <v>45825</v>
      </c>
      <c r="C542" t="s">
        <v>423</v>
      </c>
      <c r="D542" t="s">
        <v>63</v>
      </c>
      <c r="E542" t="s">
        <v>36</v>
      </c>
      <c r="F542" t="s">
        <v>37</v>
      </c>
      <c r="G542" t="s">
        <v>161</v>
      </c>
      <c r="H542">
        <v>1</v>
      </c>
      <c r="I542" s="21">
        <v>6106</v>
      </c>
      <c r="J542">
        <v>20</v>
      </c>
      <c r="K542" s="21">
        <v>1221.2</v>
      </c>
      <c r="L542" s="21">
        <v>4884.8</v>
      </c>
      <c r="M542" s="21">
        <v>3917.08</v>
      </c>
      <c r="N542" s="21">
        <v>967.72</v>
      </c>
      <c r="O542" t="s">
        <v>91</v>
      </c>
      <c r="P542" s="21">
        <v>1117.96</v>
      </c>
      <c r="Q542" t="s">
        <v>83</v>
      </c>
      <c r="R542" t="s">
        <v>41</v>
      </c>
      <c r="S542">
        <v>2</v>
      </c>
      <c r="T542">
        <v>3</v>
      </c>
      <c r="U542" t="s">
        <v>56</v>
      </c>
      <c r="V542" t="s">
        <v>33</v>
      </c>
      <c r="W542">
        <v>4</v>
      </c>
    </row>
    <row r="543" spans="1:23" x14ac:dyDescent="0.25">
      <c r="A543" t="s">
        <v>976</v>
      </c>
      <c r="B543" s="1">
        <v>45864</v>
      </c>
      <c r="C543" t="s">
        <v>977</v>
      </c>
      <c r="D543" t="s">
        <v>154</v>
      </c>
      <c r="E543" t="s">
        <v>46</v>
      </c>
      <c r="F543" t="s">
        <v>86</v>
      </c>
      <c r="G543" t="s">
        <v>94</v>
      </c>
      <c r="H543">
        <v>3</v>
      </c>
      <c r="I543" s="21">
        <v>24242</v>
      </c>
      <c r="J543">
        <v>10</v>
      </c>
      <c r="K543" s="21">
        <v>7272.6</v>
      </c>
      <c r="L543" s="21">
        <v>65453.4</v>
      </c>
      <c r="M543" s="21">
        <v>38397.35</v>
      </c>
      <c r="N543" s="21">
        <v>27056.05</v>
      </c>
      <c r="O543" t="s">
        <v>29</v>
      </c>
      <c r="P543" s="21">
        <v>901.49</v>
      </c>
      <c r="Q543" t="s">
        <v>73</v>
      </c>
      <c r="R543" t="s">
        <v>31</v>
      </c>
      <c r="S543">
        <v>5</v>
      </c>
      <c r="T543">
        <v>2</v>
      </c>
      <c r="U543" t="s">
        <v>32</v>
      </c>
      <c r="V543" t="s">
        <v>42</v>
      </c>
    </row>
    <row r="544" spans="1:23" x14ac:dyDescent="0.25">
      <c r="A544" t="s">
        <v>978</v>
      </c>
      <c r="B544" s="1">
        <v>46014</v>
      </c>
      <c r="C544" t="s">
        <v>979</v>
      </c>
      <c r="D544" t="s">
        <v>154</v>
      </c>
      <c r="E544" t="s">
        <v>26</v>
      </c>
      <c r="F544" t="s">
        <v>37</v>
      </c>
      <c r="G544" t="s">
        <v>100</v>
      </c>
      <c r="H544">
        <v>2</v>
      </c>
      <c r="I544" s="21">
        <v>24529</v>
      </c>
      <c r="J544">
        <v>25</v>
      </c>
      <c r="K544" s="21">
        <v>12264.5</v>
      </c>
      <c r="L544" s="21">
        <v>36793.5</v>
      </c>
      <c r="M544" s="21">
        <v>29523.75</v>
      </c>
      <c r="N544" s="21">
        <v>7269.75</v>
      </c>
      <c r="O544" t="s">
        <v>60</v>
      </c>
      <c r="P544" s="21">
        <v>1183.6400000000001</v>
      </c>
      <c r="Q544" t="s">
        <v>30</v>
      </c>
      <c r="R544" t="s">
        <v>41</v>
      </c>
      <c r="S544">
        <v>2</v>
      </c>
      <c r="T544">
        <v>3</v>
      </c>
      <c r="U544" t="s">
        <v>32</v>
      </c>
      <c r="V544" t="s">
        <v>50</v>
      </c>
      <c r="W544">
        <v>3</v>
      </c>
    </row>
    <row r="545" spans="1:23" x14ac:dyDescent="0.25">
      <c r="A545" t="s">
        <v>980</v>
      </c>
      <c r="B545" s="1">
        <v>45809</v>
      </c>
      <c r="C545" t="s">
        <v>675</v>
      </c>
      <c r="D545" t="s">
        <v>97</v>
      </c>
      <c r="E545" t="s">
        <v>36</v>
      </c>
      <c r="F545" t="s">
        <v>27</v>
      </c>
      <c r="G545" t="s">
        <v>113</v>
      </c>
      <c r="H545">
        <v>1</v>
      </c>
      <c r="I545" s="21">
        <v>29276</v>
      </c>
      <c r="J545">
        <v>25</v>
      </c>
      <c r="K545" s="21">
        <v>7319</v>
      </c>
      <c r="L545" s="21">
        <v>21957</v>
      </c>
      <c r="M545" s="21">
        <v>14288.3</v>
      </c>
      <c r="N545" s="21">
        <v>7668.7</v>
      </c>
      <c r="O545" t="s">
        <v>55</v>
      </c>
      <c r="P545" s="21">
        <v>1937.27</v>
      </c>
      <c r="Q545" t="s">
        <v>30</v>
      </c>
      <c r="R545" t="s">
        <v>41</v>
      </c>
      <c r="S545">
        <v>2</v>
      </c>
      <c r="T545">
        <v>0</v>
      </c>
      <c r="U545" t="s">
        <v>32</v>
      </c>
      <c r="V545" t="s">
        <v>42</v>
      </c>
    </row>
    <row r="546" spans="1:23" x14ac:dyDescent="0.25">
      <c r="A546" t="s">
        <v>981</v>
      </c>
      <c r="B546" s="1">
        <v>45941</v>
      </c>
      <c r="C546" t="s">
        <v>404</v>
      </c>
      <c r="D546" t="s">
        <v>67</v>
      </c>
      <c r="E546" t="s">
        <v>26</v>
      </c>
      <c r="F546" t="s">
        <v>47</v>
      </c>
      <c r="G546" t="s">
        <v>105</v>
      </c>
      <c r="H546">
        <v>1</v>
      </c>
      <c r="I546" s="21">
        <v>24706</v>
      </c>
      <c r="J546">
        <v>10</v>
      </c>
      <c r="K546" s="21">
        <v>2470.6</v>
      </c>
      <c r="L546" s="21">
        <v>22235.4</v>
      </c>
      <c r="M546" s="21">
        <v>15624.14</v>
      </c>
      <c r="N546" s="21">
        <v>6611.26</v>
      </c>
      <c r="O546" t="s">
        <v>29</v>
      </c>
      <c r="P546" s="21">
        <v>479.32</v>
      </c>
      <c r="Q546" t="s">
        <v>40</v>
      </c>
      <c r="R546" t="s">
        <v>41</v>
      </c>
      <c r="S546">
        <v>2</v>
      </c>
      <c r="T546">
        <v>6</v>
      </c>
      <c r="U546" t="s">
        <v>32</v>
      </c>
      <c r="V546" t="s">
        <v>50</v>
      </c>
      <c r="W546">
        <v>1</v>
      </c>
    </row>
    <row r="547" spans="1:23" x14ac:dyDescent="0.25">
      <c r="A547" t="s">
        <v>982</v>
      </c>
      <c r="B547" s="1">
        <v>45723</v>
      </c>
      <c r="C547" t="s">
        <v>983</v>
      </c>
      <c r="D547" t="s">
        <v>97</v>
      </c>
      <c r="E547" t="s">
        <v>26</v>
      </c>
      <c r="F547" t="s">
        <v>37</v>
      </c>
      <c r="G547" t="s">
        <v>224</v>
      </c>
      <c r="H547">
        <v>3</v>
      </c>
      <c r="I547" s="21">
        <v>24374</v>
      </c>
      <c r="J547">
        <v>0</v>
      </c>
      <c r="K547" s="21">
        <v>0</v>
      </c>
      <c r="L547" s="21">
        <v>73122</v>
      </c>
      <c r="M547" s="21">
        <v>56122.35</v>
      </c>
      <c r="N547" s="21">
        <v>16999.650000000001</v>
      </c>
      <c r="O547" t="s">
        <v>91</v>
      </c>
      <c r="P547" s="21">
        <v>354.43</v>
      </c>
      <c r="Q547" t="s">
        <v>68</v>
      </c>
      <c r="R547" t="s">
        <v>31</v>
      </c>
      <c r="S547">
        <v>5</v>
      </c>
      <c r="T547">
        <v>0</v>
      </c>
      <c r="U547" t="s">
        <v>32</v>
      </c>
      <c r="V547" t="s">
        <v>42</v>
      </c>
    </row>
    <row r="548" spans="1:23" x14ac:dyDescent="0.25">
      <c r="A548" t="s">
        <v>984</v>
      </c>
      <c r="B548" s="1">
        <v>45756</v>
      </c>
      <c r="C548" t="s">
        <v>565</v>
      </c>
      <c r="D548" t="s">
        <v>79</v>
      </c>
      <c r="E548" t="s">
        <v>46</v>
      </c>
      <c r="F548" t="s">
        <v>37</v>
      </c>
      <c r="G548" t="s">
        <v>224</v>
      </c>
      <c r="H548">
        <v>1</v>
      </c>
      <c r="I548" s="21">
        <v>7647</v>
      </c>
      <c r="J548">
        <v>0</v>
      </c>
      <c r="K548" s="21">
        <v>0</v>
      </c>
      <c r="L548" s="21">
        <v>7647</v>
      </c>
      <c r="M548" s="21">
        <v>4825.1000000000004</v>
      </c>
      <c r="N548" s="21">
        <v>2821.9</v>
      </c>
      <c r="O548" t="s">
        <v>91</v>
      </c>
      <c r="P548" s="21">
        <v>740.33</v>
      </c>
      <c r="Q548" t="s">
        <v>40</v>
      </c>
      <c r="R548" t="s">
        <v>31</v>
      </c>
      <c r="S548">
        <v>5</v>
      </c>
      <c r="T548">
        <v>6</v>
      </c>
      <c r="U548" t="s">
        <v>56</v>
      </c>
      <c r="V548" t="s">
        <v>33</v>
      </c>
      <c r="W548">
        <v>5</v>
      </c>
    </row>
    <row r="549" spans="1:23" x14ac:dyDescent="0.25">
      <c r="A549" t="s">
        <v>985</v>
      </c>
      <c r="B549" s="1">
        <v>45873</v>
      </c>
      <c r="C549" t="s">
        <v>421</v>
      </c>
      <c r="D549" t="s">
        <v>45</v>
      </c>
      <c r="E549" t="s">
        <v>46</v>
      </c>
      <c r="F549" t="s">
        <v>86</v>
      </c>
      <c r="G549" t="s">
        <v>110</v>
      </c>
      <c r="H549">
        <v>2</v>
      </c>
      <c r="I549" s="21">
        <v>37546</v>
      </c>
      <c r="J549">
        <v>25</v>
      </c>
      <c r="K549" s="21">
        <v>18773</v>
      </c>
      <c r="L549" s="21">
        <v>56319</v>
      </c>
      <c r="M549" s="21">
        <v>34022.01</v>
      </c>
      <c r="N549" s="21">
        <v>22296.99</v>
      </c>
      <c r="O549" t="s">
        <v>55</v>
      </c>
      <c r="P549" s="21">
        <v>1735.33</v>
      </c>
      <c r="Q549" t="s">
        <v>40</v>
      </c>
      <c r="R549" t="s">
        <v>41</v>
      </c>
      <c r="S549">
        <v>2</v>
      </c>
      <c r="T549">
        <v>1</v>
      </c>
      <c r="U549" t="s">
        <v>32</v>
      </c>
      <c r="V549" t="s">
        <v>33</v>
      </c>
      <c r="W549">
        <v>3</v>
      </c>
    </row>
    <row r="550" spans="1:23" x14ac:dyDescent="0.25">
      <c r="A550" t="s">
        <v>986</v>
      </c>
      <c r="B550" s="1">
        <v>45998</v>
      </c>
      <c r="C550" t="s">
        <v>99</v>
      </c>
      <c r="D550" t="s">
        <v>71</v>
      </c>
      <c r="E550" t="s">
        <v>26</v>
      </c>
      <c r="F550" t="s">
        <v>27</v>
      </c>
      <c r="G550" t="s">
        <v>72</v>
      </c>
      <c r="H550">
        <v>1</v>
      </c>
      <c r="I550" s="21">
        <v>4416</v>
      </c>
      <c r="J550">
        <v>20</v>
      </c>
      <c r="K550" s="21">
        <v>883.2</v>
      </c>
      <c r="L550" s="21">
        <v>3532.8</v>
      </c>
      <c r="M550" s="21">
        <v>2057.62</v>
      </c>
      <c r="N550" s="21">
        <v>1475.18</v>
      </c>
      <c r="O550" t="s">
        <v>60</v>
      </c>
      <c r="P550" s="21">
        <v>896.35</v>
      </c>
      <c r="Q550" t="s">
        <v>40</v>
      </c>
      <c r="R550" t="s">
        <v>31</v>
      </c>
      <c r="S550">
        <v>5</v>
      </c>
      <c r="T550">
        <v>5</v>
      </c>
      <c r="U550" t="s">
        <v>32</v>
      </c>
      <c r="V550" t="s">
        <v>33</v>
      </c>
      <c r="W550">
        <v>5</v>
      </c>
    </row>
    <row r="551" spans="1:23" x14ac:dyDescent="0.25">
      <c r="A551" t="s">
        <v>987</v>
      </c>
      <c r="B551" s="1">
        <v>45852</v>
      </c>
      <c r="C551" t="s">
        <v>440</v>
      </c>
      <c r="D551" t="s">
        <v>154</v>
      </c>
      <c r="E551" t="s">
        <v>36</v>
      </c>
      <c r="F551" t="s">
        <v>27</v>
      </c>
      <c r="G551" t="s">
        <v>164</v>
      </c>
      <c r="H551">
        <v>1</v>
      </c>
      <c r="I551" s="21">
        <v>19904</v>
      </c>
      <c r="J551">
        <v>5</v>
      </c>
      <c r="K551" s="21">
        <v>995.2</v>
      </c>
      <c r="L551" s="21">
        <v>18908.8</v>
      </c>
      <c r="M551" s="21">
        <v>12180.77</v>
      </c>
      <c r="N551" s="21">
        <v>6728.03</v>
      </c>
      <c r="O551" t="s">
        <v>60</v>
      </c>
      <c r="P551" s="21">
        <v>601.34</v>
      </c>
      <c r="Q551" t="s">
        <v>68</v>
      </c>
      <c r="R551" t="s">
        <v>41</v>
      </c>
      <c r="S551">
        <v>2</v>
      </c>
      <c r="T551">
        <v>4</v>
      </c>
      <c r="U551" t="s">
        <v>32</v>
      </c>
      <c r="V551" t="s">
        <v>50</v>
      </c>
      <c r="W551">
        <v>1</v>
      </c>
    </row>
    <row r="552" spans="1:23" x14ac:dyDescent="0.25">
      <c r="A552" t="s">
        <v>988</v>
      </c>
      <c r="B552" s="1">
        <v>46004</v>
      </c>
      <c r="C552" t="s">
        <v>580</v>
      </c>
      <c r="D552" t="s">
        <v>67</v>
      </c>
      <c r="E552" t="s">
        <v>36</v>
      </c>
      <c r="F552" t="s">
        <v>86</v>
      </c>
      <c r="G552" t="s">
        <v>110</v>
      </c>
      <c r="H552">
        <v>1</v>
      </c>
      <c r="I552" s="21">
        <v>45705</v>
      </c>
      <c r="J552">
        <v>20</v>
      </c>
      <c r="K552" s="21">
        <v>9141</v>
      </c>
      <c r="L552" s="21">
        <v>36564</v>
      </c>
      <c r="M552" s="21">
        <v>23827.34</v>
      </c>
      <c r="N552" s="21">
        <v>12736.66</v>
      </c>
      <c r="O552" t="s">
        <v>49</v>
      </c>
      <c r="P552" s="21">
        <v>368.83</v>
      </c>
      <c r="Q552" t="s">
        <v>40</v>
      </c>
      <c r="R552" t="s">
        <v>31</v>
      </c>
      <c r="S552">
        <v>5</v>
      </c>
      <c r="T552">
        <v>5</v>
      </c>
      <c r="U552" t="s">
        <v>32</v>
      </c>
      <c r="V552" t="s">
        <v>33</v>
      </c>
      <c r="W552">
        <v>5</v>
      </c>
    </row>
    <row r="553" spans="1:23" x14ac:dyDescent="0.25">
      <c r="A553" t="s">
        <v>989</v>
      </c>
      <c r="B553" s="1">
        <v>45747</v>
      </c>
      <c r="C553" t="s">
        <v>990</v>
      </c>
      <c r="D553" t="s">
        <v>25</v>
      </c>
      <c r="E553" t="s">
        <v>36</v>
      </c>
      <c r="F553" t="s">
        <v>37</v>
      </c>
      <c r="G553" t="s">
        <v>313</v>
      </c>
      <c r="H553">
        <v>1</v>
      </c>
      <c r="I553" s="21">
        <v>5934</v>
      </c>
      <c r="J553">
        <v>0</v>
      </c>
      <c r="K553" s="21">
        <v>0</v>
      </c>
      <c r="L553" s="21">
        <v>5934</v>
      </c>
      <c r="M553" s="21">
        <v>3634.93</v>
      </c>
      <c r="N553" s="21">
        <v>2299.0700000000002</v>
      </c>
      <c r="O553" t="s">
        <v>29</v>
      </c>
      <c r="P553" s="21">
        <v>1295.75</v>
      </c>
      <c r="Q553" t="s">
        <v>68</v>
      </c>
      <c r="R553" t="s">
        <v>31</v>
      </c>
      <c r="S553">
        <v>5</v>
      </c>
      <c r="T553">
        <v>3</v>
      </c>
      <c r="U553" t="s">
        <v>32</v>
      </c>
      <c r="V553" t="s">
        <v>50</v>
      </c>
      <c r="W553">
        <v>5</v>
      </c>
    </row>
    <row r="554" spans="1:23" x14ac:dyDescent="0.25">
      <c r="A554" t="s">
        <v>991</v>
      </c>
      <c r="B554" s="1">
        <v>45973</v>
      </c>
      <c r="C554" t="s">
        <v>714</v>
      </c>
      <c r="D554" t="s">
        <v>71</v>
      </c>
      <c r="E554" t="s">
        <v>36</v>
      </c>
      <c r="F554" t="s">
        <v>47</v>
      </c>
      <c r="G554" t="s">
        <v>138</v>
      </c>
      <c r="H554">
        <v>1</v>
      </c>
      <c r="I554" s="21">
        <v>14502</v>
      </c>
      <c r="J554">
        <v>20</v>
      </c>
      <c r="K554" s="21">
        <v>2900.4</v>
      </c>
      <c r="L554" s="21">
        <v>11601.6</v>
      </c>
      <c r="M554" s="21">
        <v>8772.0300000000007</v>
      </c>
      <c r="N554" s="21">
        <v>2829.57</v>
      </c>
      <c r="O554" t="s">
        <v>60</v>
      </c>
      <c r="P554" s="21">
        <v>938.67</v>
      </c>
      <c r="Q554" t="s">
        <v>30</v>
      </c>
      <c r="R554" t="s">
        <v>31</v>
      </c>
      <c r="S554">
        <v>5</v>
      </c>
      <c r="T554">
        <v>1</v>
      </c>
      <c r="U554" t="s">
        <v>32</v>
      </c>
      <c r="V554" t="s">
        <v>42</v>
      </c>
    </row>
    <row r="555" spans="1:23" x14ac:dyDescent="0.25">
      <c r="A555" t="s">
        <v>992</v>
      </c>
      <c r="B555" s="1">
        <v>45949</v>
      </c>
      <c r="C555" t="s">
        <v>993</v>
      </c>
      <c r="D555" t="s">
        <v>97</v>
      </c>
      <c r="E555" t="s">
        <v>46</v>
      </c>
      <c r="F555" t="s">
        <v>27</v>
      </c>
      <c r="G555" t="s">
        <v>76</v>
      </c>
      <c r="H555">
        <v>1</v>
      </c>
      <c r="I555" s="21">
        <v>10092</v>
      </c>
      <c r="J555">
        <v>15</v>
      </c>
      <c r="K555" s="21">
        <v>1513.8</v>
      </c>
      <c r="L555" s="21">
        <v>8578.2000000000007</v>
      </c>
      <c r="M555" s="21">
        <v>6602.95</v>
      </c>
      <c r="N555" s="21">
        <v>1975.25</v>
      </c>
      <c r="O555" t="s">
        <v>91</v>
      </c>
      <c r="P555" s="21">
        <v>255.76</v>
      </c>
      <c r="Q555" t="s">
        <v>83</v>
      </c>
      <c r="R555" t="s">
        <v>31</v>
      </c>
      <c r="S555">
        <v>5</v>
      </c>
      <c r="T555">
        <v>5</v>
      </c>
      <c r="U555" t="s">
        <v>32</v>
      </c>
      <c r="V555" t="s">
        <v>33</v>
      </c>
      <c r="W555">
        <v>5</v>
      </c>
    </row>
    <row r="556" spans="1:23" x14ac:dyDescent="0.25">
      <c r="A556" t="s">
        <v>994</v>
      </c>
      <c r="B556" s="1">
        <v>45812</v>
      </c>
      <c r="C556" t="s">
        <v>329</v>
      </c>
      <c r="D556" t="s">
        <v>90</v>
      </c>
      <c r="E556" t="s">
        <v>26</v>
      </c>
      <c r="F556" t="s">
        <v>47</v>
      </c>
      <c r="G556" t="s">
        <v>138</v>
      </c>
      <c r="H556">
        <v>2</v>
      </c>
      <c r="I556" s="21">
        <v>29328</v>
      </c>
      <c r="J556">
        <v>20</v>
      </c>
      <c r="K556" s="21">
        <v>11731.2</v>
      </c>
      <c r="L556" s="21">
        <v>46924.800000000003</v>
      </c>
      <c r="M556" s="21">
        <v>28217.62</v>
      </c>
      <c r="N556" s="21">
        <v>18707.18</v>
      </c>
      <c r="O556" t="s">
        <v>39</v>
      </c>
      <c r="P556" s="21">
        <v>1009.84</v>
      </c>
      <c r="Q556" t="s">
        <v>40</v>
      </c>
      <c r="R556" t="s">
        <v>41</v>
      </c>
      <c r="S556">
        <v>2</v>
      </c>
      <c r="T556">
        <v>2</v>
      </c>
      <c r="U556" t="s">
        <v>32</v>
      </c>
      <c r="V556" t="s">
        <v>33</v>
      </c>
      <c r="W556">
        <v>5</v>
      </c>
    </row>
    <row r="557" spans="1:23" x14ac:dyDescent="0.25">
      <c r="A557" t="s">
        <v>995</v>
      </c>
      <c r="B557" s="1">
        <v>45865</v>
      </c>
      <c r="C557" t="s">
        <v>172</v>
      </c>
      <c r="D557" t="s">
        <v>67</v>
      </c>
      <c r="E557" t="s">
        <v>26</v>
      </c>
      <c r="F557" t="s">
        <v>37</v>
      </c>
      <c r="G557" t="s">
        <v>161</v>
      </c>
      <c r="H557">
        <v>3</v>
      </c>
      <c r="I557" s="21">
        <v>37898</v>
      </c>
      <c r="J557">
        <v>10</v>
      </c>
      <c r="K557" s="21">
        <v>11369.4</v>
      </c>
      <c r="L557" s="21">
        <v>102324.6</v>
      </c>
      <c r="M557" s="21">
        <v>59066.52</v>
      </c>
      <c r="N557" s="21">
        <v>43258.080000000002</v>
      </c>
      <c r="O557" t="s">
        <v>60</v>
      </c>
      <c r="P557" s="21">
        <v>1583.43</v>
      </c>
      <c r="Q557" t="s">
        <v>73</v>
      </c>
      <c r="R557" t="s">
        <v>31</v>
      </c>
      <c r="S557">
        <v>5</v>
      </c>
      <c r="T557">
        <v>4</v>
      </c>
      <c r="U557" t="s">
        <v>32</v>
      </c>
      <c r="V557" t="s">
        <v>33</v>
      </c>
      <c r="W557">
        <v>1</v>
      </c>
    </row>
    <row r="558" spans="1:23" x14ac:dyDescent="0.25">
      <c r="A558" t="s">
        <v>996</v>
      </c>
      <c r="B558" s="1">
        <v>45938</v>
      </c>
      <c r="C558" t="s">
        <v>174</v>
      </c>
      <c r="D558" t="s">
        <v>63</v>
      </c>
      <c r="E558" t="s">
        <v>26</v>
      </c>
      <c r="F558" t="s">
        <v>53</v>
      </c>
      <c r="G558" t="s">
        <v>268</v>
      </c>
      <c r="H558">
        <v>1</v>
      </c>
      <c r="I558" s="21">
        <v>29691</v>
      </c>
      <c r="J558">
        <v>25</v>
      </c>
      <c r="K558" s="21">
        <v>7422.75</v>
      </c>
      <c r="L558" s="21">
        <v>22268.25</v>
      </c>
      <c r="M558" s="21">
        <v>17849.97</v>
      </c>
      <c r="N558" s="21">
        <v>4418.28</v>
      </c>
      <c r="O558" t="s">
        <v>60</v>
      </c>
      <c r="P558" s="21">
        <v>1622.88</v>
      </c>
      <c r="Q558" t="s">
        <v>40</v>
      </c>
      <c r="R558" t="s">
        <v>41</v>
      </c>
      <c r="S558">
        <v>2</v>
      </c>
      <c r="T558">
        <v>3</v>
      </c>
      <c r="U558" t="s">
        <v>32</v>
      </c>
      <c r="V558" t="s">
        <v>42</v>
      </c>
    </row>
    <row r="559" spans="1:23" x14ac:dyDescent="0.25">
      <c r="A559" t="s">
        <v>997</v>
      </c>
      <c r="B559" s="1">
        <v>45658</v>
      </c>
      <c r="C559" t="s">
        <v>419</v>
      </c>
      <c r="D559" t="s">
        <v>63</v>
      </c>
      <c r="E559" t="s">
        <v>46</v>
      </c>
      <c r="F559" t="s">
        <v>53</v>
      </c>
      <c r="G559" t="s">
        <v>82</v>
      </c>
      <c r="H559">
        <v>1</v>
      </c>
      <c r="I559" s="21">
        <v>43194</v>
      </c>
      <c r="J559">
        <v>0</v>
      </c>
      <c r="K559" s="21">
        <v>0</v>
      </c>
      <c r="L559" s="21">
        <v>43194</v>
      </c>
      <c r="M559" s="21">
        <v>26138.55</v>
      </c>
      <c r="N559" s="21">
        <v>17055.45</v>
      </c>
      <c r="O559" t="s">
        <v>49</v>
      </c>
      <c r="P559" s="21">
        <v>460.54</v>
      </c>
      <c r="Q559" t="s">
        <v>83</v>
      </c>
      <c r="R559" t="s">
        <v>41</v>
      </c>
      <c r="S559">
        <v>2</v>
      </c>
      <c r="T559">
        <v>6</v>
      </c>
      <c r="U559" t="s">
        <v>32</v>
      </c>
      <c r="V559" t="s">
        <v>50</v>
      </c>
      <c r="W559">
        <v>5</v>
      </c>
    </row>
    <row r="560" spans="1:23" x14ac:dyDescent="0.25">
      <c r="A560" t="s">
        <v>998</v>
      </c>
      <c r="B560" s="1">
        <v>45813</v>
      </c>
      <c r="C560" t="s">
        <v>386</v>
      </c>
      <c r="D560" t="s">
        <v>45</v>
      </c>
      <c r="E560" t="s">
        <v>26</v>
      </c>
      <c r="F560" t="s">
        <v>47</v>
      </c>
      <c r="G560" t="s">
        <v>105</v>
      </c>
      <c r="H560">
        <v>2</v>
      </c>
      <c r="I560" s="21">
        <v>29665</v>
      </c>
      <c r="J560">
        <v>25</v>
      </c>
      <c r="K560" s="21">
        <v>14832.5</v>
      </c>
      <c r="L560" s="21">
        <v>44497.5</v>
      </c>
      <c r="M560" s="21">
        <v>30225.74</v>
      </c>
      <c r="N560" s="21">
        <v>14271.76</v>
      </c>
      <c r="O560" t="s">
        <v>29</v>
      </c>
      <c r="P560" s="21">
        <v>296</v>
      </c>
      <c r="Q560" t="s">
        <v>83</v>
      </c>
      <c r="R560" t="s">
        <v>41</v>
      </c>
      <c r="S560">
        <v>2</v>
      </c>
      <c r="T560">
        <v>2</v>
      </c>
      <c r="U560" t="s">
        <v>32</v>
      </c>
      <c r="V560" t="s">
        <v>33</v>
      </c>
      <c r="W560">
        <v>5</v>
      </c>
    </row>
    <row r="561" spans="1:23" x14ac:dyDescent="0.25">
      <c r="A561" t="s">
        <v>999</v>
      </c>
      <c r="B561" s="1">
        <v>45804</v>
      </c>
      <c r="C561" t="s">
        <v>115</v>
      </c>
      <c r="D561" t="s">
        <v>25</v>
      </c>
      <c r="E561" t="s">
        <v>26</v>
      </c>
      <c r="F561" t="s">
        <v>27</v>
      </c>
      <c r="G561" t="s">
        <v>28</v>
      </c>
      <c r="H561">
        <v>2</v>
      </c>
      <c r="I561" s="21">
        <v>4363</v>
      </c>
      <c r="J561">
        <v>25</v>
      </c>
      <c r="K561" s="21">
        <v>2181.5</v>
      </c>
      <c r="L561" s="21">
        <v>6544.5</v>
      </c>
      <c r="M561" s="21">
        <v>4674.07</v>
      </c>
      <c r="N561" s="21">
        <v>1870.43</v>
      </c>
      <c r="O561" t="s">
        <v>60</v>
      </c>
      <c r="P561" s="21">
        <v>1309</v>
      </c>
      <c r="Q561" t="s">
        <v>30</v>
      </c>
      <c r="R561" t="s">
        <v>31</v>
      </c>
      <c r="S561">
        <v>5</v>
      </c>
      <c r="T561">
        <v>4</v>
      </c>
      <c r="U561" t="s">
        <v>32</v>
      </c>
      <c r="V561" t="s">
        <v>33</v>
      </c>
      <c r="W561">
        <v>5</v>
      </c>
    </row>
    <row r="562" spans="1:23" x14ac:dyDescent="0.25">
      <c r="A562" t="s">
        <v>1000</v>
      </c>
      <c r="B562" s="1">
        <v>45765</v>
      </c>
      <c r="C562" t="s">
        <v>1001</v>
      </c>
      <c r="D562" t="s">
        <v>71</v>
      </c>
      <c r="E562" t="s">
        <v>46</v>
      </c>
      <c r="F562" t="s">
        <v>27</v>
      </c>
      <c r="G562" t="s">
        <v>76</v>
      </c>
      <c r="H562">
        <v>1</v>
      </c>
      <c r="I562" s="21">
        <v>9845</v>
      </c>
      <c r="J562">
        <v>15</v>
      </c>
      <c r="K562" s="21">
        <v>1476.75</v>
      </c>
      <c r="L562" s="21">
        <v>8368.25</v>
      </c>
      <c r="M562" s="21">
        <v>6676.85</v>
      </c>
      <c r="N562" s="21">
        <v>1691.4</v>
      </c>
      <c r="O562" t="s">
        <v>29</v>
      </c>
      <c r="P562" s="21">
        <v>1553.82</v>
      </c>
      <c r="Q562" t="s">
        <v>68</v>
      </c>
      <c r="R562" t="s">
        <v>31</v>
      </c>
      <c r="S562">
        <v>5</v>
      </c>
      <c r="T562">
        <v>5</v>
      </c>
      <c r="U562" t="s">
        <v>32</v>
      </c>
      <c r="V562" t="s">
        <v>33</v>
      </c>
    </row>
    <row r="563" spans="1:23" x14ac:dyDescent="0.25">
      <c r="A563" t="s">
        <v>1002</v>
      </c>
      <c r="B563" s="1">
        <v>45878</v>
      </c>
      <c r="C563" t="s">
        <v>1003</v>
      </c>
      <c r="D563" t="s">
        <v>90</v>
      </c>
      <c r="E563" t="s">
        <v>36</v>
      </c>
      <c r="F563" t="s">
        <v>27</v>
      </c>
      <c r="G563" t="s">
        <v>28</v>
      </c>
      <c r="H563">
        <v>1</v>
      </c>
      <c r="I563" s="21">
        <v>7652</v>
      </c>
      <c r="J563">
        <v>0</v>
      </c>
      <c r="K563" s="21">
        <v>0</v>
      </c>
      <c r="L563" s="21">
        <v>7652</v>
      </c>
      <c r="M563" s="21">
        <v>4792.45</v>
      </c>
      <c r="N563" s="21">
        <v>2859.55</v>
      </c>
      <c r="O563" t="s">
        <v>55</v>
      </c>
      <c r="P563" s="21">
        <v>1706.98</v>
      </c>
      <c r="Q563" t="s">
        <v>68</v>
      </c>
      <c r="R563" t="s">
        <v>41</v>
      </c>
      <c r="S563">
        <v>2</v>
      </c>
      <c r="T563">
        <v>6</v>
      </c>
      <c r="U563" t="s">
        <v>56</v>
      </c>
      <c r="V563" t="s">
        <v>33</v>
      </c>
      <c r="W563">
        <v>5</v>
      </c>
    </row>
    <row r="564" spans="1:23" x14ac:dyDescent="0.25">
      <c r="A564" t="s">
        <v>1004</v>
      </c>
      <c r="B564" s="1">
        <v>45954</v>
      </c>
      <c r="C564" t="s">
        <v>1005</v>
      </c>
      <c r="D564" t="s">
        <v>67</v>
      </c>
      <c r="E564" t="s">
        <v>46</v>
      </c>
      <c r="F564" t="s">
        <v>86</v>
      </c>
      <c r="G564" t="s">
        <v>87</v>
      </c>
      <c r="H564">
        <v>1</v>
      </c>
      <c r="I564" s="21">
        <v>32982</v>
      </c>
      <c r="J564">
        <v>5</v>
      </c>
      <c r="K564" s="21">
        <v>1649.1</v>
      </c>
      <c r="L564" s="21">
        <v>31332.9</v>
      </c>
      <c r="M564" s="21">
        <v>20985.41</v>
      </c>
      <c r="N564" s="21">
        <v>10347.49</v>
      </c>
      <c r="O564" t="s">
        <v>49</v>
      </c>
      <c r="P564" s="21">
        <v>298.13</v>
      </c>
      <c r="Q564" t="s">
        <v>68</v>
      </c>
      <c r="R564" t="s">
        <v>41</v>
      </c>
      <c r="S564">
        <v>2</v>
      </c>
      <c r="T564">
        <v>3</v>
      </c>
      <c r="U564" t="s">
        <v>56</v>
      </c>
      <c r="V564" t="s">
        <v>33</v>
      </c>
      <c r="W564">
        <v>5</v>
      </c>
    </row>
    <row r="565" spans="1:23" x14ac:dyDescent="0.25">
      <c r="A565" t="s">
        <v>1006</v>
      </c>
      <c r="B565" s="1">
        <v>45968</v>
      </c>
      <c r="C565" t="s">
        <v>1007</v>
      </c>
      <c r="D565" t="s">
        <v>97</v>
      </c>
      <c r="E565" t="s">
        <v>46</v>
      </c>
      <c r="F565" t="s">
        <v>37</v>
      </c>
      <c r="G565" t="s">
        <v>313</v>
      </c>
      <c r="H565">
        <v>1</v>
      </c>
      <c r="I565" s="21">
        <v>9141</v>
      </c>
      <c r="J565">
        <v>5</v>
      </c>
      <c r="K565" s="21">
        <v>457.05</v>
      </c>
      <c r="L565" s="21">
        <v>8683.9500000000007</v>
      </c>
      <c r="M565" s="21">
        <v>6914.62</v>
      </c>
      <c r="N565" s="21">
        <v>1769.33</v>
      </c>
      <c r="O565" t="s">
        <v>29</v>
      </c>
      <c r="P565" s="21">
        <v>1906.39</v>
      </c>
      <c r="Q565" t="s">
        <v>68</v>
      </c>
      <c r="R565" t="s">
        <v>31</v>
      </c>
      <c r="S565">
        <v>5</v>
      </c>
      <c r="T565">
        <v>2</v>
      </c>
      <c r="U565" t="s">
        <v>32</v>
      </c>
      <c r="V565" t="s">
        <v>42</v>
      </c>
    </row>
    <row r="566" spans="1:23" x14ac:dyDescent="0.25">
      <c r="A566" t="s">
        <v>1008</v>
      </c>
      <c r="B566" s="1">
        <v>45993</v>
      </c>
      <c r="C566" t="s">
        <v>1009</v>
      </c>
      <c r="D566" t="s">
        <v>90</v>
      </c>
      <c r="E566" t="s">
        <v>26</v>
      </c>
      <c r="F566" t="s">
        <v>53</v>
      </c>
      <c r="G566" t="s">
        <v>59</v>
      </c>
      <c r="H566">
        <v>2</v>
      </c>
      <c r="I566" s="21">
        <v>68475</v>
      </c>
      <c r="J566">
        <v>10</v>
      </c>
      <c r="K566" s="21">
        <v>13695</v>
      </c>
      <c r="L566" s="21">
        <v>123255</v>
      </c>
      <c r="M566" s="21">
        <v>77040.679999999993</v>
      </c>
      <c r="N566" s="21">
        <v>46214.32</v>
      </c>
      <c r="O566" t="s">
        <v>91</v>
      </c>
      <c r="P566" s="21">
        <v>2419.7199999999998</v>
      </c>
      <c r="Q566" t="s">
        <v>83</v>
      </c>
      <c r="R566" t="s">
        <v>41</v>
      </c>
      <c r="S566">
        <v>2</v>
      </c>
      <c r="T566">
        <v>4</v>
      </c>
      <c r="U566" t="s">
        <v>56</v>
      </c>
      <c r="V566" t="s">
        <v>33</v>
      </c>
      <c r="W566">
        <v>5</v>
      </c>
    </row>
    <row r="567" spans="1:23" x14ac:dyDescent="0.25">
      <c r="A567" t="s">
        <v>1010</v>
      </c>
      <c r="B567" s="1">
        <v>45822</v>
      </c>
      <c r="C567" t="s">
        <v>249</v>
      </c>
      <c r="D567" t="s">
        <v>67</v>
      </c>
      <c r="E567" t="s">
        <v>36</v>
      </c>
      <c r="F567" t="s">
        <v>86</v>
      </c>
      <c r="G567" t="s">
        <v>110</v>
      </c>
      <c r="H567">
        <v>1</v>
      </c>
      <c r="I567" s="21">
        <v>32965</v>
      </c>
      <c r="J567">
        <v>15</v>
      </c>
      <c r="K567" s="21">
        <v>4944.75</v>
      </c>
      <c r="L567" s="21">
        <v>28020.25</v>
      </c>
      <c r="M567" s="21">
        <v>19439.689999999999</v>
      </c>
      <c r="N567" s="21">
        <v>8580.56</v>
      </c>
      <c r="O567" t="s">
        <v>55</v>
      </c>
      <c r="P567" s="21">
        <v>1954.89</v>
      </c>
      <c r="Q567" t="s">
        <v>83</v>
      </c>
      <c r="R567" t="s">
        <v>41</v>
      </c>
      <c r="S567">
        <v>2</v>
      </c>
      <c r="T567">
        <v>0</v>
      </c>
      <c r="U567" t="s">
        <v>32</v>
      </c>
      <c r="V567" t="s">
        <v>50</v>
      </c>
      <c r="W567">
        <v>5</v>
      </c>
    </row>
    <row r="568" spans="1:23" x14ac:dyDescent="0.25">
      <c r="A568" t="s">
        <v>1011</v>
      </c>
      <c r="B568" s="1">
        <v>45896</v>
      </c>
      <c r="C568" t="s">
        <v>1012</v>
      </c>
      <c r="D568" t="s">
        <v>45</v>
      </c>
      <c r="E568" t="s">
        <v>26</v>
      </c>
      <c r="F568" t="s">
        <v>37</v>
      </c>
      <c r="G568" t="s">
        <v>313</v>
      </c>
      <c r="H568">
        <v>1</v>
      </c>
      <c r="I568" s="21">
        <v>7743</v>
      </c>
      <c r="J568">
        <v>0</v>
      </c>
      <c r="K568" s="21">
        <v>0</v>
      </c>
      <c r="L568" s="21">
        <v>7743</v>
      </c>
      <c r="M568" s="21">
        <v>5415.37</v>
      </c>
      <c r="N568" s="21">
        <v>2327.63</v>
      </c>
      <c r="O568" t="s">
        <v>91</v>
      </c>
      <c r="P568" s="21">
        <v>1266.06</v>
      </c>
      <c r="Q568" t="s">
        <v>40</v>
      </c>
      <c r="R568" t="s">
        <v>41</v>
      </c>
      <c r="S568">
        <v>2</v>
      </c>
      <c r="T568">
        <v>6</v>
      </c>
      <c r="U568" t="s">
        <v>32</v>
      </c>
      <c r="V568" t="s">
        <v>50</v>
      </c>
      <c r="W568">
        <v>5</v>
      </c>
    </row>
    <row r="569" spans="1:23" x14ac:dyDescent="0.25">
      <c r="A569" t="s">
        <v>1013</v>
      </c>
      <c r="B569" s="1">
        <v>45884</v>
      </c>
      <c r="C569" t="s">
        <v>438</v>
      </c>
      <c r="D569" t="s">
        <v>154</v>
      </c>
      <c r="E569" t="s">
        <v>26</v>
      </c>
      <c r="F569" t="s">
        <v>37</v>
      </c>
      <c r="G569" t="s">
        <v>38</v>
      </c>
      <c r="H569">
        <v>4</v>
      </c>
      <c r="I569" s="21">
        <v>21982</v>
      </c>
      <c r="J569">
        <v>0</v>
      </c>
      <c r="K569" s="21">
        <v>0</v>
      </c>
      <c r="L569" s="21">
        <v>87928</v>
      </c>
      <c r="M569" s="21">
        <v>72072.62</v>
      </c>
      <c r="N569" s="21">
        <v>15855.38</v>
      </c>
      <c r="O569" t="s">
        <v>60</v>
      </c>
      <c r="P569" s="21">
        <v>1513.49</v>
      </c>
      <c r="Q569" t="s">
        <v>83</v>
      </c>
      <c r="R569" t="s">
        <v>41</v>
      </c>
      <c r="S569">
        <v>2</v>
      </c>
      <c r="T569">
        <v>2</v>
      </c>
      <c r="U569" t="s">
        <v>32</v>
      </c>
      <c r="V569" t="s">
        <v>42</v>
      </c>
    </row>
    <row r="570" spans="1:23" x14ac:dyDescent="0.25">
      <c r="A570" t="s">
        <v>1014</v>
      </c>
      <c r="B570" s="1">
        <v>45884</v>
      </c>
      <c r="C570" t="s">
        <v>434</v>
      </c>
      <c r="D570" t="s">
        <v>63</v>
      </c>
      <c r="E570" t="s">
        <v>46</v>
      </c>
      <c r="F570" t="s">
        <v>37</v>
      </c>
      <c r="G570" t="s">
        <v>313</v>
      </c>
      <c r="H570">
        <v>2</v>
      </c>
      <c r="I570" s="21">
        <v>24112</v>
      </c>
      <c r="J570">
        <v>10</v>
      </c>
      <c r="K570" s="21">
        <v>4822.3999999999996</v>
      </c>
      <c r="L570" s="21">
        <v>43401.599999999999</v>
      </c>
      <c r="M570" s="21">
        <v>33667.49</v>
      </c>
      <c r="N570" s="21">
        <v>9734.11</v>
      </c>
      <c r="O570" t="s">
        <v>49</v>
      </c>
      <c r="P570" s="21">
        <v>57.77</v>
      </c>
      <c r="Q570" t="s">
        <v>83</v>
      </c>
      <c r="R570" t="s">
        <v>41</v>
      </c>
      <c r="S570">
        <v>2</v>
      </c>
      <c r="T570">
        <v>1</v>
      </c>
      <c r="U570" t="s">
        <v>32</v>
      </c>
      <c r="V570" t="s">
        <v>33</v>
      </c>
      <c r="W570">
        <v>4</v>
      </c>
    </row>
    <row r="571" spans="1:23" x14ac:dyDescent="0.25">
      <c r="A571" t="s">
        <v>1015</v>
      </c>
      <c r="B571" s="1">
        <v>46003</v>
      </c>
      <c r="C571" t="s">
        <v>578</v>
      </c>
      <c r="D571" t="s">
        <v>67</v>
      </c>
      <c r="E571" t="s">
        <v>36</v>
      </c>
      <c r="F571" t="s">
        <v>27</v>
      </c>
      <c r="G571" t="s">
        <v>164</v>
      </c>
      <c r="H571">
        <v>1</v>
      </c>
      <c r="I571" s="21">
        <v>12558</v>
      </c>
      <c r="J571">
        <v>0</v>
      </c>
      <c r="K571" s="21">
        <v>0</v>
      </c>
      <c r="L571" s="21">
        <v>12558</v>
      </c>
      <c r="M571" s="21">
        <v>8400.2800000000007</v>
      </c>
      <c r="N571" s="21">
        <v>4157.72</v>
      </c>
      <c r="O571" t="s">
        <v>49</v>
      </c>
      <c r="P571" s="21">
        <v>441.07</v>
      </c>
      <c r="Q571" t="s">
        <v>68</v>
      </c>
      <c r="R571" t="s">
        <v>41</v>
      </c>
      <c r="S571">
        <v>2</v>
      </c>
      <c r="T571">
        <v>1</v>
      </c>
      <c r="U571" t="s">
        <v>32</v>
      </c>
      <c r="V571" t="s">
        <v>33</v>
      </c>
      <c r="W571">
        <v>3</v>
      </c>
    </row>
    <row r="572" spans="1:23" x14ac:dyDescent="0.25">
      <c r="A572" t="s">
        <v>1016</v>
      </c>
      <c r="B572" s="1">
        <v>45767</v>
      </c>
      <c r="C572" t="s">
        <v>1017</v>
      </c>
      <c r="D572" t="s">
        <v>45</v>
      </c>
      <c r="E572" t="s">
        <v>46</v>
      </c>
      <c r="F572" t="s">
        <v>47</v>
      </c>
      <c r="G572" t="s">
        <v>146</v>
      </c>
      <c r="H572">
        <v>1</v>
      </c>
      <c r="I572" s="21">
        <v>19075</v>
      </c>
      <c r="J572">
        <v>0</v>
      </c>
      <c r="K572" s="21">
        <v>0</v>
      </c>
      <c r="L572" s="21">
        <v>19075</v>
      </c>
      <c r="M572" s="21">
        <v>13341.44</v>
      </c>
      <c r="N572" s="21">
        <v>5733.56</v>
      </c>
      <c r="O572" t="s">
        <v>49</v>
      </c>
      <c r="P572" s="21">
        <v>496.39</v>
      </c>
      <c r="Q572" t="s">
        <v>73</v>
      </c>
      <c r="R572" t="s">
        <v>31</v>
      </c>
      <c r="S572">
        <v>5</v>
      </c>
      <c r="T572">
        <v>5</v>
      </c>
      <c r="U572" t="s">
        <v>32</v>
      </c>
      <c r="V572" t="s">
        <v>33</v>
      </c>
      <c r="W572">
        <v>5</v>
      </c>
    </row>
    <row r="573" spans="1:23" x14ac:dyDescent="0.25">
      <c r="A573" t="s">
        <v>1018</v>
      </c>
      <c r="B573" s="1">
        <v>45919</v>
      </c>
      <c r="C573" t="s">
        <v>1019</v>
      </c>
      <c r="D573" t="s">
        <v>90</v>
      </c>
      <c r="E573" t="s">
        <v>46</v>
      </c>
      <c r="F573" t="s">
        <v>53</v>
      </c>
      <c r="G573" t="s">
        <v>59</v>
      </c>
      <c r="H573">
        <v>1</v>
      </c>
      <c r="I573" s="21">
        <v>75445</v>
      </c>
      <c r="J573">
        <v>5</v>
      </c>
      <c r="K573" s="21">
        <v>3772.25</v>
      </c>
      <c r="L573" s="21">
        <v>71672.75</v>
      </c>
      <c r="M573" s="21">
        <v>43368.56</v>
      </c>
      <c r="N573" s="21">
        <v>28304.19</v>
      </c>
      <c r="O573" t="s">
        <v>29</v>
      </c>
      <c r="P573" s="21">
        <v>2092.19</v>
      </c>
      <c r="Q573" t="s">
        <v>30</v>
      </c>
      <c r="R573" t="s">
        <v>41</v>
      </c>
      <c r="S573">
        <v>2</v>
      </c>
      <c r="T573">
        <v>6</v>
      </c>
      <c r="U573" t="s">
        <v>32</v>
      </c>
      <c r="V573" t="s">
        <v>42</v>
      </c>
    </row>
    <row r="574" spans="1:23" x14ac:dyDescent="0.25">
      <c r="A574" t="s">
        <v>1020</v>
      </c>
      <c r="B574" s="1">
        <v>45900</v>
      </c>
      <c r="C574" t="s">
        <v>466</v>
      </c>
      <c r="D574" t="s">
        <v>154</v>
      </c>
      <c r="E574" t="s">
        <v>46</v>
      </c>
      <c r="F574" t="s">
        <v>53</v>
      </c>
      <c r="G574" t="s">
        <v>54</v>
      </c>
      <c r="H574">
        <v>2</v>
      </c>
      <c r="I574" s="21">
        <v>52907</v>
      </c>
      <c r="J574">
        <v>0</v>
      </c>
      <c r="K574" s="21">
        <v>0</v>
      </c>
      <c r="L574" s="21">
        <v>105814</v>
      </c>
      <c r="M574" s="21">
        <v>62777.8</v>
      </c>
      <c r="N574" s="21">
        <v>43036.2</v>
      </c>
      <c r="O574" t="s">
        <v>55</v>
      </c>
      <c r="P574" s="21">
        <v>2297.31</v>
      </c>
      <c r="Q574" t="s">
        <v>83</v>
      </c>
      <c r="R574" t="s">
        <v>41</v>
      </c>
      <c r="S574">
        <v>2</v>
      </c>
      <c r="T574">
        <v>2</v>
      </c>
      <c r="U574" t="s">
        <v>32</v>
      </c>
      <c r="V574" t="s">
        <v>33</v>
      </c>
      <c r="W574">
        <v>2</v>
      </c>
    </row>
    <row r="575" spans="1:23" x14ac:dyDescent="0.25">
      <c r="A575" t="s">
        <v>1021</v>
      </c>
      <c r="B575" s="1">
        <v>45744</v>
      </c>
      <c r="C575" t="s">
        <v>490</v>
      </c>
      <c r="D575" t="s">
        <v>25</v>
      </c>
      <c r="E575" t="s">
        <v>26</v>
      </c>
      <c r="F575" t="s">
        <v>53</v>
      </c>
      <c r="G575" t="s">
        <v>82</v>
      </c>
      <c r="H575">
        <v>2</v>
      </c>
      <c r="I575" s="21">
        <v>111690</v>
      </c>
      <c r="J575">
        <v>0</v>
      </c>
      <c r="K575" s="21">
        <v>0</v>
      </c>
      <c r="L575" s="21">
        <v>223380</v>
      </c>
      <c r="M575" s="21">
        <v>162487.96</v>
      </c>
      <c r="N575" s="21">
        <v>60892.04</v>
      </c>
      <c r="O575" t="s">
        <v>29</v>
      </c>
      <c r="P575" s="21">
        <v>2494.9899999999998</v>
      </c>
      <c r="Q575" t="s">
        <v>83</v>
      </c>
      <c r="R575" t="s">
        <v>41</v>
      </c>
      <c r="S575">
        <v>2</v>
      </c>
      <c r="T575">
        <v>1</v>
      </c>
      <c r="U575" t="s">
        <v>32</v>
      </c>
      <c r="V575" t="s">
        <v>33</v>
      </c>
      <c r="W575">
        <v>5</v>
      </c>
    </row>
    <row r="576" spans="1:23" x14ac:dyDescent="0.25">
      <c r="A576" t="s">
        <v>1022</v>
      </c>
      <c r="B576" s="1">
        <v>45995</v>
      </c>
      <c r="C576" t="s">
        <v>1023</v>
      </c>
      <c r="D576" t="s">
        <v>97</v>
      </c>
      <c r="E576" t="s">
        <v>26</v>
      </c>
      <c r="F576" t="s">
        <v>53</v>
      </c>
      <c r="G576" t="s">
        <v>268</v>
      </c>
      <c r="H576">
        <v>2</v>
      </c>
      <c r="I576" s="21">
        <v>79643</v>
      </c>
      <c r="J576">
        <v>20</v>
      </c>
      <c r="K576" s="21">
        <v>31857.200000000001</v>
      </c>
      <c r="L576" s="21">
        <v>127428.8</v>
      </c>
      <c r="M576" s="21">
        <v>92766.05</v>
      </c>
      <c r="N576" s="21">
        <v>34662.75</v>
      </c>
      <c r="O576" t="s">
        <v>29</v>
      </c>
      <c r="P576" s="21">
        <v>819.12</v>
      </c>
      <c r="Q576" t="s">
        <v>40</v>
      </c>
      <c r="R576" t="s">
        <v>41</v>
      </c>
      <c r="S576">
        <v>2</v>
      </c>
      <c r="T576">
        <v>2</v>
      </c>
      <c r="U576" t="s">
        <v>32</v>
      </c>
      <c r="V576" t="s">
        <v>42</v>
      </c>
    </row>
    <row r="577" spans="1:23" x14ac:dyDescent="0.25">
      <c r="A577" t="s">
        <v>1024</v>
      </c>
      <c r="B577" s="1">
        <v>45701</v>
      </c>
      <c r="C577" t="s">
        <v>762</v>
      </c>
      <c r="D577" t="s">
        <v>124</v>
      </c>
      <c r="E577" t="s">
        <v>46</v>
      </c>
      <c r="F577" t="s">
        <v>86</v>
      </c>
      <c r="G577" t="s">
        <v>87</v>
      </c>
      <c r="H577">
        <v>1</v>
      </c>
      <c r="I577" s="21">
        <v>37594</v>
      </c>
      <c r="J577">
        <v>10</v>
      </c>
      <c r="K577" s="21">
        <v>3759.4</v>
      </c>
      <c r="L577" s="21">
        <v>33834.6</v>
      </c>
      <c r="M577" s="21">
        <v>19337.03</v>
      </c>
      <c r="N577" s="21">
        <v>14497.57</v>
      </c>
      <c r="O577" t="s">
        <v>39</v>
      </c>
      <c r="P577" s="21">
        <v>1702.66</v>
      </c>
      <c r="Q577" t="s">
        <v>40</v>
      </c>
      <c r="R577" t="s">
        <v>31</v>
      </c>
      <c r="S577">
        <v>5</v>
      </c>
      <c r="T577">
        <v>2</v>
      </c>
      <c r="U577" t="s">
        <v>32</v>
      </c>
      <c r="V577" t="s">
        <v>42</v>
      </c>
    </row>
    <row r="578" spans="1:23" x14ac:dyDescent="0.25">
      <c r="A578" t="s">
        <v>1025</v>
      </c>
      <c r="B578" s="1">
        <v>45803</v>
      </c>
      <c r="C578" t="s">
        <v>1026</v>
      </c>
      <c r="D578" t="s">
        <v>124</v>
      </c>
      <c r="E578" t="s">
        <v>36</v>
      </c>
      <c r="F578" t="s">
        <v>47</v>
      </c>
      <c r="G578" t="s">
        <v>105</v>
      </c>
      <c r="H578">
        <v>4</v>
      </c>
      <c r="I578" s="21">
        <v>23052</v>
      </c>
      <c r="J578">
        <v>10</v>
      </c>
      <c r="K578" s="21">
        <v>9220.7999999999993</v>
      </c>
      <c r="L578" s="21">
        <v>82987.199999999997</v>
      </c>
      <c r="M578" s="21">
        <v>63475.34</v>
      </c>
      <c r="N578" s="21">
        <v>19511.86</v>
      </c>
      <c r="O578" t="s">
        <v>29</v>
      </c>
      <c r="P578" s="21">
        <v>387.46</v>
      </c>
      <c r="Q578" t="s">
        <v>30</v>
      </c>
      <c r="R578" t="s">
        <v>41</v>
      </c>
      <c r="S578">
        <v>2</v>
      </c>
      <c r="T578">
        <v>2</v>
      </c>
      <c r="U578" t="s">
        <v>32</v>
      </c>
      <c r="V578" t="s">
        <v>33</v>
      </c>
      <c r="W578">
        <v>1</v>
      </c>
    </row>
    <row r="579" spans="1:23" x14ac:dyDescent="0.25">
      <c r="A579" t="s">
        <v>1027</v>
      </c>
      <c r="B579" s="1">
        <v>45921</v>
      </c>
      <c r="C579" t="s">
        <v>1028</v>
      </c>
      <c r="D579" t="s">
        <v>67</v>
      </c>
      <c r="E579" t="s">
        <v>36</v>
      </c>
      <c r="F579" t="s">
        <v>37</v>
      </c>
      <c r="G579" t="s">
        <v>161</v>
      </c>
      <c r="H579">
        <v>1</v>
      </c>
      <c r="I579" s="21">
        <v>11916</v>
      </c>
      <c r="J579">
        <v>15</v>
      </c>
      <c r="K579" s="21">
        <v>1787.4</v>
      </c>
      <c r="L579" s="21">
        <v>10128.6</v>
      </c>
      <c r="M579" s="21">
        <v>6290.99</v>
      </c>
      <c r="N579" s="21">
        <v>3837.61</v>
      </c>
      <c r="O579" t="s">
        <v>49</v>
      </c>
      <c r="P579" s="21">
        <v>95.45</v>
      </c>
      <c r="Q579" t="s">
        <v>83</v>
      </c>
      <c r="R579" t="s">
        <v>41</v>
      </c>
      <c r="S579">
        <v>2</v>
      </c>
      <c r="T579">
        <v>5</v>
      </c>
      <c r="U579" t="s">
        <v>32</v>
      </c>
      <c r="V579" t="s">
        <v>42</v>
      </c>
    </row>
    <row r="580" spans="1:23" x14ac:dyDescent="0.25">
      <c r="A580" t="s">
        <v>1029</v>
      </c>
      <c r="B580" s="1">
        <v>45997</v>
      </c>
      <c r="C580" t="s">
        <v>1030</v>
      </c>
      <c r="D580" t="s">
        <v>79</v>
      </c>
      <c r="E580" t="s">
        <v>26</v>
      </c>
      <c r="F580" t="s">
        <v>27</v>
      </c>
      <c r="G580" t="s">
        <v>164</v>
      </c>
      <c r="H580">
        <v>1</v>
      </c>
      <c r="I580" s="21">
        <v>7676</v>
      </c>
      <c r="J580">
        <v>25</v>
      </c>
      <c r="K580" s="21">
        <v>1919</v>
      </c>
      <c r="L580" s="21">
        <v>5757</v>
      </c>
      <c r="M580" s="21">
        <v>3541.63</v>
      </c>
      <c r="N580" s="21">
        <v>2215.37</v>
      </c>
      <c r="O580" t="s">
        <v>91</v>
      </c>
      <c r="P580" s="21">
        <v>2264.08</v>
      </c>
      <c r="Q580" t="s">
        <v>73</v>
      </c>
      <c r="R580" t="s">
        <v>31</v>
      </c>
      <c r="S580">
        <v>5</v>
      </c>
      <c r="T580">
        <v>2</v>
      </c>
      <c r="U580" t="s">
        <v>32</v>
      </c>
      <c r="V580" t="s">
        <v>33</v>
      </c>
      <c r="W580">
        <v>3</v>
      </c>
    </row>
    <row r="581" spans="1:23" x14ac:dyDescent="0.25">
      <c r="A581" t="s">
        <v>1031</v>
      </c>
      <c r="B581" s="1">
        <v>45982</v>
      </c>
      <c r="C581" t="s">
        <v>327</v>
      </c>
      <c r="D581" t="s">
        <v>90</v>
      </c>
      <c r="E581" t="s">
        <v>26</v>
      </c>
      <c r="F581" t="s">
        <v>37</v>
      </c>
      <c r="G581" t="s">
        <v>38</v>
      </c>
      <c r="H581">
        <v>1</v>
      </c>
      <c r="I581" s="21">
        <v>32553</v>
      </c>
      <c r="J581">
        <v>10</v>
      </c>
      <c r="K581" s="21">
        <v>3255.3</v>
      </c>
      <c r="L581" s="21">
        <v>29297.7</v>
      </c>
      <c r="M581" s="21">
        <v>22107.11</v>
      </c>
      <c r="N581" s="21">
        <v>7190.59</v>
      </c>
      <c r="O581" t="s">
        <v>55</v>
      </c>
      <c r="P581" s="21">
        <v>1864.53</v>
      </c>
      <c r="Q581" t="s">
        <v>40</v>
      </c>
      <c r="R581" t="s">
        <v>31</v>
      </c>
      <c r="S581">
        <v>5</v>
      </c>
      <c r="T581">
        <v>5</v>
      </c>
      <c r="U581" t="s">
        <v>32</v>
      </c>
      <c r="V581" t="s">
        <v>50</v>
      </c>
      <c r="W581">
        <v>2</v>
      </c>
    </row>
    <row r="582" spans="1:23" x14ac:dyDescent="0.25">
      <c r="A582" t="s">
        <v>1032</v>
      </c>
      <c r="B582" s="1">
        <v>45975</v>
      </c>
      <c r="C582" t="s">
        <v>1033</v>
      </c>
      <c r="D582" t="s">
        <v>90</v>
      </c>
      <c r="E582" t="s">
        <v>26</v>
      </c>
      <c r="F582" t="s">
        <v>37</v>
      </c>
      <c r="G582" t="s">
        <v>224</v>
      </c>
      <c r="H582">
        <v>2</v>
      </c>
      <c r="I582" s="21">
        <v>15581</v>
      </c>
      <c r="J582">
        <v>25</v>
      </c>
      <c r="K582" s="21">
        <v>7790.5</v>
      </c>
      <c r="L582" s="21">
        <v>23371.5</v>
      </c>
      <c r="M582" s="21">
        <v>17413.73</v>
      </c>
      <c r="N582" s="21">
        <v>5957.77</v>
      </c>
      <c r="O582" t="s">
        <v>29</v>
      </c>
      <c r="P582" s="21">
        <v>883.9</v>
      </c>
      <c r="Q582" t="s">
        <v>73</v>
      </c>
      <c r="R582" t="s">
        <v>31</v>
      </c>
      <c r="S582">
        <v>5</v>
      </c>
      <c r="T582">
        <v>5</v>
      </c>
      <c r="U582" t="s">
        <v>32</v>
      </c>
      <c r="V582" t="s">
        <v>33</v>
      </c>
      <c r="W582">
        <v>2</v>
      </c>
    </row>
    <row r="583" spans="1:23" x14ac:dyDescent="0.25">
      <c r="A583" t="s">
        <v>1034</v>
      </c>
      <c r="B583" s="1">
        <v>45829</v>
      </c>
      <c r="C583" t="s">
        <v>104</v>
      </c>
      <c r="D583" t="s">
        <v>97</v>
      </c>
      <c r="E583" t="s">
        <v>26</v>
      </c>
      <c r="F583" t="s">
        <v>53</v>
      </c>
      <c r="G583" t="s">
        <v>82</v>
      </c>
      <c r="H583">
        <v>3</v>
      </c>
      <c r="I583" s="21">
        <v>46389</v>
      </c>
      <c r="J583">
        <v>0</v>
      </c>
      <c r="K583" s="21">
        <v>0</v>
      </c>
      <c r="L583" s="21">
        <v>139167</v>
      </c>
      <c r="M583" s="21">
        <v>78117.539999999994</v>
      </c>
      <c r="N583" s="21">
        <v>61049.46</v>
      </c>
      <c r="O583" t="s">
        <v>29</v>
      </c>
      <c r="P583" s="21">
        <v>839.99</v>
      </c>
      <c r="Q583" t="s">
        <v>40</v>
      </c>
      <c r="R583" t="s">
        <v>31</v>
      </c>
      <c r="S583">
        <v>5</v>
      </c>
      <c r="T583">
        <v>3</v>
      </c>
      <c r="U583" t="s">
        <v>32</v>
      </c>
      <c r="V583" t="s">
        <v>50</v>
      </c>
      <c r="W583">
        <v>5</v>
      </c>
    </row>
    <row r="584" spans="1:23" x14ac:dyDescent="0.25">
      <c r="A584" t="s">
        <v>1035</v>
      </c>
      <c r="B584" s="1">
        <v>45705</v>
      </c>
      <c r="C584" t="s">
        <v>107</v>
      </c>
      <c r="D584" t="s">
        <v>63</v>
      </c>
      <c r="E584" t="s">
        <v>46</v>
      </c>
      <c r="F584" t="s">
        <v>86</v>
      </c>
      <c r="G584" t="s">
        <v>180</v>
      </c>
      <c r="H584">
        <v>1</v>
      </c>
      <c r="I584" s="21">
        <v>28193</v>
      </c>
      <c r="J584">
        <v>0</v>
      </c>
      <c r="K584" s="21">
        <v>0</v>
      </c>
      <c r="L584" s="21">
        <v>28193</v>
      </c>
      <c r="M584" s="21">
        <v>22543.67</v>
      </c>
      <c r="N584" s="21">
        <v>5649.33</v>
      </c>
      <c r="O584" t="s">
        <v>91</v>
      </c>
      <c r="P584" s="21">
        <v>675.74</v>
      </c>
      <c r="Q584" t="s">
        <v>40</v>
      </c>
      <c r="R584" t="s">
        <v>41</v>
      </c>
      <c r="S584">
        <v>2</v>
      </c>
      <c r="T584">
        <v>1</v>
      </c>
      <c r="U584" t="s">
        <v>32</v>
      </c>
      <c r="V584" t="s">
        <v>50</v>
      </c>
      <c r="W584">
        <v>1</v>
      </c>
    </row>
    <row r="585" spans="1:23" x14ac:dyDescent="0.25">
      <c r="A585" t="s">
        <v>1036</v>
      </c>
      <c r="B585" s="1">
        <v>45778</v>
      </c>
      <c r="C585" t="s">
        <v>1037</v>
      </c>
      <c r="D585" t="s">
        <v>97</v>
      </c>
      <c r="E585" t="s">
        <v>26</v>
      </c>
      <c r="F585" t="s">
        <v>47</v>
      </c>
      <c r="G585" t="s">
        <v>138</v>
      </c>
      <c r="H585">
        <v>1</v>
      </c>
      <c r="I585" s="21">
        <v>8689</v>
      </c>
      <c r="J585">
        <v>15</v>
      </c>
      <c r="K585" s="21">
        <v>1303.3499999999999</v>
      </c>
      <c r="L585" s="21">
        <v>7385.65</v>
      </c>
      <c r="M585" s="21">
        <v>5521.99</v>
      </c>
      <c r="N585" s="21">
        <v>1863.66</v>
      </c>
      <c r="O585" t="s">
        <v>29</v>
      </c>
      <c r="P585" s="21">
        <v>1243.8499999999999</v>
      </c>
      <c r="Q585" t="s">
        <v>83</v>
      </c>
      <c r="R585" t="s">
        <v>31</v>
      </c>
      <c r="S585">
        <v>5</v>
      </c>
      <c r="T585">
        <v>6</v>
      </c>
      <c r="U585" t="s">
        <v>32</v>
      </c>
      <c r="V585" t="s">
        <v>42</v>
      </c>
    </row>
    <row r="586" spans="1:23" x14ac:dyDescent="0.25">
      <c r="A586" t="s">
        <v>1038</v>
      </c>
      <c r="B586" s="1">
        <v>46002</v>
      </c>
      <c r="C586" t="s">
        <v>1039</v>
      </c>
      <c r="D586" t="s">
        <v>67</v>
      </c>
      <c r="E586" t="s">
        <v>46</v>
      </c>
      <c r="F586" t="s">
        <v>53</v>
      </c>
      <c r="G586" t="s">
        <v>54</v>
      </c>
      <c r="H586">
        <v>1</v>
      </c>
      <c r="I586" s="21">
        <v>45497</v>
      </c>
      <c r="J586">
        <v>5</v>
      </c>
      <c r="K586" s="21">
        <v>2274.85</v>
      </c>
      <c r="L586" s="21">
        <v>43222.15</v>
      </c>
      <c r="M586" s="21">
        <v>32260.48</v>
      </c>
      <c r="N586" s="21">
        <v>10961.67</v>
      </c>
      <c r="O586" t="s">
        <v>39</v>
      </c>
      <c r="P586" s="21">
        <v>971.28</v>
      </c>
      <c r="Q586" t="s">
        <v>30</v>
      </c>
      <c r="R586" t="s">
        <v>31</v>
      </c>
      <c r="S586">
        <v>5</v>
      </c>
      <c r="T586">
        <v>5</v>
      </c>
      <c r="U586" t="s">
        <v>32</v>
      </c>
      <c r="V586" t="s">
        <v>33</v>
      </c>
      <c r="W586">
        <v>5</v>
      </c>
    </row>
    <row r="587" spans="1:23" x14ac:dyDescent="0.25">
      <c r="A587" t="s">
        <v>1040</v>
      </c>
      <c r="B587" s="1">
        <v>45816</v>
      </c>
      <c r="C587" t="s">
        <v>1041</v>
      </c>
      <c r="D587" t="s">
        <v>90</v>
      </c>
      <c r="E587" t="s">
        <v>46</v>
      </c>
      <c r="F587" t="s">
        <v>37</v>
      </c>
      <c r="G587" t="s">
        <v>224</v>
      </c>
      <c r="H587">
        <v>2</v>
      </c>
      <c r="I587" s="21">
        <v>6335</v>
      </c>
      <c r="J587">
        <v>0</v>
      </c>
      <c r="K587" s="21">
        <v>0</v>
      </c>
      <c r="L587" s="21">
        <v>12670</v>
      </c>
      <c r="M587" s="21">
        <v>7809.75</v>
      </c>
      <c r="N587" s="21">
        <v>4860.25</v>
      </c>
      <c r="O587" t="s">
        <v>60</v>
      </c>
      <c r="P587" s="21">
        <v>2369.27</v>
      </c>
      <c r="Q587" t="s">
        <v>68</v>
      </c>
      <c r="R587" t="s">
        <v>41</v>
      </c>
      <c r="S587">
        <v>2</v>
      </c>
      <c r="T587">
        <v>6</v>
      </c>
      <c r="U587" t="s">
        <v>32</v>
      </c>
      <c r="V587" t="s">
        <v>42</v>
      </c>
    </row>
    <row r="588" spans="1:23" x14ac:dyDescent="0.25">
      <c r="A588" t="s">
        <v>1042</v>
      </c>
      <c r="B588" s="1">
        <v>45773</v>
      </c>
      <c r="C588" t="s">
        <v>1033</v>
      </c>
      <c r="D588" t="s">
        <v>67</v>
      </c>
      <c r="E588" t="s">
        <v>26</v>
      </c>
      <c r="F588" t="s">
        <v>86</v>
      </c>
      <c r="G588" t="s">
        <v>127</v>
      </c>
      <c r="H588">
        <v>1</v>
      </c>
      <c r="I588" s="21">
        <v>17627</v>
      </c>
      <c r="J588">
        <v>0</v>
      </c>
      <c r="K588" s="21">
        <v>0</v>
      </c>
      <c r="L588" s="21">
        <v>17627</v>
      </c>
      <c r="M588" s="21">
        <v>11761.9</v>
      </c>
      <c r="N588" s="21">
        <v>5865.1</v>
      </c>
      <c r="O588" t="s">
        <v>91</v>
      </c>
      <c r="P588" s="21">
        <v>609.66</v>
      </c>
      <c r="Q588" t="s">
        <v>30</v>
      </c>
      <c r="R588" t="s">
        <v>31</v>
      </c>
      <c r="S588">
        <v>5</v>
      </c>
      <c r="T588">
        <v>4</v>
      </c>
      <c r="U588" t="s">
        <v>32</v>
      </c>
      <c r="V588" t="s">
        <v>33</v>
      </c>
      <c r="W588">
        <v>5</v>
      </c>
    </row>
    <row r="589" spans="1:23" x14ac:dyDescent="0.25">
      <c r="A589" t="s">
        <v>1043</v>
      </c>
      <c r="B589" s="1">
        <v>45759</v>
      </c>
      <c r="C589" t="s">
        <v>657</v>
      </c>
      <c r="D589" t="s">
        <v>45</v>
      </c>
      <c r="E589" t="s">
        <v>26</v>
      </c>
      <c r="F589" t="s">
        <v>86</v>
      </c>
      <c r="G589" t="s">
        <v>110</v>
      </c>
      <c r="H589">
        <v>1</v>
      </c>
      <c r="I589" s="21">
        <v>45334</v>
      </c>
      <c r="J589">
        <v>20</v>
      </c>
      <c r="K589" s="21">
        <v>9066.7999999999993</v>
      </c>
      <c r="L589" s="21">
        <v>36267.199999999997</v>
      </c>
      <c r="M589" s="21">
        <v>24747.279999999999</v>
      </c>
      <c r="N589" s="21">
        <v>11519.92</v>
      </c>
      <c r="O589" t="s">
        <v>91</v>
      </c>
      <c r="P589" s="21">
        <v>1449.85</v>
      </c>
      <c r="Q589" t="s">
        <v>73</v>
      </c>
      <c r="R589" t="s">
        <v>41</v>
      </c>
      <c r="S589">
        <v>2</v>
      </c>
      <c r="T589">
        <v>4</v>
      </c>
      <c r="U589" t="s">
        <v>32</v>
      </c>
      <c r="V589" t="s">
        <v>50</v>
      </c>
      <c r="W589">
        <v>3</v>
      </c>
    </row>
    <row r="590" spans="1:23" x14ac:dyDescent="0.25">
      <c r="A590" t="s">
        <v>1044</v>
      </c>
      <c r="B590" s="1">
        <v>45733</v>
      </c>
      <c r="C590" t="s">
        <v>553</v>
      </c>
      <c r="D590" t="s">
        <v>63</v>
      </c>
      <c r="E590" t="s">
        <v>36</v>
      </c>
      <c r="F590" t="s">
        <v>53</v>
      </c>
      <c r="G590" t="s">
        <v>268</v>
      </c>
      <c r="H590">
        <v>1</v>
      </c>
      <c r="I590" s="21">
        <v>95824</v>
      </c>
      <c r="J590">
        <v>10</v>
      </c>
      <c r="K590" s="21">
        <v>9582.4</v>
      </c>
      <c r="L590" s="21">
        <v>86241.600000000006</v>
      </c>
      <c r="M590" s="21">
        <v>62815.4</v>
      </c>
      <c r="N590" s="21">
        <v>23426.2</v>
      </c>
      <c r="O590" t="s">
        <v>60</v>
      </c>
      <c r="P590" s="21">
        <v>494.53</v>
      </c>
      <c r="Q590" t="s">
        <v>30</v>
      </c>
      <c r="R590" t="s">
        <v>41</v>
      </c>
      <c r="S590">
        <v>2</v>
      </c>
      <c r="T590">
        <v>3</v>
      </c>
      <c r="U590" t="s">
        <v>56</v>
      </c>
      <c r="V590" t="s">
        <v>33</v>
      </c>
      <c r="W590">
        <v>5</v>
      </c>
    </row>
    <row r="591" spans="1:23" x14ac:dyDescent="0.25">
      <c r="A591" t="s">
        <v>1045</v>
      </c>
      <c r="B591" s="1">
        <v>45670</v>
      </c>
      <c r="C591" t="s">
        <v>1046</v>
      </c>
      <c r="D591" t="s">
        <v>124</v>
      </c>
      <c r="E591" t="s">
        <v>46</v>
      </c>
      <c r="F591" t="s">
        <v>27</v>
      </c>
      <c r="G591" t="s">
        <v>28</v>
      </c>
      <c r="H591">
        <v>1</v>
      </c>
      <c r="I591" s="21">
        <v>21924</v>
      </c>
      <c r="J591">
        <v>10</v>
      </c>
      <c r="K591" s="21">
        <v>2192.4</v>
      </c>
      <c r="L591" s="21">
        <v>19731.599999999999</v>
      </c>
      <c r="M591" s="21">
        <v>14448.41</v>
      </c>
      <c r="N591" s="21">
        <v>5283.19</v>
      </c>
      <c r="O591" t="s">
        <v>55</v>
      </c>
      <c r="P591" s="21">
        <v>1216.49</v>
      </c>
      <c r="Q591" t="s">
        <v>30</v>
      </c>
      <c r="R591" t="s">
        <v>41</v>
      </c>
      <c r="S591">
        <v>2</v>
      </c>
      <c r="T591">
        <v>1</v>
      </c>
      <c r="U591" t="s">
        <v>32</v>
      </c>
      <c r="V591" t="s">
        <v>33</v>
      </c>
      <c r="W591">
        <v>5</v>
      </c>
    </row>
    <row r="592" spans="1:23" x14ac:dyDescent="0.25">
      <c r="A592" t="s">
        <v>1047</v>
      </c>
      <c r="B592" s="1">
        <v>45681</v>
      </c>
      <c r="C592" t="s">
        <v>1048</v>
      </c>
      <c r="D592" t="s">
        <v>67</v>
      </c>
      <c r="E592" t="s">
        <v>46</v>
      </c>
      <c r="F592" t="s">
        <v>86</v>
      </c>
      <c r="G592" t="s">
        <v>180</v>
      </c>
      <c r="H592">
        <v>2</v>
      </c>
      <c r="I592" s="21">
        <v>64672</v>
      </c>
      <c r="J592">
        <v>0</v>
      </c>
      <c r="K592" s="21">
        <v>0</v>
      </c>
      <c r="L592" s="21">
        <v>129344</v>
      </c>
      <c r="M592" s="21">
        <v>89858.32</v>
      </c>
      <c r="N592" s="21">
        <v>39485.68</v>
      </c>
      <c r="O592" t="s">
        <v>49</v>
      </c>
      <c r="P592" s="21">
        <v>198.36</v>
      </c>
      <c r="Q592" t="s">
        <v>40</v>
      </c>
      <c r="R592" t="s">
        <v>31</v>
      </c>
      <c r="S592">
        <v>5</v>
      </c>
      <c r="T592">
        <v>4</v>
      </c>
      <c r="U592" t="s">
        <v>32</v>
      </c>
      <c r="V592" t="s">
        <v>50</v>
      </c>
      <c r="W592">
        <v>5</v>
      </c>
    </row>
    <row r="593" spans="1:23" x14ac:dyDescent="0.25">
      <c r="A593" t="s">
        <v>1049</v>
      </c>
      <c r="B593" s="1">
        <v>45783</v>
      </c>
      <c r="C593" t="s">
        <v>1050</v>
      </c>
      <c r="D593" t="s">
        <v>71</v>
      </c>
      <c r="E593" t="s">
        <v>26</v>
      </c>
      <c r="F593" t="s">
        <v>37</v>
      </c>
      <c r="G593" t="s">
        <v>224</v>
      </c>
      <c r="H593">
        <v>1</v>
      </c>
      <c r="I593" s="21">
        <v>7225</v>
      </c>
      <c r="J593">
        <v>25</v>
      </c>
      <c r="K593" s="21">
        <v>1806.25</v>
      </c>
      <c r="L593" s="21">
        <v>5418.75</v>
      </c>
      <c r="M593" s="21">
        <v>3288.23</v>
      </c>
      <c r="N593" s="21">
        <v>2130.52</v>
      </c>
      <c r="O593" t="s">
        <v>55</v>
      </c>
      <c r="P593" s="21">
        <v>2127.7399999999998</v>
      </c>
      <c r="Q593" t="s">
        <v>30</v>
      </c>
      <c r="R593" t="s">
        <v>31</v>
      </c>
      <c r="S593">
        <v>5</v>
      </c>
      <c r="T593">
        <v>1</v>
      </c>
      <c r="U593" t="s">
        <v>32</v>
      </c>
      <c r="V593" t="s">
        <v>42</v>
      </c>
    </row>
    <row r="594" spans="1:23" x14ac:dyDescent="0.25">
      <c r="A594" t="s">
        <v>1051</v>
      </c>
      <c r="B594" s="1">
        <v>45901</v>
      </c>
      <c r="C594" t="s">
        <v>1052</v>
      </c>
      <c r="D594" t="s">
        <v>25</v>
      </c>
      <c r="E594" t="s">
        <v>46</v>
      </c>
      <c r="F594" t="s">
        <v>47</v>
      </c>
      <c r="G594" t="s">
        <v>48</v>
      </c>
      <c r="H594">
        <v>2</v>
      </c>
      <c r="I594" s="21">
        <v>7893</v>
      </c>
      <c r="J594">
        <v>0</v>
      </c>
      <c r="K594" s="21">
        <v>0</v>
      </c>
      <c r="L594" s="21">
        <v>15786</v>
      </c>
      <c r="M594" s="21">
        <v>10819.8</v>
      </c>
      <c r="N594" s="21">
        <v>4966.2</v>
      </c>
      <c r="O594" t="s">
        <v>39</v>
      </c>
      <c r="P594" s="21">
        <v>851.11</v>
      </c>
      <c r="Q594" t="s">
        <v>83</v>
      </c>
      <c r="R594" t="s">
        <v>31</v>
      </c>
      <c r="S594">
        <v>5</v>
      </c>
      <c r="T594">
        <v>5</v>
      </c>
      <c r="U594" t="s">
        <v>32</v>
      </c>
      <c r="V594" t="s">
        <v>33</v>
      </c>
      <c r="W594">
        <v>2</v>
      </c>
    </row>
    <row r="595" spans="1:23" x14ac:dyDescent="0.25">
      <c r="A595" t="s">
        <v>1053</v>
      </c>
      <c r="B595" s="1">
        <v>45970</v>
      </c>
      <c r="C595" t="s">
        <v>567</v>
      </c>
      <c r="D595" t="s">
        <v>63</v>
      </c>
      <c r="E595" t="s">
        <v>46</v>
      </c>
      <c r="F595" t="s">
        <v>47</v>
      </c>
      <c r="G595" t="s">
        <v>146</v>
      </c>
      <c r="H595">
        <v>2</v>
      </c>
      <c r="I595" s="21">
        <v>33263</v>
      </c>
      <c r="J595">
        <v>0</v>
      </c>
      <c r="K595" s="21">
        <v>0</v>
      </c>
      <c r="L595" s="21">
        <v>66526</v>
      </c>
      <c r="M595" s="21">
        <v>37963.879999999997</v>
      </c>
      <c r="N595" s="21">
        <v>28562.12</v>
      </c>
      <c r="O595" t="s">
        <v>49</v>
      </c>
      <c r="P595" s="21">
        <v>56.63</v>
      </c>
      <c r="Q595" t="s">
        <v>40</v>
      </c>
      <c r="R595" t="s">
        <v>41</v>
      </c>
      <c r="S595">
        <v>2</v>
      </c>
      <c r="T595">
        <v>0</v>
      </c>
      <c r="U595" t="s">
        <v>32</v>
      </c>
      <c r="V595" t="s">
        <v>42</v>
      </c>
    </row>
    <row r="596" spans="1:23" x14ac:dyDescent="0.25">
      <c r="A596" t="s">
        <v>1054</v>
      </c>
      <c r="B596" s="1">
        <v>45695</v>
      </c>
      <c r="C596" t="s">
        <v>1055</v>
      </c>
      <c r="D596" t="s">
        <v>45</v>
      </c>
      <c r="E596" t="s">
        <v>46</v>
      </c>
      <c r="F596" t="s">
        <v>37</v>
      </c>
      <c r="G596" t="s">
        <v>161</v>
      </c>
      <c r="H596">
        <v>2</v>
      </c>
      <c r="I596" s="21">
        <v>5535</v>
      </c>
      <c r="J596">
        <v>10</v>
      </c>
      <c r="K596" s="21">
        <v>1107</v>
      </c>
      <c r="L596" s="21">
        <v>9963</v>
      </c>
      <c r="M596" s="21">
        <v>6216.85</v>
      </c>
      <c r="N596" s="21">
        <v>3746.15</v>
      </c>
      <c r="O596" t="s">
        <v>60</v>
      </c>
      <c r="P596" s="21">
        <v>2429.3000000000002</v>
      </c>
      <c r="Q596" t="s">
        <v>40</v>
      </c>
      <c r="R596" t="s">
        <v>31</v>
      </c>
      <c r="S596">
        <v>5</v>
      </c>
      <c r="T596">
        <v>7</v>
      </c>
      <c r="U596" t="s">
        <v>56</v>
      </c>
      <c r="V596" t="s">
        <v>33</v>
      </c>
      <c r="W596">
        <v>3</v>
      </c>
    </row>
    <row r="597" spans="1:23" x14ac:dyDescent="0.25">
      <c r="A597" t="s">
        <v>1056</v>
      </c>
      <c r="B597" s="1">
        <v>45891</v>
      </c>
      <c r="C597" t="s">
        <v>272</v>
      </c>
      <c r="D597" t="s">
        <v>71</v>
      </c>
      <c r="E597" t="s">
        <v>46</v>
      </c>
      <c r="F597" t="s">
        <v>27</v>
      </c>
      <c r="G597" t="s">
        <v>113</v>
      </c>
      <c r="H597">
        <v>1</v>
      </c>
      <c r="I597" s="21">
        <v>26531</v>
      </c>
      <c r="J597">
        <v>25</v>
      </c>
      <c r="K597" s="21">
        <v>6632.75</v>
      </c>
      <c r="L597" s="21">
        <v>19898.25</v>
      </c>
      <c r="M597" s="21">
        <v>12258.23</v>
      </c>
      <c r="N597" s="21">
        <v>7640.02</v>
      </c>
      <c r="O597" t="s">
        <v>55</v>
      </c>
      <c r="P597" s="21">
        <v>1105.3800000000001</v>
      </c>
      <c r="Q597" t="s">
        <v>73</v>
      </c>
      <c r="R597" t="s">
        <v>41</v>
      </c>
      <c r="S597">
        <v>2</v>
      </c>
      <c r="T597">
        <v>1</v>
      </c>
      <c r="U597" t="s">
        <v>32</v>
      </c>
      <c r="V597" t="s">
        <v>33</v>
      </c>
      <c r="W597">
        <v>5</v>
      </c>
    </row>
    <row r="598" spans="1:23" x14ac:dyDescent="0.25">
      <c r="A598" t="s">
        <v>1057</v>
      </c>
      <c r="B598" s="1">
        <v>45870</v>
      </c>
      <c r="C598" t="s">
        <v>747</v>
      </c>
      <c r="D598" t="s">
        <v>124</v>
      </c>
      <c r="E598" t="s">
        <v>36</v>
      </c>
      <c r="F598" t="s">
        <v>37</v>
      </c>
      <c r="G598" t="s">
        <v>224</v>
      </c>
      <c r="H598">
        <v>1</v>
      </c>
      <c r="I598" s="21">
        <v>11140</v>
      </c>
      <c r="J598">
        <v>10</v>
      </c>
      <c r="K598" s="21">
        <v>1114</v>
      </c>
      <c r="L598" s="21">
        <v>10026</v>
      </c>
      <c r="M598" s="21">
        <v>6414.21</v>
      </c>
      <c r="N598" s="21">
        <v>3611.79</v>
      </c>
      <c r="O598" t="s">
        <v>29</v>
      </c>
      <c r="P598" s="21">
        <v>589.29</v>
      </c>
      <c r="Q598" t="s">
        <v>30</v>
      </c>
      <c r="R598" t="s">
        <v>31</v>
      </c>
      <c r="S598">
        <v>5</v>
      </c>
      <c r="T598">
        <v>0</v>
      </c>
      <c r="U598" t="s">
        <v>32</v>
      </c>
      <c r="V598" t="s">
        <v>50</v>
      </c>
      <c r="W598">
        <v>5</v>
      </c>
    </row>
    <row r="599" spans="1:23" x14ac:dyDescent="0.25">
      <c r="A599" t="s">
        <v>1058</v>
      </c>
      <c r="B599" s="1">
        <v>45980</v>
      </c>
      <c r="C599" t="s">
        <v>622</v>
      </c>
      <c r="D599" t="s">
        <v>154</v>
      </c>
      <c r="E599" t="s">
        <v>26</v>
      </c>
      <c r="F599" t="s">
        <v>37</v>
      </c>
      <c r="G599" t="s">
        <v>161</v>
      </c>
      <c r="H599">
        <v>1</v>
      </c>
      <c r="I599" s="21">
        <v>36336</v>
      </c>
      <c r="J599">
        <v>10</v>
      </c>
      <c r="K599" s="21">
        <v>3633.6</v>
      </c>
      <c r="L599" s="21">
        <v>32702.400000000001</v>
      </c>
      <c r="M599" s="21">
        <v>21622.89</v>
      </c>
      <c r="N599" s="21">
        <v>11079.51</v>
      </c>
      <c r="O599" t="s">
        <v>60</v>
      </c>
      <c r="P599" s="21">
        <v>283.97000000000003</v>
      </c>
      <c r="Q599" t="s">
        <v>40</v>
      </c>
      <c r="R599" t="s">
        <v>41</v>
      </c>
      <c r="S599">
        <v>2</v>
      </c>
      <c r="T599">
        <v>6</v>
      </c>
      <c r="U599" t="s">
        <v>32</v>
      </c>
      <c r="V599" t="s">
        <v>50</v>
      </c>
      <c r="W599">
        <v>2</v>
      </c>
    </row>
    <row r="600" spans="1:23" x14ac:dyDescent="0.25">
      <c r="A600" t="s">
        <v>1059</v>
      </c>
      <c r="B600" s="1">
        <v>45952</v>
      </c>
      <c r="C600" t="s">
        <v>1060</v>
      </c>
      <c r="D600" t="s">
        <v>63</v>
      </c>
      <c r="E600" t="s">
        <v>46</v>
      </c>
      <c r="F600" t="s">
        <v>37</v>
      </c>
      <c r="G600" t="s">
        <v>100</v>
      </c>
      <c r="H600">
        <v>2</v>
      </c>
      <c r="I600" s="21">
        <v>19449</v>
      </c>
      <c r="J600">
        <v>10</v>
      </c>
      <c r="K600" s="21">
        <v>3889.8</v>
      </c>
      <c r="L600" s="21">
        <v>35008.199999999997</v>
      </c>
      <c r="M600" s="21">
        <v>23615.5</v>
      </c>
      <c r="N600" s="21">
        <v>11392.7</v>
      </c>
      <c r="O600" t="s">
        <v>49</v>
      </c>
      <c r="P600" s="21">
        <v>241.57</v>
      </c>
      <c r="Q600" t="s">
        <v>83</v>
      </c>
      <c r="R600" t="s">
        <v>31</v>
      </c>
      <c r="S600">
        <v>5</v>
      </c>
      <c r="T600">
        <v>4</v>
      </c>
      <c r="U600" t="s">
        <v>32</v>
      </c>
      <c r="V600" t="s">
        <v>33</v>
      </c>
      <c r="W600">
        <v>1</v>
      </c>
    </row>
    <row r="601" spans="1:23" x14ac:dyDescent="0.25">
      <c r="A601" t="s">
        <v>1061</v>
      </c>
      <c r="B601" s="1">
        <v>45757</v>
      </c>
      <c r="C601" t="s">
        <v>645</v>
      </c>
      <c r="D601" t="s">
        <v>154</v>
      </c>
      <c r="E601" t="s">
        <v>26</v>
      </c>
      <c r="F601" t="s">
        <v>27</v>
      </c>
      <c r="G601" t="s">
        <v>76</v>
      </c>
      <c r="H601">
        <v>1</v>
      </c>
      <c r="I601" s="21">
        <v>17399</v>
      </c>
      <c r="J601">
        <v>0</v>
      </c>
      <c r="K601" s="21">
        <v>0</v>
      </c>
      <c r="L601" s="21">
        <v>17399</v>
      </c>
      <c r="M601" s="21">
        <v>12511</v>
      </c>
      <c r="N601" s="21">
        <v>4888</v>
      </c>
      <c r="O601" t="s">
        <v>29</v>
      </c>
      <c r="P601" s="21">
        <v>1922.68</v>
      </c>
      <c r="Q601" t="s">
        <v>40</v>
      </c>
      <c r="R601" t="s">
        <v>41</v>
      </c>
      <c r="S601">
        <v>2</v>
      </c>
      <c r="T601">
        <v>1</v>
      </c>
      <c r="U601" t="s">
        <v>32</v>
      </c>
      <c r="V601" t="s">
        <v>42</v>
      </c>
    </row>
    <row r="602" spans="1:23" x14ac:dyDescent="0.25">
      <c r="A602" t="s">
        <v>1062</v>
      </c>
      <c r="B602" s="1">
        <v>46014</v>
      </c>
      <c r="C602" t="s">
        <v>1063</v>
      </c>
      <c r="D602" t="s">
        <v>63</v>
      </c>
      <c r="E602" t="s">
        <v>46</v>
      </c>
      <c r="F602" t="s">
        <v>27</v>
      </c>
      <c r="G602" t="s">
        <v>113</v>
      </c>
      <c r="H602">
        <v>1</v>
      </c>
      <c r="I602" s="21">
        <v>14063</v>
      </c>
      <c r="J602">
        <v>0</v>
      </c>
      <c r="K602" s="21">
        <v>0</v>
      </c>
      <c r="L602" s="21">
        <v>14063</v>
      </c>
      <c r="M602" s="21">
        <v>8271.99</v>
      </c>
      <c r="N602" s="21">
        <v>5791.01</v>
      </c>
      <c r="O602" t="s">
        <v>55</v>
      </c>
      <c r="P602" s="21">
        <v>1612.2</v>
      </c>
      <c r="Q602" t="s">
        <v>73</v>
      </c>
      <c r="R602" t="s">
        <v>31</v>
      </c>
      <c r="S602">
        <v>5</v>
      </c>
      <c r="T602">
        <v>6</v>
      </c>
      <c r="U602" t="s">
        <v>32</v>
      </c>
      <c r="V602" t="s">
        <v>42</v>
      </c>
    </row>
    <row r="603" spans="1:23" x14ac:dyDescent="0.25">
      <c r="A603" t="s">
        <v>1064</v>
      </c>
      <c r="B603" s="1">
        <v>45854</v>
      </c>
      <c r="C603" t="s">
        <v>1065</v>
      </c>
      <c r="D603" t="s">
        <v>67</v>
      </c>
      <c r="E603" t="s">
        <v>46</v>
      </c>
      <c r="F603" t="s">
        <v>37</v>
      </c>
      <c r="G603" t="s">
        <v>38</v>
      </c>
      <c r="H603">
        <v>1</v>
      </c>
      <c r="I603" s="21">
        <v>38365</v>
      </c>
      <c r="J603">
        <v>20</v>
      </c>
      <c r="K603" s="21">
        <v>7673</v>
      </c>
      <c r="L603" s="21">
        <v>30692</v>
      </c>
      <c r="M603" s="21">
        <v>16961.990000000002</v>
      </c>
      <c r="N603" s="21">
        <v>13730.01</v>
      </c>
      <c r="O603" t="s">
        <v>60</v>
      </c>
      <c r="P603" s="21">
        <v>1282.1300000000001</v>
      </c>
      <c r="Q603" t="s">
        <v>83</v>
      </c>
      <c r="R603" t="s">
        <v>31</v>
      </c>
      <c r="S603">
        <v>5</v>
      </c>
      <c r="T603">
        <v>3</v>
      </c>
      <c r="U603" t="s">
        <v>32</v>
      </c>
      <c r="V603" t="s">
        <v>33</v>
      </c>
      <c r="W603">
        <v>2</v>
      </c>
    </row>
    <row r="604" spans="1:23" x14ac:dyDescent="0.25">
      <c r="A604" t="s">
        <v>1066</v>
      </c>
      <c r="B604" s="1">
        <v>45911</v>
      </c>
      <c r="C604" t="s">
        <v>284</v>
      </c>
      <c r="D604" t="s">
        <v>79</v>
      </c>
      <c r="E604" t="s">
        <v>26</v>
      </c>
      <c r="F604" t="s">
        <v>86</v>
      </c>
      <c r="G604" t="s">
        <v>87</v>
      </c>
      <c r="H604">
        <v>1</v>
      </c>
      <c r="I604" s="21">
        <v>83916</v>
      </c>
      <c r="J604">
        <v>10</v>
      </c>
      <c r="K604" s="21">
        <v>8391.6</v>
      </c>
      <c r="L604" s="21">
        <v>75524.399999999994</v>
      </c>
      <c r="M604" s="21">
        <v>54514.48</v>
      </c>
      <c r="N604" s="21">
        <v>21009.919999999998</v>
      </c>
      <c r="O604" t="s">
        <v>29</v>
      </c>
      <c r="P604" s="21">
        <v>232.5</v>
      </c>
      <c r="Q604" t="s">
        <v>68</v>
      </c>
      <c r="R604" t="s">
        <v>41</v>
      </c>
      <c r="S604">
        <v>2</v>
      </c>
      <c r="T604">
        <v>3</v>
      </c>
      <c r="U604" t="s">
        <v>56</v>
      </c>
      <c r="V604" t="s">
        <v>33</v>
      </c>
      <c r="W604">
        <v>5</v>
      </c>
    </row>
    <row r="605" spans="1:23" x14ac:dyDescent="0.25">
      <c r="A605" t="s">
        <v>1067</v>
      </c>
      <c r="B605" s="1">
        <v>45862</v>
      </c>
      <c r="C605" t="s">
        <v>282</v>
      </c>
      <c r="D605" t="s">
        <v>45</v>
      </c>
      <c r="E605" t="s">
        <v>46</v>
      </c>
      <c r="F605" t="s">
        <v>86</v>
      </c>
      <c r="G605" t="s">
        <v>94</v>
      </c>
      <c r="H605">
        <v>2</v>
      </c>
      <c r="I605" s="21">
        <v>79546</v>
      </c>
      <c r="J605">
        <v>0</v>
      </c>
      <c r="K605" s="21">
        <v>0</v>
      </c>
      <c r="L605" s="21">
        <v>159092</v>
      </c>
      <c r="M605" s="21">
        <v>112957.32</v>
      </c>
      <c r="N605" s="21">
        <v>46134.68</v>
      </c>
      <c r="O605" t="s">
        <v>49</v>
      </c>
      <c r="P605" s="21">
        <v>130.25</v>
      </c>
      <c r="Q605" t="s">
        <v>40</v>
      </c>
      <c r="R605" t="s">
        <v>31</v>
      </c>
      <c r="S605">
        <v>5</v>
      </c>
      <c r="T605">
        <v>7</v>
      </c>
      <c r="U605" t="s">
        <v>56</v>
      </c>
      <c r="V605" t="s">
        <v>33</v>
      </c>
      <c r="W605">
        <v>3</v>
      </c>
    </row>
    <row r="606" spans="1:23" x14ac:dyDescent="0.25">
      <c r="A606" t="s">
        <v>1068</v>
      </c>
      <c r="B606" s="1">
        <v>45782</v>
      </c>
      <c r="C606" t="s">
        <v>1069</v>
      </c>
      <c r="D606" t="s">
        <v>45</v>
      </c>
      <c r="E606" t="s">
        <v>26</v>
      </c>
      <c r="F606" t="s">
        <v>53</v>
      </c>
      <c r="G606" t="s">
        <v>268</v>
      </c>
      <c r="H606">
        <v>1</v>
      </c>
      <c r="I606" s="21">
        <v>110184</v>
      </c>
      <c r="J606">
        <v>5</v>
      </c>
      <c r="K606" s="21">
        <v>5509.2</v>
      </c>
      <c r="L606" s="21">
        <v>104674.8</v>
      </c>
      <c r="M606" s="21">
        <v>62322</v>
      </c>
      <c r="N606" s="21">
        <v>42352.800000000003</v>
      </c>
      <c r="O606" t="s">
        <v>49</v>
      </c>
      <c r="P606" s="21">
        <v>468.3</v>
      </c>
      <c r="Q606" t="s">
        <v>40</v>
      </c>
      <c r="R606" t="s">
        <v>31</v>
      </c>
      <c r="S606">
        <v>5</v>
      </c>
      <c r="T606">
        <v>5</v>
      </c>
      <c r="U606" t="s">
        <v>32</v>
      </c>
      <c r="V606" t="s">
        <v>33</v>
      </c>
      <c r="W606">
        <v>1</v>
      </c>
    </row>
    <row r="607" spans="1:23" x14ac:dyDescent="0.25">
      <c r="A607" t="s">
        <v>1070</v>
      </c>
      <c r="B607" s="1">
        <v>45733</v>
      </c>
      <c r="C607" t="s">
        <v>274</v>
      </c>
      <c r="D607" t="s">
        <v>67</v>
      </c>
      <c r="E607" t="s">
        <v>46</v>
      </c>
      <c r="F607" t="s">
        <v>47</v>
      </c>
      <c r="G607" t="s">
        <v>146</v>
      </c>
      <c r="H607">
        <v>3</v>
      </c>
      <c r="I607" s="21">
        <v>15976</v>
      </c>
      <c r="J607">
        <v>15</v>
      </c>
      <c r="K607" s="21">
        <v>7189.2</v>
      </c>
      <c r="L607" s="21">
        <v>40738.800000000003</v>
      </c>
      <c r="M607" s="21">
        <v>29719.26</v>
      </c>
      <c r="N607" s="21">
        <v>11019.54</v>
      </c>
      <c r="O607" t="s">
        <v>55</v>
      </c>
      <c r="P607" s="21">
        <v>1948.02</v>
      </c>
      <c r="Q607" t="s">
        <v>68</v>
      </c>
      <c r="R607" t="s">
        <v>41</v>
      </c>
      <c r="S607">
        <v>2</v>
      </c>
      <c r="T607">
        <v>5</v>
      </c>
      <c r="U607" t="s">
        <v>56</v>
      </c>
      <c r="V607" t="s">
        <v>33</v>
      </c>
      <c r="W607">
        <v>5</v>
      </c>
    </row>
    <row r="608" spans="1:23" x14ac:dyDescent="0.25">
      <c r="A608" t="s">
        <v>1071</v>
      </c>
      <c r="B608" s="1">
        <v>45993</v>
      </c>
      <c r="C608" t="s">
        <v>427</v>
      </c>
      <c r="D608" t="s">
        <v>71</v>
      </c>
      <c r="E608" t="s">
        <v>26</v>
      </c>
      <c r="F608" t="s">
        <v>37</v>
      </c>
      <c r="G608" t="s">
        <v>100</v>
      </c>
      <c r="H608">
        <v>1</v>
      </c>
      <c r="I608" s="21">
        <v>18018</v>
      </c>
      <c r="J608">
        <v>0</v>
      </c>
      <c r="K608" s="21">
        <v>0</v>
      </c>
      <c r="L608" s="21">
        <v>18018</v>
      </c>
      <c r="M608" s="21">
        <v>14509.58</v>
      </c>
      <c r="N608" s="21">
        <v>3508.42</v>
      </c>
      <c r="O608" t="s">
        <v>49</v>
      </c>
      <c r="P608" s="21">
        <v>246.76</v>
      </c>
      <c r="Q608" t="s">
        <v>30</v>
      </c>
      <c r="R608" t="s">
        <v>31</v>
      </c>
      <c r="S608">
        <v>5</v>
      </c>
      <c r="T608">
        <v>3</v>
      </c>
      <c r="U608" t="s">
        <v>32</v>
      </c>
      <c r="V608" t="s">
        <v>33</v>
      </c>
      <c r="W608">
        <v>5</v>
      </c>
    </row>
    <row r="609" spans="1:23" x14ac:dyDescent="0.25">
      <c r="A609" t="s">
        <v>1072</v>
      </c>
      <c r="B609" s="1">
        <v>46010</v>
      </c>
      <c r="C609" t="s">
        <v>737</v>
      </c>
      <c r="D609" t="s">
        <v>97</v>
      </c>
      <c r="E609" t="s">
        <v>26</v>
      </c>
      <c r="F609" t="s">
        <v>27</v>
      </c>
      <c r="G609" t="s">
        <v>72</v>
      </c>
      <c r="H609">
        <v>1</v>
      </c>
      <c r="I609" s="21">
        <v>27371</v>
      </c>
      <c r="J609">
        <v>5</v>
      </c>
      <c r="K609" s="21">
        <v>1368.55</v>
      </c>
      <c r="L609" s="21">
        <v>26002.45</v>
      </c>
      <c r="M609" s="21">
        <v>18632.91</v>
      </c>
      <c r="N609" s="21">
        <v>7369.54</v>
      </c>
      <c r="O609" t="s">
        <v>60</v>
      </c>
      <c r="P609" s="21">
        <v>611.71</v>
      </c>
      <c r="Q609" t="s">
        <v>83</v>
      </c>
      <c r="R609" t="s">
        <v>41</v>
      </c>
      <c r="S609">
        <v>2</v>
      </c>
      <c r="T609">
        <v>1</v>
      </c>
      <c r="U609" t="s">
        <v>32</v>
      </c>
      <c r="V609" t="s">
        <v>33</v>
      </c>
      <c r="W609">
        <v>3</v>
      </c>
    </row>
    <row r="610" spans="1:23" x14ac:dyDescent="0.25">
      <c r="A610" t="s">
        <v>1073</v>
      </c>
      <c r="B610" s="1">
        <v>45660</v>
      </c>
      <c r="C610" t="s">
        <v>81</v>
      </c>
      <c r="D610" t="s">
        <v>97</v>
      </c>
      <c r="E610" t="s">
        <v>46</v>
      </c>
      <c r="F610" t="s">
        <v>47</v>
      </c>
      <c r="G610" t="s">
        <v>105</v>
      </c>
      <c r="H610">
        <v>1</v>
      </c>
      <c r="I610" s="21">
        <v>31174</v>
      </c>
      <c r="J610">
        <v>10</v>
      </c>
      <c r="K610" s="21">
        <v>3117.4</v>
      </c>
      <c r="L610" s="21">
        <v>28056.6</v>
      </c>
      <c r="M610" s="21">
        <v>15685.12</v>
      </c>
      <c r="N610" s="21">
        <v>12371.48</v>
      </c>
      <c r="O610" t="s">
        <v>91</v>
      </c>
      <c r="P610" s="21">
        <v>301.01</v>
      </c>
      <c r="Q610" t="s">
        <v>73</v>
      </c>
      <c r="R610" t="s">
        <v>41</v>
      </c>
      <c r="S610">
        <v>2</v>
      </c>
      <c r="T610">
        <v>1</v>
      </c>
      <c r="U610" t="s">
        <v>32</v>
      </c>
      <c r="V610" t="s">
        <v>33</v>
      </c>
      <c r="W610">
        <v>4</v>
      </c>
    </row>
    <row r="611" spans="1:23" x14ac:dyDescent="0.25">
      <c r="A611" t="s">
        <v>1074</v>
      </c>
      <c r="B611" s="1">
        <v>45712</v>
      </c>
      <c r="C611" t="s">
        <v>310</v>
      </c>
      <c r="D611" t="s">
        <v>90</v>
      </c>
      <c r="E611" t="s">
        <v>36</v>
      </c>
      <c r="F611" t="s">
        <v>86</v>
      </c>
      <c r="G611" t="s">
        <v>180</v>
      </c>
      <c r="H611">
        <v>4</v>
      </c>
      <c r="I611" s="21">
        <v>70264</v>
      </c>
      <c r="J611">
        <v>25</v>
      </c>
      <c r="K611" s="21">
        <v>70264</v>
      </c>
      <c r="L611" s="21">
        <v>210792</v>
      </c>
      <c r="M611" s="21">
        <v>161889.57999999999</v>
      </c>
      <c r="N611" s="21">
        <v>48902.42</v>
      </c>
      <c r="O611" t="s">
        <v>49</v>
      </c>
      <c r="P611" s="21">
        <v>325.81</v>
      </c>
      <c r="Q611" t="s">
        <v>68</v>
      </c>
      <c r="R611" t="s">
        <v>41</v>
      </c>
      <c r="S611">
        <v>2</v>
      </c>
      <c r="T611">
        <v>4</v>
      </c>
      <c r="U611" t="s">
        <v>56</v>
      </c>
      <c r="V611" t="s">
        <v>33</v>
      </c>
      <c r="W611">
        <v>1</v>
      </c>
    </row>
    <row r="612" spans="1:23" x14ac:dyDescent="0.25">
      <c r="A612" t="s">
        <v>1075</v>
      </c>
      <c r="B612" s="1">
        <v>45875</v>
      </c>
      <c r="C612" t="s">
        <v>1076</v>
      </c>
      <c r="D612" t="s">
        <v>71</v>
      </c>
      <c r="E612" t="s">
        <v>46</v>
      </c>
      <c r="F612" t="s">
        <v>47</v>
      </c>
      <c r="G612" t="s">
        <v>146</v>
      </c>
      <c r="H612">
        <v>2</v>
      </c>
      <c r="I612" s="21">
        <v>27593</v>
      </c>
      <c r="J612">
        <v>5</v>
      </c>
      <c r="K612" s="21">
        <v>2759.3</v>
      </c>
      <c r="L612" s="21">
        <v>52426.7</v>
      </c>
      <c r="M612" s="21">
        <v>38107.839999999997</v>
      </c>
      <c r="N612" s="21">
        <v>14318.86</v>
      </c>
      <c r="O612" t="s">
        <v>55</v>
      </c>
      <c r="P612" s="21">
        <v>1745.58</v>
      </c>
      <c r="Q612" t="s">
        <v>73</v>
      </c>
      <c r="R612" t="s">
        <v>31</v>
      </c>
      <c r="S612">
        <v>5</v>
      </c>
      <c r="T612">
        <v>2</v>
      </c>
      <c r="U612" t="s">
        <v>32</v>
      </c>
      <c r="V612" t="s">
        <v>50</v>
      </c>
      <c r="W612">
        <v>5</v>
      </c>
    </row>
    <row r="613" spans="1:23" x14ac:dyDescent="0.25">
      <c r="A613" t="s">
        <v>1077</v>
      </c>
      <c r="B613" s="1">
        <v>45770</v>
      </c>
      <c r="C613" t="s">
        <v>1078</v>
      </c>
      <c r="D613" t="s">
        <v>97</v>
      </c>
      <c r="E613" t="s">
        <v>36</v>
      </c>
      <c r="F613" t="s">
        <v>47</v>
      </c>
      <c r="G613" t="s">
        <v>64</v>
      </c>
      <c r="H613">
        <v>1</v>
      </c>
      <c r="I613" s="21">
        <v>50759</v>
      </c>
      <c r="J613">
        <v>25</v>
      </c>
      <c r="K613" s="21">
        <v>12689.75</v>
      </c>
      <c r="L613" s="21">
        <v>38069.25</v>
      </c>
      <c r="M613" s="21">
        <v>22454.34</v>
      </c>
      <c r="N613" s="21">
        <v>15614.91</v>
      </c>
      <c r="O613" t="s">
        <v>55</v>
      </c>
      <c r="P613" s="21">
        <v>1219.82</v>
      </c>
      <c r="Q613" t="s">
        <v>73</v>
      </c>
      <c r="R613" t="s">
        <v>31</v>
      </c>
      <c r="S613">
        <v>5</v>
      </c>
      <c r="T613">
        <v>4</v>
      </c>
      <c r="U613" t="s">
        <v>32</v>
      </c>
      <c r="V613" t="s">
        <v>33</v>
      </c>
      <c r="W613">
        <v>2</v>
      </c>
    </row>
    <row r="614" spans="1:23" x14ac:dyDescent="0.25">
      <c r="A614" t="s">
        <v>1079</v>
      </c>
      <c r="B614" s="1">
        <v>45748</v>
      </c>
      <c r="C614" t="s">
        <v>1080</v>
      </c>
      <c r="D614" t="s">
        <v>71</v>
      </c>
      <c r="E614" t="s">
        <v>26</v>
      </c>
      <c r="F614" t="s">
        <v>37</v>
      </c>
      <c r="G614" t="s">
        <v>161</v>
      </c>
      <c r="H614">
        <v>2</v>
      </c>
      <c r="I614" s="21">
        <v>26982</v>
      </c>
      <c r="J614">
        <v>0</v>
      </c>
      <c r="K614" s="21">
        <v>0</v>
      </c>
      <c r="L614" s="21">
        <v>53964</v>
      </c>
      <c r="M614" s="21">
        <v>34655.26</v>
      </c>
      <c r="N614" s="21">
        <v>19308.740000000002</v>
      </c>
      <c r="O614" t="s">
        <v>91</v>
      </c>
      <c r="P614" s="21">
        <v>2339.63</v>
      </c>
      <c r="Q614" t="s">
        <v>83</v>
      </c>
      <c r="R614" t="s">
        <v>31</v>
      </c>
      <c r="S614">
        <v>5</v>
      </c>
      <c r="T614">
        <v>4</v>
      </c>
      <c r="U614" t="s">
        <v>32</v>
      </c>
      <c r="V614" t="s">
        <v>42</v>
      </c>
    </row>
    <row r="615" spans="1:23" x14ac:dyDescent="0.25">
      <c r="A615" t="s">
        <v>1081</v>
      </c>
      <c r="B615" s="1">
        <v>46014</v>
      </c>
      <c r="C615" t="s">
        <v>1082</v>
      </c>
      <c r="D615" t="s">
        <v>79</v>
      </c>
      <c r="E615" t="s">
        <v>46</v>
      </c>
      <c r="F615" t="s">
        <v>53</v>
      </c>
      <c r="G615" t="s">
        <v>151</v>
      </c>
      <c r="H615">
        <v>2</v>
      </c>
      <c r="I615" s="21">
        <v>11635</v>
      </c>
      <c r="J615">
        <v>20</v>
      </c>
      <c r="K615" s="21">
        <v>4654</v>
      </c>
      <c r="L615" s="21">
        <v>18616</v>
      </c>
      <c r="M615" s="21">
        <v>10647.31</v>
      </c>
      <c r="N615" s="21">
        <v>7968.69</v>
      </c>
      <c r="O615" t="s">
        <v>91</v>
      </c>
      <c r="P615" s="21">
        <v>1766.05</v>
      </c>
      <c r="Q615" t="s">
        <v>68</v>
      </c>
      <c r="R615" t="s">
        <v>31</v>
      </c>
      <c r="S615">
        <v>5</v>
      </c>
      <c r="T615">
        <v>2</v>
      </c>
      <c r="U615" t="s">
        <v>32</v>
      </c>
      <c r="V615" t="s">
        <v>50</v>
      </c>
      <c r="W615">
        <v>5</v>
      </c>
    </row>
    <row r="616" spans="1:23" x14ac:dyDescent="0.25">
      <c r="A616" t="s">
        <v>1083</v>
      </c>
      <c r="B616" s="1">
        <v>45923</v>
      </c>
      <c r="C616" t="s">
        <v>492</v>
      </c>
      <c r="D616" t="s">
        <v>71</v>
      </c>
      <c r="E616" t="s">
        <v>46</v>
      </c>
      <c r="F616" t="s">
        <v>47</v>
      </c>
      <c r="G616" t="s">
        <v>48</v>
      </c>
      <c r="H616">
        <v>1</v>
      </c>
      <c r="I616" s="21">
        <v>27679</v>
      </c>
      <c r="J616">
        <v>10</v>
      </c>
      <c r="K616" s="21">
        <v>2767.9</v>
      </c>
      <c r="L616" s="21">
        <v>24911.1</v>
      </c>
      <c r="M616" s="21">
        <v>19643.98</v>
      </c>
      <c r="N616" s="21">
        <v>5267.12</v>
      </c>
      <c r="O616" t="s">
        <v>49</v>
      </c>
      <c r="P616" s="21">
        <v>363.9</v>
      </c>
      <c r="Q616" t="s">
        <v>73</v>
      </c>
      <c r="R616" t="s">
        <v>41</v>
      </c>
      <c r="S616">
        <v>2</v>
      </c>
      <c r="T616">
        <v>6</v>
      </c>
      <c r="U616" t="s">
        <v>56</v>
      </c>
      <c r="V616" t="s">
        <v>33</v>
      </c>
      <c r="W616">
        <v>3</v>
      </c>
    </row>
    <row r="617" spans="1:23" x14ac:dyDescent="0.25">
      <c r="A617" t="s">
        <v>1084</v>
      </c>
      <c r="B617" s="1">
        <v>45895</v>
      </c>
      <c r="C617" t="s">
        <v>440</v>
      </c>
      <c r="D617" t="s">
        <v>45</v>
      </c>
      <c r="E617" t="s">
        <v>46</v>
      </c>
      <c r="F617" t="s">
        <v>53</v>
      </c>
      <c r="G617" t="s">
        <v>54</v>
      </c>
      <c r="H617">
        <v>2</v>
      </c>
      <c r="I617" s="21">
        <v>67939</v>
      </c>
      <c r="J617">
        <v>0</v>
      </c>
      <c r="K617" s="21">
        <v>0</v>
      </c>
      <c r="L617" s="21">
        <v>135878</v>
      </c>
      <c r="M617" s="21">
        <v>94468.66</v>
      </c>
      <c r="N617" s="21">
        <v>41409.339999999997</v>
      </c>
      <c r="O617" t="s">
        <v>39</v>
      </c>
      <c r="P617" s="21">
        <v>1685.82</v>
      </c>
      <c r="Q617" t="s">
        <v>73</v>
      </c>
      <c r="R617" t="s">
        <v>41</v>
      </c>
      <c r="S617">
        <v>2</v>
      </c>
      <c r="T617">
        <v>2</v>
      </c>
      <c r="U617" t="s">
        <v>32</v>
      </c>
      <c r="V617" t="s">
        <v>33</v>
      </c>
      <c r="W617">
        <v>3</v>
      </c>
    </row>
    <row r="618" spans="1:23" x14ac:dyDescent="0.25">
      <c r="A618" t="s">
        <v>1085</v>
      </c>
      <c r="B618" s="1">
        <v>45683</v>
      </c>
      <c r="C618" t="s">
        <v>1086</v>
      </c>
      <c r="D618" t="s">
        <v>97</v>
      </c>
      <c r="E618" t="s">
        <v>26</v>
      </c>
      <c r="F618" t="s">
        <v>47</v>
      </c>
      <c r="G618" t="s">
        <v>48</v>
      </c>
      <c r="H618">
        <v>1</v>
      </c>
      <c r="I618" s="21">
        <v>20809</v>
      </c>
      <c r="J618">
        <v>10</v>
      </c>
      <c r="K618" s="21">
        <v>2080.9</v>
      </c>
      <c r="L618" s="21">
        <v>18728.099999999999</v>
      </c>
      <c r="M618" s="21">
        <v>10459.469999999999</v>
      </c>
      <c r="N618" s="21">
        <v>8268.6299999999992</v>
      </c>
      <c r="O618" t="s">
        <v>49</v>
      </c>
      <c r="P618" s="21">
        <v>112.92</v>
      </c>
      <c r="Q618" t="s">
        <v>40</v>
      </c>
      <c r="R618" t="s">
        <v>31</v>
      </c>
      <c r="S618">
        <v>5</v>
      </c>
      <c r="T618">
        <v>5</v>
      </c>
      <c r="U618" t="s">
        <v>32</v>
      </c>
      <c r="V618" t="s">
        <v>33</v>
      </c>
      <c r="W618">
        <v>4</v>
      </c>
    </row>
    <row r="619" spans="1:23" x14ac:dyDescent="0.25">
      <c r="A619" t="s">
        <v>1087</v>
      </c>
      <c r="B619" s="1">
        <v>45943</v>
      </c>
      <c r="C619" t="s">
        <v>1088</v>
      </c>
      <c r="D619" t="s">
        <v>71</v>
      </c>
      <c r="E619" t="s">
        <v>26</v>
      </c>
      <c r="F619" t="s">
        <v>86</v>
      </c>
      <c r="G619" t="s">
        <v>94</v>
      </c>
      <c r="H619">
        <v>1</v>
      </c>
      <c r="I619" s="21">
        <v>53039</v>
      </c>
      <c r="J619">
        <v>15</v>
      </c>
      <c r="K619" s="21">
        <v>7955.85</v>
      </c>
      <c r="L619" s="21">
        <v>45083.15</v>
      </c>
      <c r="M619" s="21">
        <v>30583.68</v>
      </c>
      <c r="N619" s="21">
        <v>14499.47</v>
      </c>
      <c r="O619" t="s">
        <v>49</v>
      </c>
      <c r="P619" s="21">
        <v>460.92</v>
      </c>
      <c r="Q619" t="s">
        <v>73</v>
      </c>
      <c r="R619" t="s">
        <v>31</v>
      </c>
      <c r="S619">
        <v>5</v>
      </c>
      <c r="T619">
        <v>6</v>
      </c>
      <c r="U619" t="s">
        <v>56</v>
      </c>
      <c r="V619" t="s">
        <v>33</v>
      </c>
      <c r="W619">
        <v>2</v>
      </c>
    </row>
    <row r="620" spans="1:23" x14ac:dyDescent="0.25">
      <c r="A620" t="s">
        <v>1089</v>
      </c>
      <c r="B620" s="1">
        <v>45785</v>
      </c>
      <c r="C620" t="s">
        <v>781</v>
      </c>
      <c r="D620" t="s">
        <v>154</v>
      </c>
      <c r="E620" t="s">
        <v>46</v>
      </c>
      <c r="F620" t="s">
        <v>47</v>
      </c>
      <c r="G620" t="s">
        <v>105</v>
      </c>
      <c r="H620">
        <v>2</v>
      </c>
      <c r="I620" s="21">
        <v>44746</v>
      </c>
      <c r="J620">
        <v>20</v>
      </c>
      <c r="K620" s="21">
        <v>17898.400000000001</v>
      </c>
      <c r="L620" s="21">
        <v>71593.600000000006</v>
      </c>
      <c r="M620" s="21">
        <v>55499.79</v>
      </c>
      <c r="N620" s="21">
        <v>16093.81</v>
      </c>
      <c r="O620" t="s">
        <v>55</v>
      </c>
      <c r="P620" s="21">
        <v>977.12</v>
      </c>
      <c r="Q620" t="s">
        <v>30</v>
      </c>
      <c r="R620" t="s">
        <v>41</v>
      </c>
      <c r="S620">
        <v>2</v>
      </c>
      <c r="T620">
        <v>2</v>
      </c>
      <c r="U620" t="s">
        <v>32</v>
      </c>
      <c r="V620" t="s">
        <v>33</v>
      </c>
      <c r="W620">
        <v>5</v>
      </c>
    </row>
    <row r="621" spans="1:23" x14ac:dyDescent="0.25">
      <c r="A621" t="s">
        <v>1090</v>
      </c>
      <c r="B621" s="1">
        <v>45720</v>
      </c>
      <c r="C621" t="s">
        <v>1091</v>
      </c>
      <c r="D621" t="s">
        <v>97</v>
      </c>
      <c r="E621" t="s">
        <v>46</v>
      </c>
      <c r="F621" t="s">
        <v>86</v>
      </c>
      <c r="G621" t="s">
        <v>180</v>
      </c>
      <c r="H621">
        <v>2</v>
      </c>
      <c r="I621" s="21">
        <v>83735</v>
      </c>
      <c r="J621">
        <v>25</v>
      </c>
      <c r="K621" s="21">
        <v>41867.5</v>
      </c>
      <c r="L621" s="21">
        <v>125602.5</v>
      </c>
      <c r="M621" s="21">
        <v>74723.929999999993</v>
      </c>
      <c r="N621" s="21">
        <v>50878.57</v>
      </c>
      <c r="O621" t="s">
        <v>55</v>
      </c>
      <c r="P621" s="21">
        <v>1929.26</v>
      </c>
      <c r="Q621" t="s">
        <v>68</v>
      </c>
      <c r="R621" t="s">
        <v>31</v>
      </c>
      <c r="S621">
        <v>5</v>
      </c>
      <c r="T621">
        <v>5</v>
      </c>
      <c r="U621" t="s">
        <v>32</v>
      </c>
      <c r="V621" t="s">
        <v>33</v>
      </c>
      <c r="W621">
        <v>5</v>
      </c>
    </row>
    <row r="622" spans="1:23" x14ac:dyDescent="0.25">
      <c r="A622" t="s">
        <v>1092</v>
      </c>
      <c r="B622" s="1">
        <v>45891</v>
      </c>
      <c r="C622" t="s">
        <v>509</v>
      </c>
      <c r="D622" t="s">
        <v>63</v>
      </c>
      <c r="E622" t="s">
        <v>36</v>
      </c>
      <c r="F622" t="s">
        <v>86</v>
      </c>
      <c r="G622" t="s">
        <v>180</v>
      </c>
      <c r="H622">
        <v>1</v>
      </c>
      <c r="I622" s="21">
        <v>6110</v>
      </c>
      <c r="J622">
        <v>5</v>
      </c>
      <c r="K622" s="21">
        <v>305.5</v>
      </c>
      <c r="L622" s="21">
        <v>5804.5</v>
      </c>
      <c r="M622" s="21">
        <v>4576.25</v>
      </c>
      <c r="N622" s="21">
        <v>1228.25</v>
      </c>
      <c r="O622" t="s">
        <v>91</v>
      </c>
      <c r="P622" s="21">
        <v>624.57000000000005</v>
      </c>
      <c r="Q622" t="s">
        <v>68</v>
      </c>
      <c r="R622" t="s">
        <v>41</v>
      </c>
      <c r="S622">
        <v>2</v>
      </c>
      <c r="T622">
        <v>1</v>
      </c>
      <c r="U622" t="s">
        <v>32</v>
      </c>
      <c r="V622" t="s">
        <v>33</v>
      </c>
      <c r="W622">
        <v>1</v>
      </c>
    </row>
    <row r="623" spans="1:23" x14ac:dyDescent="0.25">
      <c r="A623" t="s">
        <v>1093</v>
      </c>
      <c r="B623" s="1">
        <v>45726</v>
      </c>
      <c r="C623" t="s">
        <v>1094</v>
      </c>
      <c r="E623" t="s">
        <v>26</v>
      </c>
      <c r="F623" t="s">
        <v>27</v>
      </c>
      <c r="G623" t="s">
        <v>164</v>
      </c>
      <c r="H623">
        <v>2</v>
      </c>
      <c r="I623" s="21">
        <v>14795</v>
      </c>
      <c r="J623">
        <v>20</v>
      </c>
      <c r="K623" s="21">
        <v>5918</v>
      </c>
      <c r="L623" s="21">
        <v>23672</v>
      </c>
      <c r="M623" s="21">
        <v>16533.8</v>
      </c>
      <c r="N623" s="21">
        <v>7138.2</v>
      </c>
      <c r="O623" t="s">
        <v>49</v>
      </c>
      <c r="P623" s="21">
        <v>350.8</v>
      </c>
      <c r="Q623" t="s">
        <v>30</v>
      </c>
      <c r="R623" t="s">
        <v>31</v>
      </c>
      <c r="S623">
        <v>5</v>
      </c>
      <c r="T623">
        <v>5</v>
      </c>
      <c r="U623" t="s">
        <v>32</v>
      </c>
      <c r="V623" t="s">
        <v>33</v>
      </c>
      <c r="W623">
        <v>4</v>
      </c>
    </row>
    <row r="624" spans="1:23" x14ac:dyDescent="0.25">
      <c r="A624" t="s">
        <v>1095</v>
      </c>
      <c r="B624" s="1">
        <v>45895</v>
      </c>
      <c r="C624" t="s">
        <v>307</v>
      </c>
      <c r="D624" t="s">
        <v>154</v>
      </c>
      <c r="E624" t="s">
        <v>26</v>
      </c>
      <c r="F624" t="s">
        <v>47</v>
      </c>
      <c r="G624" t="s">
        <v>138</v>
      </c>
      <c r="H624">
        <v>1</v>
      </c>
      <c r="I624" s="21">
        <v>28437</v>
      </c>
      <c r="J624">
        <v>15</v>
      </c>
      <c r="K624" s="21">
        <v>4265.55</v>
      </c>
      <c r="L624" s="21">
        <v>24171.45</v>
      </c>
      <c r="M624" s="21">
        <v>16780.09</v>
      </c>
      <c r="N624" s="21">
        <v>7391.36</v>
      </c>
      <c r="O624" t="s">
        <v>39</v>
      </c>
      <c r="P624" s="21">
        <v>1902.99</v>
      </c>
      <c r="Q624" t="s">
        <v>40</v>
      </c>
      <c r="R624" t="s">
        <v>41</v>
      </c>
      <c r="S624">
        <v>2</v>
      </c>
      <c r="T624">
        <v>5</v>
      </c>
      <c r="U624" t="s">
        <v>56</v>
      </c>
      <c r="V624" t="s">
        <v>33</v>
      </c>
      <c r="W624">
        <v>5</v>
      </c>
    </row>
    <row r="625" spans="1:23" x14ac:dyDescent="0.25">
      <c r="A625" t="s">
        <v>1096</v>
      </c>
      <c r="B625" s="1">
        <v>45999</v>
      </c>
      <c r="C625" t="s">
        <v>1097</v>
      </c>
      <c r="D625" t="s">
        <v>124</v>
      </c>
      <c r="E625" t="s">
        <v>46</v>
      </c>
      <c r="F625" t="s">
        <v>53</v>
      </c>
      <c r="G625" t="s">
        <v>268</v>
      </c>
      <c r="H625">
        <v>1</v>
      </c>
      <c r="I625" s="21">
        <v>9208</v>
      </c>
      <c r="J625">
        <v>0</v>
      </c>
      <c r="K625" s="21">
        <v>0</v>
      </c>
      <c r="L625" s="21">
        <v>9208</v>
      </c>
      <c r="M625" s="21">
        <v>6669.41</v>
      </c>
      <c r="N625" s="21">
        <v>2538.59</v>
      </c>
      <c r="O625" t="s">
        <v>39</v>
      </c>
      <c r="P625" s="21">
        <v>301.77</v>
      </c>
      <c r="Q625" t="s">
        <v>73</v>
      </c>
      <c r="R625" t="s">
        <v>41</v>
      </c>
      <c r="S625">
        <v>2</v>
      </c>
      <c r="T625">
        <v>4</v>
      </c>
      <c r="U625" t="s">
        <v>56</v>
      </c>
      <c r="V625" t="s">
        <v>33</v>
      </c>
      <c r="W625">
        <v>2</v>
      </c>
    </row>
    <row r="626" spans="1:23" x14ac:dyDescent="0.25">
      <c r="A626" t="s">
        <v>1098</v>
      </c>
      <c r="B626" s="1">
        <v>45929</v>
      </c>
      <c r="C626" t="s">
        <v>580</v>
      </c>
      <c r="D626" t="s">
        <v>71</v>
      </c>
      <c r="E626" t="s">
        <v>46</v>
      </c>
      <c r="F626" t="s">
        <v>27</v>
      </c>
      <c r="G626" t="s">
        <v>164</v>
      </c>
      <c r="H626">
        <v>1</v>
      </c>
      <c r="I626" s="21">
        <v>4641</v>
      </c>
      <c r="J626">
        <v>15</v>
      </c>
      <c r="K626" s="21">
        <v>696.15</v>
      </c>
      <c r="L626" s="21">
        <v>3944.85</v>
      </c>
      <c r="M626" s="21">
        <v>2360.87</v>
      </c>
      <c r="N626" s="21">
        <v>1583.98</v>
      </c>
      <c r="O626" t="s">
        <v>49</v>
      </c>
      <c r="P626" s="21">
        <v>412.8</v>
      </c>
      <c r="Q626" t="s">
        <v>73</v>
      </c>
      <c r="R626" t="s">
        <v>31</v>
      </c>
      <c r="S626">
        <v>5</v>
      </c>
      <c r="T626">
        <v>8</v>
      </c>
      <c r="U626" t="s">
        <v>56</v>
      </c>
      <c r="V626" t="s">
        <v>33</v>
      </c>
      <c r="W626">
        <v>4</v>
      </c>
    </row>
    <row r="627" spans="1:23" x14ac:dyDescent="0.25">
      <c r="A627" t="s">
        <v>1099</v>
      </c>
      <c r="B627" s="1">
        <v>45944</v>
      </c>
      <c r="C627" t="s">
        <v>203</v>
      </c>
      <c r="D627" t="s">
        <v>154</v>
      </c>
      <c r="E627" t="s">
        <v>46</v>
      </c>
      <c r="F627" t="s">
        <v>53</v>
      </c>
      <c r="G627" t="s">
        <v>54</v>
      </c>
      <c r="H627">
        <v>1</v>
      </c>
      <c r="I627" s="21">
        <v>98954</v>
      </c>
      <c r="J627">
        <v>15</v>
      </c>
      <c r="K627" s="21">
        <v>14843.1</v>
      </c>
      <c r="L627" s="21">
        <v>84110.9</v>
      </c>
      <c r="M627" s="21">
        <v>63778.53</v>
      </c>
      <c r="N627" s="21">
        <v>20332.37</v>
      </c>
      <c r="O627" t="s">
        <v>39</v>
      </c>
      <c r="P627" s="21">
        <v>1906.75</v>
      </c>
      <c r="Q627" t="s">
        <v>83</v>
      </c>
      <c r="R627" t="s">
        <v>41</v>
      </c>
      <c r="S627">
        <v>2</v>
      </c>
      <c r="T627">
        <v>1</v>
      </c>
      <c r="U627" t="s">
        <v>32</v>
      </c>
      <c r="V627" t="s">
        <v>33</v>
      </c>
      <c r="W627">
        <v>3</v>
      </c>
    </row>
    <row r="628" spans="1:23" x14ac:dyDescent="0.25">
      <c r="A628" t="s">
        <v>1100</v>
      </c>
      <c r="B628" s="1">
        <v>45962</v>
      </c>
      <c r="C628" t="s">
        <v>158</v>
      </c>
      <c r="D628" t="s">
        <v>25</v>
      </c>
      <c r="E628" t="s">
        <v>26</v>
      </c>
      <c r="F628" t="s">
        <v>37</v>
      </c>
      <c r="G628" t="s">
        <v>100</v>
      </c>
      <c r="H628">
        <v>2</v>
      </c>
      <c r="I628" s="21">
        <v>38846</v>
      </c>
      <c r="J628">
        <v>15</v>
      </c>
      <c r="K628" s="21">
        <v>11653.8</v>
      </c>
      <c r="L628" s="21">
        <v>66038.2</v>
      </c>
      <c r="M628" s="21">
        <v>51838.99</v>
      </c>
      <c r="N628" s="21">
        <v>14199.21</v>
      </c>
      <c r="O628" t="s">
        <v>60</v>
      </c>
      <c r="P628" s="21">
        <v>975.37</v>
      </c>
      <c r="Q628" t="s">
        <v>40</v>
      </c>
      <c r="R628" t="s">
        <v>31</v>
      </c>
      <c r="S628">
        <v>5</v>
      </c>
      <c r="T628">
        <v>3</v>
      </c>
      <c r="U628" t="s">
        <v>32</v>
      </c>
      <c r="V628" t="s">
        <v>33</v>
      </c>
      <c r="W628">
        <v>1</v>
      </c>
    </row>
    <row r="629" spans="1:23" x14ac:dyDescent="0.25">
      <c r="A629" t="s">
        <v>1101</v>
      </c>
      <c r="B629" s="1">
        <v>45820</v>
      </c>
      <c r="C629" t="s">
        <v>574</v>
      </c>
      <c r="D629" t="s">
        <v>45</v>
      </c>
      <c r="E629" t="s">
        <v>36</v>
      </c>
      <c r="F629" t="s">
        <v>86</v>
      </c>
      <c r="G629" t="s">
        <v>87</v>
      </c>
      <c r="H629">
        <v>1</v>
      </c>
      <c r="I629" s="21">
        <v>11222</v>
      </c>
      <c r="J629">
        <v>20</v>
      </c>
      <c r="K629" s="21">
        <v>2244.4</v>
      </c>
      <c r="L629" s="21">
        <v>8977.6</v>
      </c>
      <c r="M629" s="21">
        <v>5827.52</v>
      </c>
      <c r="N629" s="21">
        <v>3150.08</v>
      </c>
      <c r="O629" t="s">
        <v>49</v>
      </c>
      <c r="P629" s="21">
        <v>241.57</v>
      </c>
      <c r="Q629" t="s">
        <v>73</v>
      </c>
      <c r="R629" t="s">
        <v>41</v>
      </c>
      <c r="S629">
        <v>2</v>
      </c>
      <c r="T629">
        <v>2</v>
      </c>
      <c r="U629" t="s">
        <v>32</v>
      </c>
      <c r="V629" t="s">
        <v>42</v>
      </c>
    </row>
    <row r="630" spans="1:23" x14ac:dyDescent="0.25">
      <c r="A630" t="s">
        <v>1102</v>
      </c>
      <c r="B630" s="1">
        <v>45884</v>
      </c>
      <c r="C630" t="s">
        <v>237</v>
      </c>
      <c r="D630" t="s">
        <v>154</v>
      </c>
      <c r="E630" t="s">
        <v>46</v>
      </c>
      <c r="F630" t="s">
        <v>53</v>
      </c>
      <c r="G630" t="s">
        <v>82</v>
      </c>
      <c r="H630">
        <v>1</v>
      </c>
      <c r="I630" s="21">
        <v>51550</v>
      </c>
      <c r="J630">
        <v>10</v>
      </c>
      <c r="K630" s="21">
        <v>5155</v>
      </c>
      <c r="L630" s="21">
        <v>46395</v>
      </c>
      <c r="M630" s="21">
        <v>34685.56</v>
      </c>
      <c r="N630" s="21">
        <v>11709.44</v>
      </c>
      <c r="O630" t="s">
        <v>39</v>
      </c>
      <c r="P630" s="21">
        <v>603.04</v>
      </c>
      <c r="Q630" t="s">
        <v>40</v>
      </c>
      <c r="R630" t="s">
        <v>41</v>
      </c>
      <c r="S630">
        <v>2</v>
      </c>
      <c r="T630">
        <v>1</v>
      </c>
      <c r="U630" t="s">
        <v>32</v>
      </c>
      <c r="V630" t="s">
        <v>42</v>
      </c>
    </row>
    <row r="631" spans="1:23" x14ac:dyDescent="0.25">
      <c r="A631" t="s">
        <v>1103</v>
      </c>
      <c r="B631" s="1">
        <v>45971</v>
      </c>
      <c r="C631" t="s">
        <v>500</v>
      </c>
      <c r="D631" t="s">
        <v>67</v>
      </c>
      <c r="E631" t="s">
        <v>36</v>
      </c>
      <c r="F631" t="s">
        <v>53</v>
      </c>
      <c r="G631" t="s">
        <v>268</v>
      </c>
      <c r="H631">
        <v>1</v>
      </c>
      <c r="I631" s="21">
        <v>69035</v>
      </c>
      <c r="J631">
        <v>20</v>
      </c>
      <c r="K631" s="21">
        <v>13807</v>
      </c>
      <c r="L631" s="21">
        <v>55228</v>
      </c>
      <c r="M631" s="21">
        <v>30981.42</v>
      </c>
      <c r="N631" s="21">
        <v>24246.58</v>
      </c>
      <c r="O631" t="s">
        <v>60</v>
      </c>
      <c r="P631" s="21">
        <v>537.53</v>
      </c>
      <c r="Q631" t="s">
        <v>83</v>
      </c>
      <c r="R631" t="s">
        <v>41</v>
      </c>
      <c r="S631">
        <v>2</v>
      </c>
      <c r="T631">
        <v>4</v>
      </c>
      <c r="U631" t="s">
        <v>56</v>
      </c>
      <c r="V631" t="s">
        <v>33</v>
      </c>
      <c r="W631">
        <v>1</v>
      </c>
    </row>
    <row r="632" spans="1:23" x14ac:dyDescent="0.25">
      <c r="A632" t="s">
        <v>1104</v>
      </c>
      <c r="B632" s="1">
        <v>45916</v>
      </c>
      <c r="C632" t="s">
        <v>144</v>
      </c>
      <c r="D632" t="s">
        <v>25</v>
      </c>
      <c r="E632" t="s">
        <v>26</v>
      </c>
      <c r="F632" t="s">
        <v>27</v>
      </c>
      <c r="G632" t="s">
        <v>28</v>
      </c>
      <c r="H632">
        <v>1</v>
      </c>
      <c r="I632" s="21">
        <v>27145</v>
      </c>
      <c r="J632">
        <v>15</v>
      </c>
      <c r="K632" s="21">
        <v>4071.75</v>
      </c>
      <c r="L632" s="21">
        <v>23073.25</v>
      </c>
      <c r="M632" s="21">
        <v>18703.02</v>
      </c>
      <c r="N632" s="21">
        <v>4370.2299999999996</v>
      </c>
      <c r="O632" t="s">
        <v>49</v>
      </c>
      <c r="P632" s="21">
        <v>327.01</v>
      </c>
      <c r="Q632" t="s">
        <v>40</v>
      </c>
      <c r="R632" t="s">
        <v>41</v>
      </c>
      <c r="S632">
        <v>2</v>
      </c>
      <c r="T632">
        <v>1</v>
      </c>
      <c r="U632" t="s">
        <v>32</v>
      </c>
      <c r="V632" t="s">
        <v>33</v>
      </c>
      <c r="W632">
        <v>3</v>
      </c>
    </row>
    <row r="633" spans="1:23" x14ac:dyDescent="0.25">
      <c r="A633" t="s">
        <v>1105</v>
      </c>
      <c r="B633" s="1">
        <v>45876</v>
      </c>
      <c r="C633" t="s">
        <v>1106</v>
      </c>
      <c r="D633" t="s">
        <v>45</v>
      </c>
      <c r="E633" t="s">
        <v>46</v>
      </c>
      <c r="F633" t="s">
        <v>47</v>
      </c>
      <c r="G633" t="s">
        <v>138</v>
      </c>
      <c r="H633">
        <v>3</v>
      </c>
      <c r="I633" s="21">
        <v>52145</v>
      </c>
      <c r="J633">
        <v>0</v>
      </c>
      <c r="K633" s="21">
        <v>0</v>
      </c>
      <c r="L633" s="21">
        <v>156435</v>
      </c>
      <c r="M633" s="21">
        <v>111576.97</v>
      </c>
      <c r="N633" s="21">
        <v>44858.03</v>
      </c>
      <c r="O633" t="s">
        <v>60</v>
      </c>
      <c r="P633" s="21">
        <v>211.62</v>
      </c>
      <c r="Q633" t="s">
        <v>68</v>
      </c>
      <c r="R633" t="s">
        <v>41</v>
      </c>
      <c r="S633">
        <v>2</v>
      </c>
      <c r="T633">
        <v>5</v>
      </c>
      <c r="U633" t="s">
        <v>56</v>
      </c>
      <c r="V633" t="s">
        <v>33</v>
      </c>
      <c r="W633">
        <v>3</v>
      </c>
    </row>
    <row r="634" spans="1:23" x14ac:dyDescent="0.25">
      <c r="A634" t="s">
        <v>1107</v>
      </c>
      <c r="B634" s="1">
        <v>45938</v>
      </c>
      <c r="C634" t="s">
        <v>990</v>
      </c>
      <c r="D634" t="s">
        <v>63</v>
      </c>
      <c r="E634" t="s">
        <v>26</v>
      </c>
      <c r="F634" t="s">
        <v>53</v>
      </c>
      <c r="G634" t="s">
        <v>54</v>
      </c>
      <c r="H634">
        <v>2</v>
      </c>
      <c r="I634" s="21">
        <v>92211</v>
      </c>
      <c r="J634">
        <v>0</v>
      </c>
      <c r="K634" s="21">
        <v>0</v>
      </c>
      <c r="L634" s="21">
        <v>184422</v>
      </c>
      <c r="M634" s="21">
        <v>136736.43</v>
      </c>
      <c r="N634" s="21">
        <v>47685.57</v>
      </c>
      <c r="O634" t="s">
        <v>39</v>
      </c>
      <c r="P634" s="21">
        <v>862.01</v>
      </c>
      <c r="Q634" t="s">
        <v>40</v>
      </c>
      <c r="R634" t="s">
        <v>31</v>
      </c>
      <c r="S634">
        <v>5</v>
      </c>
      <c r="T634">
        <v>4</v>
      </c>
      <c r="U634" t="s">
        <v>32</v>
      </c>
      <c r="V634" t="s">
        <v>33</v>
      </c>
      <c r="W634">
        <v>5</v>
      </c>
    </row>
    <row r="635" spans="1:23" x14ac:dyDescent="0.25">
      <c r="A635" t="s">
        <v>1108</v>
      </c>
      <c r="B635" s="1">
        <v>45886</v>
      </c>
      <c r="C635" t="s">
        <v>332</v>
      </c>
      <c r="D635" t="s">
        <v>45</v>
      </c>
      <c r="E635" t="s">
        <v>26</v>
      </c>
      <c r="F635" t="s">
        <v>27</v>
      </c>
      <c r="G635" t="s">
        <v>28</v>
      </c>
      <c r="H635">
        <v>1</v>
      </c>
      <c r="I635" s="21">
        <v>14660</v>
      </c>
      <c r="J635">
        <v>10</v>
      </c>
      <c r="K635" s="21">
        <v>1466</v>
      </c>
      <c r="L635" s="21">
        <v>13194</v>
      </c>
      <c r="M635" s="21">
        <v>10187.219999999999</v>
      </c>
      <c r="N635" s="21">
        <v>3006.78</v>
      </c>
      <c r="O635" t="s">
        <v>39</v>
      </c>
      <c r="P635" s="21">
        <v>1907.91</v>
      </c>
      <c r="Q635" t="s">
        <v>68</v>
      </c>
      <c r="R635" t="s">
        <v>41</v>
      </c>
      <c r="S635">
        <v>2</v>
      </c>
      <c r="T635">
        <v>1</v>
      </c>
      <c r="U635" t="s">
        <v>32</v>
      </c>
      <c r="V635" t="s">
        <v>33</v>
      </c>
      <c r="W635">
        <v>5</v>
      </c>
    </row>
    <row r="636" spans="1:23" x14ac:dyDescent="0.25">
      <c r="A636" t="s">
        <v>1109</v>
      </c>
      <c r="B636" s="1">
        <v>45739</v>
      </c>
      <c r="C636" t="s">
        <v>668</v>
      </c>
      <c r="D636" t="s">
        <v>63</v>
      </c>
      <c r="E636" t="s">
        <v>46</v>
      </c>
      <c r="F636" t="s">
        <v>37</v>
      </c>
      <c r="G636" t="s">
        <v>161</v>
      </c>
      <c r="H636">
        <v>3</v>
      </c>
      <c r="I636" s="21">
        <v>26629</v>
      </c>
      <c r="J636">
        <v>0</v>
      </c>
      <c r="K636" s="21">
        <v>0</v>
      </c>
      <c r="L636" s="21">
        <v>79887</v>
      </c>
      <c r="M636" s="21">
        <v>48414.62</v>
      </c>
      <c r="N636" s="21">
        <v>31472.38</v>
      </c>
      <c r="O636" t="s">
        <v>60</v>
      </c>
      <c r="P636" s="21">
        <v>871.19</v>
      </c>
      <c r="Q636" t="s">
        <v>73</v>
      </c>
      <c r="R636" t="s">
        <v>41</v>
      </c>
      <c r="S636">
        <v>2</v>
      </c>
      <c r="T636">
        <v>2</v>
      </c>
      <c r="U636" t="s">
        <v>32</v>
      </c>
      <c r="V636" t="s">
        <v>42</v>
      </c>
    </row>
    <row r="637" spans="1:23" x14ac:dyDescent="0.25">
      <c r="A637" t="s">
        <v>1110</v>
      </c>
      <c r="B637" s="1">
        <v>45901</v>
      </c>
      <c r="C637" t="s">
        <v>770</v>
      </c>
      <c r="D637" t="s">
        <v>154</v>
      </c>
      <c r="E637" t="s">
        <v>26</v>
      </c>
      <c r="F637" t="s">
        <v>27</v>
      </c>
      <c r="G637" t="s">
        <v>113</v>
      </c>
      <c r="H637">
        <v>2</v>
      </c>
      <c r="I637" s="21">
        <v>28565</v>
      </c>
      <c r="J637">
        <v>10</v>
      </c>
      <c r="K637" s="21">
        <v>5713</v>
      </c>
      <c r="L637" s="21">
        <v>51417</v>
      </c>
      <c r="M637" s="21">
        <v>36004.17</v>
      </c>
      <c r="N637" s="21">
        <v>15412.83</v>
      </c>
      <c r="O637" t="s">
        <v>29</v>
      </c>
      <c r="P637" s="21">
        <v>2318.71</v>
      </c>
      <c r="Q637" t="s">
        <v>68</v>
      </c>
      <c r="R637" t="s">
        <v>31</v>
      </c>
      <c r="S637">
        <v>5</v>
      </c>
      <c r="T637">
        <v>1</v>
      </c>
      <c r="U637" t="s">
        <v>32</v>
      </c>
      <c r="V637" t="s">
        <v>33</v>
      </c>
      <c r="W637">
        <v>4</v>
      </c>
    </row>
    <row r="638" spans="1:23" x14ac:dyDescent="0.25">
      <c r="A638" t="s">
        <v>1111</v>
      </c>
      <c r="B638" s="1">
        <v>45888</v>
      </c>
      <c r="C638" t="s">
        <v>1112</v>
      </c>
      <c r="D638" t="s">
        <v>79</v>
      </c>
      <c r="E638" t="s">
        <v>46</v>
      </c>
      <c r="F638" t="s">
        <v>27</v>
      </c>
      <c r="G638" t="s">
        <v>28</v>
      </c>
      <c r="H638">
        <v>4</v>
      </c>
      <c r="I638" s="21">
        <v>8713</v>
      </c>
      <c r="J638">
        <v>25</v>
      </c>
      <c r="K638" s="21">
        <v>8713</v>
      </c>
      <c r="L638" s="21">
        <v>26139</v>
      </c>
      <c r="M638" s="21">
        <v>17259.57</v>
      </c>
      <c r="N638" s="21">
        <v>8879.43</v>
      </c>
      <c r="O638" t="s">
        <v>60</v>
      </c>
      <c r="P638" s="21">
        <v>841.42</v>
      </c>
      <c r="Q638" t="s">
        <v>73</v>
      </c>
      <c r="R638" t="s">
        <v>41</v>
      </c>
      <c r="S638">
        <v>2</v>
      </c>
      <c r="T638">
        <v>3</v>
      </c>
      <c r="U638" t="s">
        <v>56</v>
      </c>
      <c r="V638" t="s">
        <v>33</v>
      </c>
      <c r="W638">
        <v>5</v>
      </c>
    </row>
    <row r="639" spans="1:23" x14ac:dyDescent="0.25">
      <c r="A639" t="s">
        <v>1113</v>
      </c>
      <c r="B639" s="1">
        <v>45790</v>
      </c>
      <c r="C639" t="s">
        <v>158</v>
      </c>
      <c r="D639" t="s">
        <v>97</v>
      </c>
      <c r="E639" t="s">
        <v>46</v>
      </c>
      <c r="F639" t="s">
        <v>53</v>
      </c>
      <c r="G639" t="s">
        <v>59</v>
      </c>
      <c r="H639">
        <v>3</v>
      </c>
      <c r="I639" s="21">
        <v>73858</v>
      </c>
      <c r="J639">
        <v>0</v>
      </c>
      <c r="K639" s="21">
        <v>0</v>
      </c>
      <c r="L639" s="21">
        <v>221574</v>
      </c>
      <c r="M639" s="21">
        <v>145798.94</v>
      </c>
      <c r="N639" s="21">
        <v>75775.06</v>
      </c>
      <c r="O639" t="s">
        <v>29</v>
      </c>
      <c r="P639" s="21">
        <v>1267.25</v>
      </c>
      <c r="Q639" t="s">
        <v>68</v>
      </c>
      <c r="R639" t="s">
        <v>41</v>
      </c>
      <c r="S639">
        <v>2</v>
      </c>
      <c r="T639">
        <v>2</v>
      </c>
      <c r="U639" t="s">
        <v>32</v>
      </c>
      <c r="V639" t="s">
        <v>33</v>
      </c>
      <c r="W639">
        <v>5</v>
      </c>
    </row>
    <row r="640" spans="1:23" x14ac:dyDescent="0.25">
      <c r="A640" t="s">
        <v>1114</v>
      </c>
      <c r="B640" s="1">
        <v>45784</v>
      </c>
      <c r="C640" t="s">
        <v>898</v>
      </c>
      <c r="D640" t="s">
        <v>71</v>
      </c>
      <c r="E640" t="s">
        <v>46</v>
      </c>
      <c r="F640" t="s">
        <v>53</v>
      </c>
      <c r="G640" t="s">
        <v>54</v>
      </c>
      <c r="H640">
        <v>2</v>
      </c>
      <c r="I640" s="21">
        <v>90117</v>
      </c>
      <c r="J640">
        <v>0</v>
      </c>
      <c r="K640" s="21">
        <v>0</v>
      </c>
      <c r="L640" s="21">
        <v>180234</v>
      </c>
      <c r="M640" s="21">
        <v>128305.59</v>
      </c>
      <c r="N640" s="21">
        <v>51928.41</v>
      </c>
      <c r="O640" t="s">
        <v>60</v>
      </c>
      <c r="P640" s="21">
        <v>1602.57</v>
      </c>
      <c r="Q640" t="s">
        <v>68</v>
      </c>
      <c r="R640" t="s">
        <v>41</v>
      </c>
      <c r="S640">
        <v>2</v>
      </c>
      <c r="T640">
        <v>0</v>
      </c>
      <c r="U640" t="s">
        <v>32</v>
      </c>
      <c r="V640" t="s">
        <v>50</v>
      </c>
      <c r="W640">
        <v>3</v>
      </c>
    </row>
    <row r="641" spans="1:23" x14ac:dyDescent="0.25">
      <c r="A641" t="s">
        <v>1115</v>
      </c>
      <c r="B641" s="1">
        <v>45984</v>
      </c>
      <c r="C641" t="s">
        <v>1116</v>
      </c>
      <c r="D641" t="s">
        <v>25</v>
      </c>
      <c r="E641" t="s">
        <v>26</v>
      </c>
      <c r="F641" t="s">
        <v>37</v>
      </c>
      <c r="G641" t="s">
        <v>100</v>
      </c>
      <c r="H641">
        <v>3</v>
      </c>
      <c r="I641" s="21">
        <v>16650</v>
      </c>
      <c r="J641">
        <v>0</v>
      </c>
      <c r="K641" s="21">
        <v>0</v>
      </c>
      <c r="L641" s="21">
        <v>49950</v>
      </c>
      <c r="M641" s="21">
        <v>33646.199999999997</v>
      </c>
      <c r="N641" s="21">
        <v>16303.8</v>
      </c>
      <c r="O641" t="s">
        <v>55</v>
      </c>
      <c r="P641" s="21">
        <v>2355.42</v>
      </c>
      <c r="Q641" t="s">
        <v>68</v>
      </c>
      <c r="R641" t="s">
        <v>31</v>
      </c>
      <c r="S641">
        <v>5</v>
      </c>
      <c r="T641">
        <v>1</v>
      </c>
      <c r="U641" t="s">
        <v>32</v>
      </c>
      <c r="V641" t="s">
        <v>50</v>
      </c>
      <c r="W641">
        <v>4</v>
      </c>
    </row>
    <row r="642" spans="1:23" x14ac:dyDescent="0.25">
      <c r="A642" t="s">
        <v>1117</v>
      </c>
      <c r="B642" s="1">
        <v>45799</v>
      </c>
      <c r="C642" t="s">
        <v>612</v>
      </c>
      <c r="D642" t="s">
        <v>79</v>
      </c>
      <c r="E642" t="s">
        <v>46</v>
      </c>
      <c r="F642" t="s">
        <v>86</v>
      </c>
      <c r="G642" t="s">
        <v>87</v>
      </c>
      <c r="H642">
        <v>1</v>
      </c>
      <c r="I642" s="21">
        <v>64150</v>
      </c>
      <c r="J642">
        <v>20</v>
      </c>
      <c r="K642" s="21">
        <v>12830</v>
      </c>
      <c r="L642" s="21">
        <v>51320</v>
      </c>
      <c r="M642" s="21">
        <v>35157.18</v>
      </c>
      <c r="N642" s="21">
        <v>16162.82</v>
      </c>
      <c r="O642" t="s">
        <v>55</v>
      </c>
      <c r="P642" s="21">
        <v>2316.36</v>
      </c>
      <c r="Q642" t="s">
        <v>68</v>
      </c>
      <c r="R642" t="s">
        <v>41</v>
      </c>
      <c r="S642">
        <v>2</v>
      </c>
      <c r="T642">
        <v>1</v>
      </c>
      <c r="U642" t="s">
        <v>32</v>
      </c>
      <c r="V642" t="s">
        <v>33</v>
      </c>
      <c r="W642">
        <v>5</v>
      </c>
    </row>
    <row r="643" spans="1:23" x14ac:dyDescent="0.25">
      <c r="A643" t="s">
        <v>1118</v>
      </c>
      <c r="B643" s="1">
        <v>45924</v>
      </c>
      <c r="C643" t="s">
        <v>1119</v>
      </c>
      <c r="D643" t="s">
        <v>90</v>
      </c>
      <c r="E643" t="s">
        <v>46</v>
      </c>
      <c r="F643" t="s">
        <v>47</v>
      </c>
      <c r="G643" t="s">
        <v>105</v>
      </c>
      <c r="H643">
        <v>2</v>
      </c>
      <c r="I643" s="21">
        <v>37815</v>
      </c>
      <c r="J643">
        <v>10</v>
      </c>
      <c r="K643" s="21">
        <v>7563</v>
      </c>
      <c r="L643" s="21">
        <v>68067</v>
      </c>
      <c r="M643" s="21">
        <v>53671.27</v>
      </c>
      <c r="N643" s="21">
        <v>14395.73</v>
      </c>
      <c r="O643" t="s">
        <v>49</v>
      </c>
      <c r="P643" s="21">
        <v>399.47</v>
      </c>
      <c r="Q643" t="s">
        <v>40</v>
      </c>
      <c r="R643" t="s">
        <v>31</v>
      </c>
      <c r="S643">
        <v>5</v>
      </c>
      <c r="T643">
        <v>5</v>
      </c>
      <c r="U643" t="s">
        <v>32</v>
      </c>
      <c r="V643" t="s">
        <v>42</v>
      </c>
    </row>
    <row r="644" spans="1:23" x14ac:dyDescent="0.25">
      <c r="A644" t="s">
        <v>1120</v>
      </c>
      <c r="B644" s="1">
        <v>45906</v>
      </c>
      <c r="C644" t="s">
        <v>768</v>
      </c>
      <c r="D644" t="s">
        <v>90</v>
      </c>
      <c r="E644" t="s">
        <v>36</v>
      </c>
      <c r="F644" t="s">
        <v>53</v>
      </c>
      <c r="G644" t="s">
        <v>54</v>
      </c>
      <c r="H644">
        <v>2</v>
      </c>
      <c r="I644" s="21">
        <v>104046</v>
      </c>
      <c r="J644">
        <v>20</v>
      </c>
      <c r="K644" s="21">
        <v>41618.400000000001</v>
      </c>
      <c r="L644" s="21">
        <v>166473.60000000001</v>
      </c>
      <c r="M644" s="21">
        <v>110824.62</v>
      </c>
      <c r="N644" s="21">
        <v>55648.98</v>
      </c>
      <c r="O644" t="s">
        <v>39</v>
      </c>
      <c r="P644" s="21">
        <v>2148.2600000000002</v>
      </c>
      <c r="Q644" t="s">
        <v>40</v>
      </c>
      <c r="R644" t="s">
        <v>31</v>
      </c>
      <c r="S644">
        <v>5</v>
      </c>
      <c r="T644">
        <v>4</v>
      </c>
      <c r="U644" t="s">
        <v>32</v>
      </c>
      <c r="V644" t="s">
        <v>33</v>
      </c>
      <c r="W644">
        <v>2</v>
      </c>
    </row>
    <row r="645" spans="1:23" x14ac:dyDescent="0.25">
      <c r="A645" t="s">
        <v>1121</v>
      </c>
      <c r="B645" s="1">
        <v>45978</v>
      </c>
      <c r="C645" t="s">
        <v>1078</v>
      </c>
      <c r="D645" t="s">
        <v>71</v>
      </c>
      <c r="E645" t="s">
        <v>46</v>
      </c>
      <c r="F645" t="s">
        <v>53</v>
      </c>
      <c r="G645" t="s">
        <v>268</v>
      </c>
      <c r="H645">
        <v>3</v>
      </c>
      <c r="I645" s="21">
        <v>113274</v>
      </c>
      <c r="J645">
        <v>10</v>
      </c>
      <c r="K645" s="21">
        <v>33982.199999999997</v>
      </c>
      <c r="L645" s="21">
        <v>305839.8</v>
      </c>
      <c r="M645" s="21">
        <v>221229.1</v>
      </c>
      <c r="N645" s="21">
        <v>84610.7</v>
      </c>
      <c r="O645" t="s">
        <v>49</v>
      </c>
      <c r="P645" s="21">
        <v>271.20999999999998</v>
      </c>
      <c r="Q645" t="s">
        <v>68</v>
      </c>
      <c r="R645" t="s">
        <v>41</v>
      </c>
      <c r="S645">
        <v>2</v>
      </c>
      <c r="T645">
        <v>1</v>
      </c>
      <c r="U645" t="s">
        <v>32</v>
      </c>
      <c r="V645" t="s">
        <v>33</v>
      </c>
      <c r="W645">
        <v>5</v>
      </c>
    </row>
    <row r="646" spans="1:23" x14ac:dyDescent="0.25">
      <c r="A646" t="s">
        <v>1122</v>
      </c>
      <c r="B646" s="1">
        <v>45780</v>
      </c>
      <c r="C646" t="s">
        <v>388</v>
      </c>
      <c r="D646" t="s">
        <v>67</v>
      </c>
      <c r="E646" t="s">
        <v>26</v>
      </c>
      <c r="F646" t="s">
        <v>86</v>
      </c>
      <c r="G646" t="s">
        <v>94</v>
      </c>
      <c r="H646">
        <v>2</v>
      </c>
      <c r="I646" s="21">
        <v>83912</v>
      </c>
      <c r="J646">
        <v>0</v>
      </c>
      <c r="K646" s="21">
        <v>0</v>
      </c>
      <c r="L646" s="21">
        <v>167824</v>
      </c>
      <c r="M646" s="21">
        <v>115946.31</v>
      </c>
      <c r="N646" s="21">
        <v>51877.69</v>
      </c>
      <c r="O646" t="s">
        <v>39</v>
      </c>
      <c r="P646" s="21">
        <v>1496.14</v>
      </c>
      <c r="Q646" t="s">
        <v>73</v>
      </c>
      <c r="R646" t="s">
        <v>31</v>
      </c>
      <c r="S646">
        <v>5</v>
      </c>
      <c r="T646">
        <v>4</v>
      </c>
      <c r="U646" t="s">
        <v>32</v>
      </c>
      <c r="V646" t="s">
        <v>33</v>
      </c>
      <c r="W646">
        <v>3</v>
      </c>
    </row>
    <row r="647" spans="1:23" x14ac:dyDescent="0.25">
      <c r="A647" t="s">
        <v>1123</v>
      </c>
      <c r="B647" s="1">
        <v>45798</v>
      </c>
      <c r="C647" t="s">
        <v>1003</v>
      </c>
      <c r="D647" t="s">
        <v>63</v>
      </c>
      <c r="E647" t="s">
        <v>26</v>
      </c>
      <c r="F647" t="s">
        <v>86</v>
      </c>
      <c r="G647" t="s">
        <v>87</v>
      </c>
      <c r="H647">
        <v>2</v>
      </c>
      <c r="I647" s="21">
        <v>22849</v>
      </c>
      <c r="J647">
        <v>15</v>
      </c>
      <c r="K647" s="21">
        <v>6854.7</v>
      </c>
      <c r="L647" s="21">
        <v>38843.300000000003</v>
      </c>
      <c r="M647" s="21">
        <v>24062.36</v>
      </c>
      <c r="N647" s="21">
        <v>14780.94</v>
      </c>
      <c r="O647" t="s">
        <v>60</v>
      </c>
      <c r="P647" s="21">
        <v>686.82</v>
      </c>
      <c r="Q647" t="s">
        <v>73</v>
      </c>
      <c r="R647" t="s">
        <v>31</v>
      </c>
      <c r="S647">
        <v>5</v>
      </c>
      <c r="T647">
        <v>4</v>
      </c>
      <c r="U647" t="s">
        <v>32</v>
      </c>
      <c r="V647" t="s">
        <v>33</v>
      </c>
      <c r="W647">
        <v>5</v>
      </c>
    </row>
    <row r="648" spans="1:23" x14ac:dyDescent="0.25">
      <c r="A648" t="s">
        <v>1124</v>
      </c>
      <c r="B648" s="1">
        <v>45883</v>
      </c>
      <c r="C648" t="s">
        <v>203</v>
      </c>
      <c r="D648" t="s">
        <v>63</v>
      </c>
      <c r="E648" t="s">
        <v>26</v>
      </c>
      <c r="F648" t="s">
        <v>47</v>
      </c>
      <c r="G648" t="s">
        <v>64</v>
      </c>
      <c r="H648">
        <v>2</v>
      </c>
      <c r="I648" s="21">
        <v>33597</v>
      </c>
      <c r="J648">
        <v>10</v>
      </c>
      <c r="K648" s="21">
        <v>6719.4</v>
      </c>
      <c r="L648" s="21">
        <v>60474.6</v>
      </c>
      <c r="M648" s="21">
        <v>43773.93</v>
      </c>
      <c r="N648" s="21">
        <v>16700.669999999998</v>
      </c>
      <c r="O648" t="s">
        <v>39</v>
      </c>
      <c r="P648" s="21">
        <v>1061.03</v>
      </c>
      <c r="Q648" t="s">
        <v>30</v>
      </c>
      <c r="R648" t="s">
        <v>41</v>
      </c>
      <c r="S648">
        <v>2</v>
      </c>
      <c r="T648">
        <v>4</v>
      </c>
      <c r="U648" t="s">
        <v>32</v>
      </c>
      <c r="V648" t="s">
        <v>42</v>
      </c>
    </row>
    <row r="649" spans="1:23" x14ac:dyDescent="0.25">
      <c r="A649" t="s">
        <v>1125</v>
      </c>
      <c r="B649" s="1">
        <v>45697</v>
      </c>
      <c r="C649" t="s">
        <v>943</v>
      </c>
      <c r="D649" t="s">
        <v>154</v>
      </c>
      <c r="E649" t="s">
        <v>36</v>
      </c>
      <c r="F649" t="s">
        <v>47</v>
      </c>
      <c r="G649" t="s">
        <v>64</v>
      </c>
      <c r="H649">
        <v>1</v>
      </c>
      <c r="I649" s="21">
        <v>29437</v>
      </c>
      <c r="J649">
        <v>5</v>
      </c>
      <c r="K649" s="21">
        <v>1471.85</v>
      </c>
      <c r="L649" s="21">
        <v>27965.15</v>
      </c>
      <c r="M649" s="21">
        <v>16514.09</v>
      </c>
      <c r="N649" s="21">
        <v>11451.06</v>
      </c>
      <c r="O649" t="s">
        <v>60</v>
      </c>
      <c r="P649" s="21">
        <v>652.97</v>
      </c>
      <c r="Q649" t="s">
        <v>30</v>
      </c>
      <c r="R649" t="s">
        <v>31</v>
      </c>
      <c r="S649">
        <v>5</v>
      </c>
      <c r="T649">
        <v>5</v>
      </c>
      <c r="U649" t="s">
        <v>32</v>
      </c>
      <c r="V649" t="s">
        <v>42</v>
      </c>
    </row>
    <row r="650" spans="1:23" x14ac:dyDescent="0.25">
      <c r="A650" t="s">
        <v>1126</v>
      </c>
      <c r="B650" s="1">
        <v>45804</v>
      </c>
      <c r="C650" t="s">
        <v>203</v>
      </c>
      <c r="D650" t="s">
        <v>97</v>
      </c>
      <c r="E650" t="s">
        <v>26</v>
      </c>
      <c r="F650" t="s">
        <v>27</v>
      </c>
      <c r="G650" t="s">
        <v>28</v>
      </c>
      <c r="H650">
        <v>1</v>
      </c>
      <c r="I650" s="21">
        <v>14297</v>
      </c>
      <c r="J650">
        <v>0</v>
      </c>
      <c r="K650" s="21">
        <v>0</v>
      </c>
      <c r="L650" s="21">
        <v>14297</v>
      </c>
      <c r="M650" s="21">
        <v>8911.2900000000009</v>
      </c>
      <c r="N650" s="21">
        <v>5385.71</v>
      </c>
      <c r="O650" t="s">
        <v>91</v>
      </c>
      <c r="P650" s="21">
        <v>328.74</v>
      </c>
      <c r="Q650" t="s">
        <v>40</v>
      </c>
      <c r="R650" t="s">
        <v>31</v>
      </c>
      <c r="S650">
        <v>5</v>
      </c>
      <c r="T650">
        <v>6</v>
      </c>
      <c r="U650" t="s">
        <v>32</v>
      </c>
      <c r="V650" t="s">
        <v>42</v>
      </c>
    </row>
    <row r="651" spans="1:23" x14ac:dyDescent="0.25">
      <c r="A651" t="s">
        <v>1127</v>
      </c>
      <c r="B651" s="1">
        <v>45778</v>
      </c>
      <c r="C651" t="s">
        <v>1094</v>
      </c>
      <c r="D651" t="s">
        <v>63</v>
      </c>
      <c r="E651" t="s">
        <v>46</v>
      </c>
      <c r="F651" t="s">
        <v>37</v>
      </c>
      <c r="G651" t="s">
        <v>161</v>
      </c>
      <c r="H651">
        <v>3</v>
      </c>
      <c r="I651" s="21">
        <v>6636</v>
      </c>
      <c r="J651">
        <v>10</v>
      </c>
      <c r="K651" s="21">
        <v>1990.8</v>
      </c>
      <c r="L651" s="21">
        <v>17917.2</v>
      </c>
      <c r="M651" s="21">
        <v>12524.72</v>
      </c>
      <c r="N651" s="21">
        <v>5392.48</v>
      </c>
      <c r="O651" t="s">
        <v>49</v>
      </c>
      <c r="P651" s="21">
        <v>423.81</v>
      </c>
      <c r="Q651" t="s">
        <v>83</v>
      </c>
      <c r="R651" t="s">
        <v>31</v>
      </c>
      <c r="S651">
        <v>5</v>
      </c>
      <c r="T651">
        <v>6</v>
      </c>
      <c r="U651" t="s">
        <v>56</v>
      </c>
      <c r="V651" t="s">
        <v>33</v>
      </c>
      <c r="W651">
        <v>5</v>
      </c>
    </row>
    <row r="652" spans="1:23" x14ac:dyDescent="0.25">
      <c r="A652" t="s">
        <v>1128</v>
      </c>
      <c r="B652" s="1">
        <v>45797</v>
      </c>
      <c r="C652" t="s">
        <v>1129</v>
      </c>
      <c r="D652" t="s">
        <v>90</v>
      </c>
      <c r="E652" t="s">
        <v>46</v>
      </c>
      <c r="F652" t="s">
        <v>47</v>
      </c>
      <c r="G652" t="s">
        <v>64</v>
      </c>
      <c r="H652">
        <v>2</v>
      </c>
      <c r="I652" s="21">
        <v>38279</v>
      </c>
      <c r="J652">
        <v>0</v>
      </c>
      <c r="K652" s="21">
        <v>0</v>
      </c>
      <c r="L652" s="21">
        <v>76558</v>
      </c>
      <c r="M652" s="21">
        <v>48697.91</v>
      </c>
      <c r="N652" s="21">
        <v>27860.09</v>
      </c>
      <c r="O652" t="s">
        <v>91</v>
      </c>
      <c r="P652" s="21">
        <v>467.73</v>
      </c>
      <c r="Q652" t="s">
        <v>83</v>
      </c>
      <c r="R652" t="s">
        <v>31</v>
      </c>
      <c r="S652">
        <v>5</v>
      </c>
      <c r="T652">
        <v>1</v>
      </c>
      <c r="U652" t="s">
        <v>32</v>
      </c>
      <c r="V652" t="s">
        <v>50</v>
      </c>
      <c r="W652">
        <v>4</v>
      </c>
    </row>
    <row r="653" spans="1:23" x14ac:dyDescent="0.25">
      <c r="A653" t="s">
        <v>1130</v>
      </c>
      <c r="B653" s="1">
        <v>45829</v>
      </c>
      <c r="C653" t="s">
        <v>1131</v>
      </c>
      <c r="D653" t="s">
        <v>97</v>
      </c>
      <c r="E653" t="s">
        <v>46</v>
      </c>
      <c r="F653" t="s">
        <v>27</v>
      </c>
      <c r="G653" t="s">
        <v>76</v>
      </c>
      <c r="H653">
        <v>1</v>
      </c>
      <c r="I653" s="21">
        <v>17582</v>
      </c>
      <c r="J653">
        <v>20</v>
      </c>
      <c r="K653" s="21">
        <v>3516.4</v>
      </c>
      <c r="L653" s="21">
        <v>14065.6</v>
      </c>
      <c r="M653" s="21">
        <v>10688.41</v>
      </c>
      <c r="N653" s="21">
        <v>3377.19</v>
      </c>
      <c r="O653" t="s">
        <v>29</v>
      </c>
      <c r="P653" s="21">
        <v>779.02</v>
      </c>
      <c r="Q653" t="s">
        <v>30</v>
      </c>
      <c r="R653" t="s">
        <v>41</v>
      </c>
      <c r="S653">
        <v>2</v>
      </c>
      <c r="T653">
        <v>4</v>
      </c>
      <c r="U653" t="s">
        <v>56</v>
      </c>
      <c r="V653" t="s">
        <v>33</v>
      </c>
      <c r="W653">
        <v>1</v>
      </c>
    </row>
    <row r="654" spans="1:23" x14ac:dyDescent="0.25">
      <c r="A654" t="s">
        <v>1132</v>
      </c>
      <c r="B654" s="1">
        <v>45821</v>
      </c>
      <c r="C654" t="s">
        <v>1133</v>
      </c>
      <c r="D654" t="s">
        <v>154</v>
      </c>
      <c r="E654" t="s">
        <v>26</v>
      </c>
      <c r="F654" t="s">
        <v>37</v>
      </c>
      <c r="G654" t="s">
        <v>313</v>
      </c>
      <c r="H654">
        <v>1</v>
      </c>
      <c r="I654" s="21">
        <v>20319</v>
      </c>
      <c r="J654">
        <v>10</v>
      </c>
      <c r="K654" s="21">
        <v>2031.9</v>
      </c>
      <c r="L654" s="21">
        <v>18287.099999999999</v>
      </c>
      <c r="M654" s="21">
        <v>11417.15</v>
      </c>
      <c r="N654" s="21">
        <v>6869.95</v>
      </c>
      <c r="O654" t="s">
        <v>39</v>
      </c>
      <c r="P654" s="21">
        <v>1212.0999999999999</v>
      </c>
      <c r="Q654" t="s">
        <v>68</v>
      </c>
      <c r="R654" t="s">
        <v>41</v>
      </c>
      <c r="S654">
        <v>2</v>
      </c>
      <c r="T654">
        <v>5</v>
      </c>
      <c r="U654" t="s">
        <v>32</v>
      </c>
      <c r="V654" t="s">
        <v>42</v>
      </c>
    </row>
    <row r="655" spans="1:23" x14ac:dyDescent="0.25">
      <c r="A655" t="s">
        <v>1134</v>
      </c>
      <c r="B655" s="1">
        <v>45934</v>
      </c>
      <c r="C655" t="s">
        <v>1007</v>
      </c>
      <c r="D655" t="s">
        <v>97</v>
      </c>
      <c r="E655" t="s">
        <v>26</v>
      </c>
      <c r="F655" t="s">
        <v>27</v>
      </c>
      <c r="G655" t="s">
        <v>164</v>
      </c>
      <c r="H655">
        <v>1</v>
      </c>
      <c r="I655" s="21">
        <v>6598</v>
      </c>
      <c r="J655">
        <v>10</v>
      </c>
      <c r="K655" s="21">
        <v>659.8</v>
      </c>
      <c r="L655" s="21">
        <v>5938.2</v>
      </c>
      <c r="M655" s="21">
        <v>4288.74</v>
      </c>
      <c r="N655" s="21">
        <v>1649.46</v>
      </c>
      <c r="O655" t="s">
        <v>60</v>
      </c>
      <c r="P655" s="21">
        <v>1991.22</v>
      </c>
      <c r="Q655" t="s">
        <v>68</v>
      </c>
      <c r="R655" t="s">
        <v>31</v>
      </c>
      <c r="S655">
        <v>5</v>
      </c>
      <c r="T655">
        <v>1</v>
      </c>
      <c r="U655" t="s">
        <v>32</v>
      </c>
      <c r="V655" t="s">
        <v>42</v>
      </c>
    </row>
    <row r="656" spans="1:23" x14ac:dyDescent="0.25">
      <c r="A656" t="s">
        <v>1135</v>
      </c>
      <c r="B656" s="1">
        <v>45699</v>
      </c>
      <c r="C656" t="s">
        <v>1136</v>
      </c>
      <c r="D656" t="s">
        <v>63</v>
      </c>
      <c r="E656" t="s">
        <v>26</v>
      </c>
      <c r="F656" t="s">
        <v>47</v>
      </c>
      <c r="G656" t="s">
        <v>48</v>
      </c>
      <c r="H656">
        <v>1</v>
      </c>
      <c r="I656" s="21">
        <v>26664</v>
      </c>
      <c r="J656">
        <v>10</v>
      </c>
      <c r="K656" s="21">
        <v>2666.4</v>
      </c>
      <c r="L656" s="21">
        <v>23997.599999999999</v>
      </c>
      <c r="M656" s="21">
        <v>14211.97</v>
      </c>
      <c r="N656" s="21">
        <v>9785.6299999999992</v>
      </c>
      <c r="O656" t="s">
        <v>39</v>
      </c>
      <c r="P656" s="21">
        <v>563.27</v>
      </c>
      <c r="Q656" t="s">
        <v>68</v>
      </c>
      <c r="R656" t="s">
        <v>31</v>
      </c>
      <c r="S656">
        <v>5</v>
      </c>
      <c r="T656">
        <v>10</v>
      </c>
      <c r="U656" t="s">
        <v>56</v>
      </c>
      <c r="V656" t="s">
        <v>33</v>
      </c>
      <c r="W656">
        <v>5</v>
      </c>
    </row>
    <row r="657" spans="1:23" x14ac:dyDescent="0.25">
      <c r="A657" t="s">
        <v>1137</v>
      </c>
      <c r="B657" s="1">
        <v>45728</v>
      </c>
      <c r="C657" t="s">
        <v>1138</v>
      </c>
      <c r="D657" t="s">
        <v>45</v>
      </c>
      <c r="E657" t="s">
        <v>26</v>
      </c>
      <c r="F657" t="s">
        <v>86</v>
      </c>
      <c r="G657" t="s">
        <v>110</v>
      </c>
      <c r="H657">
        <v>1</v>
      </c>
      <c r="I657" s="21">
        <v>45795</v>
      </c>
      <c r="J657">
        <v>10</v>
      </c>
      <c r="K657" s="21">
        <v>4579.5</v>
      </c>
      <c r="L657" s="21">
        <v>41215.5</v>
      </c>
      <c r="M657" s="21">
        <v>26382.25</v>
      </c>
      <c r="N657" s="21">
        <v>14833.25</v>
      </c>
      <c r="O657" t="s">
        <v>60</v>
      </c>
      <c r="P657" s="21">
        <v>908.44</v>
      </c>
      <c r="Q657" t="s">
        <v>40</v>
      </c>
      <c r="R657" t="s">
        <v>41</v>
      </c>
      <c r="S657">
        <v>2</v>
      </c>
      <c r="T657">
        <v>2</v>
      </c>
      <c r="U657" t="s">
        <v>32</v>
      </c>
      <c r="V657" t="s">
        <v>33</v>
      </c>
      <c r="W657">
        <v>4</v>
      </c>
    </row>
    <row r="658" spans="1:23" x14ac:dyDescent="0.25">
      <c r="A658" t="s">
        <v>1139</v>
      </c>
      <c r="B658" s="1">
        <v>45735</v>
      </c>
      <c r="C658" t="s">
        <v>1060</v>
      </c>
      <c r="D658" t="s">
        <v>71</v>
      </c>
      <c r="E658" t="s">
        <v>36</v>
      </c>
      <c r="F658" t="s">
        <v>27</v>
      </c>
      <c r="G658" t="s">
        <v>113</v>
      </c>
      <c r="H658">
        <v>1</v>
      </c>
      <c r="I658" s="21">
        <v>28634</v>
      </c>
      <c r="J658">
        <v>0</v>
      </c>
      <c r="K658" s="21">
        <v>0</v>
      </c>
      <c r="L658" s="21">
        <v>28634</v>
      </c>
      <c r="M658" s="21">
        <v>22076.93</v>
      </c>
      <c r="N658" s="21">
        <v>6557.07</v>
      </c>
      <c r="O658" t="s">
        <v>55</v>
      </c>
      <c r="P658" s="21">
        <v>1848.35</v>
      </c>
      <c r="Q658" t="s">
        <v>73</v>
      </c>
      <c r="R658" t="s">
        <v>31</v>
      </c>
      <c r="S658">
        <v>5</v>
      </c>
      <c r="T658">
        <v>5</v>
      </c>
      <c r="U658" t="s">
        <v>32</v>
      </c>
      <c r="V658" t="s">
        <v>33</v>
      </c>
      <c r="W658">
        <v>5</v>
      </c>
    </row>
    <row r="659" spans="1:23" x14ac:dyDescent="0.25">
      <c r="A659" t="s">
        <v>1140</v>
      </c>
      <c r="B659" s="1">
        <v>45776</v>
      </c>
      <c r="C659" t="s">
        <v>337</v>
      </c>
      <c r="D659" t="s">
        <v>71</v>
      </c>
      <c r="E659" t="s">
        <v>46</v>
      </c>
      <c r="F659" t="s">
        <v>86</v>
      </c>
      <c r="G659" t="s">
        <v>180</v>
      </c>
      <c r="H659">
        <v>2</v>
      </c>
      <c r="I659" s="21">
        <v>71921</v>
      </c>
      <c r="J659">
        <v>0</v>
      </c>
      <c r="K659" s="21">
        <v>0</v>
      </c>
      <c r="L659" s="21">
        <v>143842</v>
      </c>
      <c r="M659" s="21">
        <v>82003.64</v>
      </c>
      <c r="N659" s="21">
        <v>61838.36</v>
      </c>
      <c r="O659" t="s">
        <v>60</v>
      </c>
      <c r="P659" s="21">
        <v>1303.27</v>
      </c>
      <c r="Q659" t="s">
        <v>40</v>
      </c>
      <c r="R659" t="s">
        <v>41</v>
      </c>
      <c r="S659">
        <v>2</v>
      </c>
      <c r="T659">
        <v>1</v>
      </c>
      <c r="U659" t="s">
        <v>32</v>
      </c>
      <c r="V659" t="s">
        <v>33</v>
      </c>
      <c r="W659">
        <v>5</v>
      </c>
    </row>
    <row r="660" spans="1:23" x14ac:dyDescent="0.25">
      <c r="A660" t="s">
        <v>1141</v>
      </c>
      <c r="B660" s="1">
        <v>45854</v>
      </c>
      <c r="C660" t="s">
        <v>668</v>
      </c>
      <c r="D660" t="s">
        <v>67</v>
      </c>
      <c r="E660" t="s">
        <v>46</v>
      </c>
      <c r="F660" t="s">
        <v>27</v>
      </c>
      <c r="G660" t="s">
        <v>164</v>
      </c>
      <c r="H660">
        <v>2</v>
      </c>
      <c r="I660" s="21">
        <v>5338</v>
      </c>
      <c r="J660">
        <v>10</v>
      </c>
      <c r="K660" s="21">
        <v>1067.5999999999999</v>
      </c>
      <c r="L660" s="21">
        <v>9608.4</v>
      </c>
      <c r="M660" s="21">
        <v>6680.07</v>
      </c>
      <c r="N660" s="21">
        <v>2928.33</v>
      </c>
      <c r="O660" t="s">
        <v>91</v>
      </c>
      <c r="P660" s="21">
        <v>1285.23</v>
      </c>
      <c r="Q660" t="s">
        <v>83</v>
      </c>
      <c r="R660" t="s">
        <v>41</v>
      </c>
      <c r="S660">
        <v>2</v>
      </c>
      <c r="T660">
        <v>2</v>
      </c>
      <c r="U660" t="s">
        <v>32</v>
      </c>
      <c r="V660" t="s">
        <v>33</v>
      </c>
      <c r="W660">
        <v>1</v>
      </c>
    </row>
    <row r="661" spans="1:23" x14ac:dyDescent="0.25">
      <c r="A661" t="s">
        <v>1142</v>
      </c>
      <c r="B661" s="1">
        <v>46013</v>
      </c>
      <c r="C661" t="s">
        <v>1033</v>
      </c>
      <c r="D661" t="s">
        <v>154</v>
      </c>
      <c r="E661" t="s">
        <v>46</v>
      </c>
      <c r="F661" t="s">
        <v>86</v>
      </c>
      <c r="G661" t="s">
        <v>127</v>
      </c>
      <c r="H661">
        <v>1</v>
      </c>
      <c r="I661" s="21">
        <v>38142</v>
      </c>
      <c r="J661">
        <v>10</v>
      </c>
      <c r="K661" s="21">
        <v>3814.2</v>
      </c>
      <c r="L661" s="21">
        <v>34327.800000000003</v>
      </c>
      <c r="M661" s="21">
        <v>24039.83</v>
      </c>
      <c r="N661" s="21">
        <v>10287.969999999999</v>
      </c>
      <c r="O661" t="s">
        <v>29</v>
      </c>
      <c r="P661" s="21">
        <v>1975.83</v>
      </c>
      <c r="Q661" t="s">
        <v>83</v>
      </c>
      <c r="R661" t="s">
        <v>31</v>
      </c>
      <c r="S661">
        <v>5</v>
      </c>
      <c r="T661">
        <v>4</v>
      </c>
      <c r="U661" t="s">
        <v>32</v>
      </c>
      <c r="V661" t="s">
        <v>33</v>
      </c>
      <c r="W661">
        <v>2</v>
      </c>
    </row>
    <row r="662" spans="1:23" x14ac:dyDescent="0.25">
      <c r="A662" t="s">
        <v>1143</v>
      </c>
      <c r="B662" s="1">
        <v>45736</v>
      </c>
      <c r="C662" t="s">
        <v>380</v>
      </c>
      <c r="D662" t="s">
        <v>124</v>
      </c>
      <c r="E662" t="s">
        <v>46</v>
      </c>
      <c r="F662" t="s">
        <v>86</v>
      </c>
      <c r="G662" t="s">
        <v>94</v>
      </c>
      <c r="H662">
        <v>1</v>
      </c>
      <c r="I662" s="21">
        <v>32081</v>
      </c>
      <c r="J662">
        <v>10</v>
      </c>
      <c r="K662" s="21">
        <v>3208.1</v>
      </c>
      <c r="L662" s="21">
        <v>28872.9</v>
      </c>
      <c r="M662" s="21">
        <v>20585.7</v>
      </c>
      <c r="N662" s="21">
        <v>8287.2000000000007</v>
      </c>
      <c r="O662" t="s">
        <v>91</v>
      </c>
      <c r="P662" s="21">
        <v>1677.15</v>
      </c>
      <c r="Q662" t="s">
        <v>30</v>
      </c>
      <c r="R662" t="s">
        <v>31</v>
      </c>
      <c r="S662">
        <v>5</v>
      </c>
      <c r="T662">
        <v>3</v>
      </c>
      <c r="U662" t="s">
        <v>32</v>
      </c>
      <c r="V662" t="s">
        <v>33</v>
      </c>
      <c r="W662">
        <v>1</v>
      </c>
    </row>
    <row r="663" spans="1:23" x14ac:dyDescent="0.25">
      <c r="A663" t="s">
        <v>1144</v>
      </c>
      <c r="B663" s="1">
        <v>46019</v>
      </c>
      <c r="C663" t="s">
        <v>631</v>
      </c>
      <c r="D663" t="s">
        <v>97</v>
      </c>
      <c r="E663" t="s">
        <v>36</v>
      </c>
      <c r="F663" t="s">
        <v>27</v>
      </c>
      <c r="G663" t="s">
        <v>113</v>
      </c>
      <c r="H663">
        <v>1</v>
      </c>
      <c r="I663" s="21">
        <v>4551</v>
      </c>
      <c r="J663">
        <v>10</v>
      </c>
      <c r="K663" s="21">
        <v>455.1</v>
      </c>
      <c r="L663" s="21">
        <v>4095.9</v>
      </c>
      <c r="M663" s="21">
        <v>3126.55</v>
      </c>
      <c r="N663" s="21">
        <v>969.35</v>
      </c>
      <c r="O663" t="s">
        <v>55</v>
      </c>
      <c r="P663" s="21">
        <v>967.63</v>
      </c>
      <c r="Q663" t="s">
        <v>83</v>
      </c>
      <c r="R663" t="s">
        <v>41</v>
      </c>
      <c r="S663">
        <v>2</v>
      </c>
      <c r="T663">
        <v>1</v>
      </c>
      <c r="U663" t="s">
        <v>32</v>
      </c>
      <c r="V663" t="s">
        <v>33</v>
      </c>
      <c r="W663">
        <v>5</v>
      </c>
    </row>
    <row r="664" spans="1:23" x14ac:dyDescent="0.25">
      <c r="A664" t="s">
        <v>1145</v>
      </c>
      <c r="B664" s="1">
        <v>45767</v>
      </c>
      <c r="C664" t="s">
        <v>819</v>
      </c>
      <c r="D664" t="s">
        <v>97</v>
      </c>
      <c r="E664" t="s">
        <v>26</v>
      </c>
      <c r="F664" t="s">
        <v>53</v>
      </c>
      <c r="G664" t="s">
        <v>82</v>
      </c>
      <c r="H664">
        <v>2</v>
      </c>
      <c r="I664" s="21">
        <v>119926</v>
      </c>
      <c r="J664">
        <v>0</v>
      </c>
      <c r="K664" s="21">
        <v>0</v>
      </c>
      <c r="L664" s="21">
        <v>239852</v>
      </c>
      <c r="M664" s="21">
        <v>181597.02</v>
      </c>
      <c r="N664" s="21">
        <v>58254.98</v>
      </c>
      <c r="O664" t="s">
        <v>55</v>
      </c>
      <c r="P664" s="21">
        <v>1237.96</v>
      </c>
      <c r="Q664" t="s">
        <v>68</v>
      </c>
      <c r="R664" t="s">
        <v>41</v>
      </c>
      <c r="S664">
        <v>2</v>
      </c>
      <c r="T664">
        <v>1</v>
      </c>
      <c r="U664" t="s">
        <v>32</v>
      </c>
      <c r="V664" t="s">
        <v>33</v>
      </c>
      <c r="W664">
        <v>4</v>
      </c>
    </row>
    <row r="665" spans="1:23" x14ac:dyDescent="0.25">
      <c r="A665" t="s">
        <v>1146</v>
      </c>
      <c r="B665" s="1">
        <v>45690</v>
      </c>
      <c r="C665" t="s">
        <v>1082</v>
      </c>
      <c r="D665" t="s">
        <v>45</v>
      </c>
      <c r="E665" t="s">
        <v>26</v>
      </c>
      <c r="F665" t="s">
        <v>86</v>
      </c>
      <c r="G665" t="s">
        <v>180</v>
      </c>
      <c r="H665">
        <v>2</v>
      </c>
      <c r="I665" s="21">
        <v>8815</v>
      </c>
      <c r="J665">
        <v>0</v>
      </c>
      <c r="K665" s="21">
        <v>0</v>
      </c>
      <c r="L665" s="21">
        <v>17630</v>
      </c>
      <c r="M665" s="21">
        <v>12665.33</v>
      </c>
      <c r="N665" s="21">
        <v>4964.67</v>
      </c>
      <c r="O665" t="s">
        <v>39</v>
      </c>
      <c r="P665" s="21">
        <v>718.03</v>
      </c>
      <c r="Q665" t="s">
        <v>30</v>
      </c>
      <c r="R665" t="s">
        <v>31</v>
      </c>
      <c r="S665">
        <v>5</v>
      </c>
      <c r="T665">
        <v>3</v>
      </c>
      <c r="U665" t="s">
        <v>32</v>
      </c>
      <c r="V665" t="s">
        <v>33</v>
      </c>
      <c r="W665">
        <v>1</v>
      </c>
    </row>
    <row r="666" spans="1:23" x14ac:dyDescent="0.25">
      <c r="A666" t="s">
        <v>1147</v>
      </c>
      <c r="B666" s="1">
        <v>45870</v>
      </c>
      <c r="C666" t="s">
        <v>1148</v>
      </c>
      <c r="D666" t="s">
        <v>45</v>
      </c>
      <c r="E666" t="s">
        <v>26</v>
      </c>
      <c r="F666" t="s">
        <v>47</v>
      </c>
      <c r="G666" t="s">
        <v>48</v>
      </c>
      <c r="H666">
        <v>1</v>
      </c>
      <c r="I666" s="21">
        <v>50607</v>
      </c>
      <c r="J666">
        <v>0</v>
      </c>
      <c r="K666" s="21">
        <v>0</v>
      </c>
      <c r="L666" s="21">
        <v>50607</v>
      </c>
      <c r="M666" s="21">
        <v>30414.240000000002</v>
      </c>
      <c r="N666" s="21">
        <v>20192.759999999998</v>
      </c>
      <c r="O666" t="s">
        <v>49</v>
      </c>
      <c r="P666" s="21">
        <v>131.71</v>
      </c>
      <c r="Q666" t="s">
        <v>83</v>
      </c>
      <c r="R666" t="s">
        <v>31</v>
      </c>
      <c r="S666">
        <v>5</v>
      </c>
      <c r="T666">
        <v>3</v>
      </c>
      <c r="U666" t="s">
        <v>32</v>
      </c>
      <c r="V666" t="s">
        <v>33</v>
      </c>
    </row>
    <row r="667" spans="1:23" x14ac:dyDescent="0.25">
      <c r="A667" t="s">
        <v>1149</v>
      </c>
      <c r="B667" s="1">
        <v>45866</v>
      </c>
      <c r="C667" t="s">
        <v>1037</v>
      </c>
      <c r="D667" t="s">
        <v>154</v>
      </c>
      <c r="E667" t="s">
        <v>46</v>
      </c>
      <c r="F667" t="s">
        <v>37</v>
      </c>
      <c r="G667" t="s">
        <v>38</v>
      </c>
      <c r="H667">
        <v>1</v>
      </c>
      <c r="I667" s="21">
        <v>23852</v>
      </c>
      <c r="J667">
        <v>0</v>
      </c>
      <c r="K667" s="21">
        <v>0</v>
      </c>
      <c r="L667" s="21">
        <v>23852</v>
      </c>
      <c r="M667" s="21">
        <v>15851</v>
      </c>
      <c r="N667" s="21">
        <v>8001</v>
      </c>
      <c r="O667" t="s">
        <v>29</v>
      </c>
      <c r="P667" s="21">
        <v>1976.39</v>
      </c>
      <c r="Q667" t="s">
        <v>83</v>
      </c>
      <c r="R667" t="s">
        <v>31</v>
      </c>
      <c r="S667">
        <v>5</v>
      </c>
      <c r="T667">
        <v>5</v>
      </c>
      <c r="U667" t="s">
        <v>32</v>
      </c>
      <c r="V667" t="s">
        <v>33</v>
      </c>
      <c r="W667">
        <v>2</v>
      </c>
    </row>
    <row r="668" spans="1:23" x14ac:dyDescent="0.25">
      <c r="A668" t="s">
        <v>1150</v>
      </c>
      <c r="B668" s="1">
        <v>45827</v>
      </c>
      <c r="C668" t="s">
        <v>1112</v>
      </c>
      <c r="D668" t="s">
        <v>71</v>
      </c>
      <c r="E668" t="s">
        <v>46</v>
      </c>
      <c r="F668" t="s">
        <v>47</v>
      </c>
      <c r="G668" t="s">
        <v>105</v>
      </c>
      <c r="H668">
        <v>2</v>
      </c>
      <c r="I668" s="21">
        <v>20669</v>
      </c>
      <c r="J668">
        <v>20</v>
      </c>
      <c r="K668" s="21">
        <v>8267.6</v>
      </c>
      <c r="L668" s="21">
        <v>33070.400000000001</v>
      </c>
      <c r="M668" s="21">
        <v>21752.99</v>
      </c>
      <c r="N668" s="21">
        <v>11317.41</v>
      </c>
      <c r="O668" t="s">
        <v>55</v>
      </c>
      <c r="P668" s="21">
        <v>2073.35</v>
      </c>
      <c r="Q668" t="s">
        <v>83</v>
      </c>
      <c r="R668" t="s">
        <v>41</v>
      </c>
      <c r="S668">
        <v>2</v>
      </c>
      <c r="T668">
        <v>1</v>
      </c>
      <c r="U668" t="s">
        <v>32</v>
      </c>
      <c r="V668" t="s">
        <v>33</v>
      </c>
      <c r="W668">
        <v>5</v>
      </c>
    </row>
    <row r="669" spans="1:23" x14ac:dyDescent="0.25">
      <c r="A669" t="s">
        <v>1151</v>
      </c>
      <c r="B669" s="1">
        <v>45935</v>
      </c>
      <c r="C669" t="s">
        <v>766</v>
      </c>
      <c r="D669" t="s">
        <v>97</v>
      </c>
      <c r="E669" t="s">
        <v>46</v>
      </c>
      <c r="F669" t="s">
        <v>47</v>
      </c>
      <c r="G669" t="s">
        <v>64</v>
      </c>
      <c r="H669">
        <v>1</v>
      </c>
      <c r="I669" s="21">
        <v>46639</v>
      </c>
      <c r="J669">
        <v>15</v>
      </c>
      <c r="K669" s="21">
        <v>6995.85</v>
      </c>
      <c r="L669" s="21">
        <v>39643.15</v>
      </c>
      <c r="M669" s="21">
        <v>23847.93</v>
      </c>
      <c r="N669" s="21">
        <v>15795.22</v>
      </c>
      <c r="O669" t="s">
        <v>55</v>
      </c>
      <c r="P669" s="21">
        <v>787.15</v>
      </c>
      <c r="Q669" t="s">
        <v>83</v>
      </c>
      <c r="R669" t="s">
        <v>41</v>
      </c>
      <c r="S669">
        <v>2</v>
      </c>
      <c r="T669">
        <v>5</v>
      </c>
      <c r="U669" t="s">
        <v>56</v>
      </c>
      <c r="V669" t="s">
        <v>33</v>
      </c>
      <c r="W669">
        <v>4</v>
      </c>
    </row>
    <row r="670" spans="1:23" x14ac:dyDescent="0.25">
      <c r="A670" t="s">
        <v>1152</v>
      </c>
      <c r="B670" s="1">
        <v>45896</v>
      </c>
      <c r="C670" t="s">
        <v>587</v>
      </c>
      <c r="D670" t="s">
        <v>71</v>
      </c>
      <c r="E670" t="s">
        <v>46</v>
      </c>
      <c r="F670" t="s">
        <v>27</v>
      </c>
      <c r="G670" t="s">
        <v>164</v>
      </c>
      <c r="H670">
        <v>3</v>
      </c>
      <c r="I670" s="21">
        <v>5639</v>
      </c>
      <c r="J670">
        <v>10</v>
      </c>
      <c r="K670" s="21">
        <v>1691.7</v>
      </c>
      <c r="L670" s="21">
        <v>15225.3</v>
      </c>
      <c r="M670" s="21">
        <v>9316.77</v>
      </c>
      <c r="N670" s="21">
        <v>5908.53</v>
      </c>
      <c r="O670" t="s">
        <v>60</v>
      </c>
      <c r="P670" s="21">
        <v>2063.39</v>
      </c>
      <c r="Q670" t="s">
        <v>30</v>
      </c>
      <c r="R670" t="s">
        <v>31</v>
      </c>
      <c r="S670">
        <v>5</v>
      </c>
      <c r="T670">
        <v>5</v>
      </c>
      <c r="U670" t="s">
        <v>32</v>
      </c>
      <c r="V670" t="s">
        <v>50</v>
      </c>
      <c r="W670">
        <v>5</v>
      </c>
    </row>
    <row r="671" spans="1:23" x14ac:dyDescent="0.25">
      <c r="A671" t="s">
        <v>1153</v>
      </c>
      <c r="B671" s="1">
        <v>45870</v>
      </c>
      <c r="C671" t="s">
        <v>1154</v>
      </c>
      <c r="D671" t="s">
        <v>90</v>
      </c>
      <c r="E671" t="s">
        <v>36</v>
      </c>
      <c r="F671" t="s">
        <v>53</v>
      </c>
      <c r="G671" t="s">
        <v>59</v>
      </c>
      <c r="H671">
        <v>1</v>
      </c>
      <c r="I671" s="21">
        <v>10215</v>
      </c>
      <c r="J671">
        <v>20</v>
      </c>
      <c r="K671" s="21">
        <v>2043</v>
      </c>
      <c r="L671" s="21">
        <v>8172</v>
      </c>
      <c r="M671" s="21">
        <v>6176.54</v>
      </c>
      <c r="N671" s="21">
        <v>1995.46</v>
      </c>
      <c r="O671" t="s">
        <v>91</v>
      </c>
      <c r="P671" s="21">
        <v>1901.65</v>
      </c>
      <c r="Q671" t="s">
        <v>73</v>
      </c>
      <c r="R671" t="s">
        <v>31</v>
      </c>
      <c r="S671">
        <v>5</v>
      </c>
      <c r="T671">
        <v>7</v>
      </c>
      <c r="U671" t="s">
        <v>56</v>
      </c>
      <c r="V671" t="s">
        <v>33</v>
      </c>
      <c r="W671">
        <v>5</v>
      </c>
    </row>
    <row r="672" spans="1:23" x14ac:dyDescent="0.25">
      <c r="A672" t="s">
        <v>1155</v>
      </c>
      <c r="B672" s="1">
        <v>45689</v>
      </c>
      <c r="C672" t="s">
        <v>1156</v>
      </c>
      <c r="D672" t="s">
        <v>154</v>
      </c>
      <c r="E672" t="s">
        <v>46</v>
      </c>
      <c r="F672" t="s">
        <v>86</v>
      </c>
      <c r="G672" t="s">
        <v>110</v>
      </c>
      <c r="H672">
        <v>3</v>
      </c>
      <c r="I672" s="21">
        <v>29804</v>
      </c>
      <c r="J672">
        <v>0</v>
      </c>
      <c r="K672" s="21">
        <v>0</v>
      </c>
      <c r="L672" s="21">
        <v>89412</v>
      </c>
      <c r="M672" s="21">
        <v>49900.36</v>
      </c>
      <c r="N672" s="21">
        <v>39511.64</v>
      </c>
      <c r="O672" t="s">
        <v>60</v>
      </c>
      <c r="P672" s="21">
        <v>1638.22</v>
      </c>
      <c r="Q672" t="s">
        <v>73</v>
      </c>
      <c r="R672" t="s">
        <v>41</v>
      </c>
      <c r="S672">
        <v>2</v>
      </c>
      <c r="T672">
        <v>4</v>
      </c>
      <c r="U672" t="s">
        <v>56</v>
      </c>
      <c r="V672" t="s">
        <v>33</v>
      </c>
      <c r="W672">
        <v>4</v>
      </c>
    </row>
    <row r="673" spans="1:23" x14ac:dyDescent="0.25">
      <c r="A673" t="s">
        <v>1157</v>
      </c>
      <c r="B673" s="1">
        <v>45763</v>
      </c>
      <c r="C673" t="s">
        <v>1158</v>
      </c>
      <c r="D673" t="s">
        <v>90</v>
      </c>
      <c r="E673" t="s">
        <v>46</v>
      </c>
      <c r="F673" t="s">
        <v>37</v>
      </c>
      <c r="G673" t="s">
        <v>313</v>
      </c>
      <c r="H673">
        <v>1</v>
      </c>
      <c r="I673" s="21">
        <v>39355</v>
      </c>
      <c r="J673">
        <v>15</v>
      </c>
      <c r="K673" s="21">
        <v>5903.25</v>
      </c>
      <c r="L673" s="21">
        <v>33451.75</v>
      </c>
      <c r="M673" s="21">
        <v>25285.360000000001</v>
      </c>
      <c r="N673" s="21">
        <v>8166.39</v>
      </c>
      <c r="O673" t="s">
        <v>39</v>
      </c>
      <c r="P673" s="21">
        <v>234.36</v>
      </c>
      <c r="Q673" t="s">
        <v>68</v>
      </c>
      <c r="R673" t="s">
        <v>31</v>
      </c>
      <c r="S673">
        <v>5</v>
      </c>
      <c r="T673">
        <v>1</v>
      </c>
      <c r="U673" t="s">
        <v>32</v>
      </c>
      <c r="V673" t="s">
        <v>50</v>
      </c>
      <c r="W673">
        <v>1</v>
      </c>
    </row>
    <row r="674" spans="1:23" x14ac:dyDescent="0.25">
      <c r="A674" t="s">
        <v>1159</v>
      </c>
      <c r="B674" s="1">
        <v>45873</v>
      </c>
      <c r="C674" t="s">
        <v>1160</v>
      </c>
      <c r="D674" t="s">
        <v>79</v>
      </c>
      <c r="E674" t="s">
        <v>26</v>
      </c>
      <c r="F674" t="s">
        <v>53</v>
      </c>
      <c r="G674" t="s">
        <v>54</v>
      </c>
      <c r="H674">
        <v>1</v>
      </c>
      <c r="I674" s="21">
        <v>79349</v>
      </c>
      <c r="J674">
        <v>10</v>
      </c>
      <c r="K674" s="21">
        <v>7934.9</v>
      </c>
      <c r="L674" s="21">
        <v>71414.100000000006</v>
      </c>
      <c r="M674" s="21">
        <v>48460.59</v>
      </c>
      <c r="N674" s="21">
        <v>22953.51</v>
      </c>
      <c r="O674" t="s">
        <v>60</v>
      </c>
      <c r="P674" s="21">
        <v>1709.66</v>
      </c>
      <c r="Q674" t="s">
        <v>73</v>
      </c>
      <c r="R674" t="s">
        <v>31</v>
      </c>
      <c r="S674">
        <v>5</v>
      </c>
      <c r="T674">
        <v>4</v>
      </c>
      <c r="U674" t="s">
        <v>32</v>
      </c>
      <c r="V674" t="s">
        <v>33</v>
      </c>
      <c r="W674">
        <v>3</v>
      </c>
    </row>
    <row r="675" spans="1:23" x14ac:dyDescent="0.25">
      <c r="A675" t="s">
        <v>1161</v>
      </c>
      <c r="B675" s="1">
        <v>45857</v>
      </c>
      <c r="C675" t="s">
        <v>1162</v>
      </c>
      <c r="D675" t="s">
        <v>67</v>
      </c>
      <c r="E675" t="s">
        <v>36</v>
      </c>
      <c r="F675" t="s">
        <v>37</v>
      </c>
      <c r="G675" t="s">
        <v>224</v>
      </c>
      <c r="H675">
        <v>2</v>
      </c>
      <c r="I675" s="21">
        <v>13345</v>
      </c>
      <c r="J675">
        <v>5</v>
      </c>
      <c r="K675" s="21">
        <v>1334.5</v>
      </c>
      <c r="L675" s="21">
        <v>25355.5</v>
      </c>
      <c r="M675" s="21">
        <v>18458.47</v>
      </c>
      <c r="N675" s="21">
        <v>6897.03</v>
      </c>
      <c r="O675" t="s">
        <v>49</v>
      </c>
      <c r="P675" s="21">
        <v>177.03</v>
      </c>
      <c r="Q675" t="s">
        <v>40</v>
      </c>
      <c r="R675" t="s">
        <v>31</v>
      </c>
      <c r="S675">
        <v>5</v>
      </c>
      <c r="T675">
        <v>5</v>
      </c>
      <c r="U675" t="s">
        <v>32</v>
      </c>
      <c r="V675" t="s">
        <v>50</v>
      </c>
      <c r="W675">
        <v>4</v>
      </c>
    </row>
    <row r="676" spans="1:23" x14ac:dyDescent="0.25">
      <c r="A676" t="s">
        <v>1163</v>
      </c>
      <c r="B676" s="1">
        <v>45957</v>
      </c>
      <c r="C676" t="s">
        <v>661</v>
      </c>
      <c r="D676" t="s">
        <v>63</v>
      </c>
      <c r="E676" t="s">
        <v>26</v>
      </c>
      <c r="F676" t="s">
        <v>53</v>
      </c>
      <c r="G676" t="s">
        <v>268</v>
      </c>
      <c r="H676">
        <v>1</v>
      </c>
      <c r="I676" s="21">
        <v>102121</v>
      </c>
      <c r="J676">
        <v>10</v>
      </c>
      <c r="K676" s="21">
        <v>10212.1</v>
      </c>
      <c r="L676" s="21">
        <v>91908.9</v>
      </c>
      <c r="M676" s="21">
        <v>69406.960000000006</v>
      </c>
      <c r="N676" s="21">
        <v>22501.94</v>
      </c>
      <c r="O676" t="s">
        <v>91</v>
      </c>
      <c r="P676" s="21">
        <v>1061.97</v>
      </c>
      <c r="Q676" t="s">
        <v>68</v>
      </c>
      <c r="R676" t="s">
        <v>41</v>
      </c>
      <c r="S676">
        <v>2</v>
      </c>
      <c r="T676">
        <v>1</v>
      </c>
      <c r="U676" t="s">
        <v>32</v>
      </c>
      <c r="V676" t="s">
        <v>33</v>
      </c>
      <c r="W676">
        <v>4</v>
      </c>
    </row>
    <row r="677" spans="1:23" x14ac:dyDescent="0.25">
      <c r="A677" t="s">
        <v>1164</v>
      </c>
      <c r="B677" s="1">
        <v>46014</v>
      </c>
      <c r="C677" t="s">
        <v>604</v>
      </c>
      <c r="D677" t="s">
        <v>90</v>
      </c>
      <c r="E677" t="s">
        <v>36</v>
      </c>
      <c r="F677" t="s">
        <v>37</v>
      </c>
      <c r="G677" t="s">
        <v>224</v>
      </c>
      <c r="H677">
        <v>1</v>
      </c>
      <c r="I677" s="21">
        <v>30002</v>
      </c>
      <c r="J677">
        <v>10</v>
      </c>
      <c r="K677" s="21">
        <v>3000.2</v>
      </c>
      <c r="L677" s="21">
        <v>27001.8</v>
      </c>
      <c r="M677" s="21">
        <v>14936.38</v>
      </c>
      <c r="N677" s="21">
        <v>12065.42</v>
      </c>
      <c r="O677" t="s">
        <v>91</v>
      </c>
      <c r="P677" s="21">
        <v>990.97</v>
      </c>
      <c r="Q677" t="s">
        <v>40</v>
      </c>
      <c r="R677" t="s">
        <v>41</v>
      </c>
      <c r="S677">
        <v>2</v>
      </c>
      <c r="T677">
        <v>1</v>
      </c>
      <c r="U677" t="s">
        <v>32</v>
      </c>
      <c r="V677" t="s">
        <v>33</v>
      </c>
      <c r="W677">
        <v>5</v>
      </c>
    </row>
    <row r="678" spans="1:23" x14ac:dyDescent="0.25">
      <c r="A678" t="s">
        <v>1165</v>
      </c>
      <c r="B678" s="1">
        <v>45668</v>
      </c>
      <c r="C678" t="s">
        <v>324</v>
      </c>
      <c r="D678" t="s">
        <v>67</v>
      </c>
      <c r="E678" t="s">
        <v>46</v>
      </c>
      <c r="F678" t="s">
        <v>27</v>
      </c>
      <c r="G678" t="s">
        <v>113</v>
      </c>
      <c r="H678">
        <v>1</v>
      </c>
      <c r="I678" s="21">
        <v>14554</v>
      </c>
      <c r="J678">
        <v>0</v>
      </c>
      <c r="K678" s="21">
        <v>0</v>
      </c>
      <c r="L678" s="21">
        <v>14554</v>
      </c>
      <c r="M678" s="21">
        <v>9007.86</v>
      </c>
      <c r="N678" s="21">
        <v>5546.14</v>
      </c>
      <c r="O678" t="s">
        <v>29</v>
      </c>
      <c r="P678" s="21">
        <v>421.96</v>
      </c>
      <c r="Q678" t="s">
        <v>73</v>
      </c>
      <c r="R678" t="s">
        <v>41</v>
      </c>
      <c r="S678">
        <v>2</v>
      </c>
      <c r="T678">
        <v>1</v>
      </c>
      <c r="U678" t="s">
        <v>32</v>
      </c>
      <c r="V678" t="s">
        <v>33</v>
      </c>
      <c r="W678">
        <v>5</v>
      </c>
    </row>
    <row r="679" spans="1:23" x14ac:dyDescent="0.25">
      <c r="A679" t="s">
        <v>1166</v>
      </c>
      <c r="B679" s="1">
        <v>45952</v>
      </c>
      <c r="C679" t="s">
        <v>241</v>
      </c>
      <c r="D679" t="s">
        <v>25</v>
      </c>
      <c r="E679" t="s">
        <v>26</v>
      </c>
      <c r="F679" t="s">
        <v>37</v>
      </c>
      <c r="G679" t="s">
        <v>313</v>
      </c>
      <c r="H679">
        <v>3</v>
      </c>
      <c r="I679" s="21">
        <v>11283</v>
      </c>
      <c r="J679">
        <v>0</v>
      </c>
      <c r="K679" s="21">
        <v>0</v>
      </c>
      <c r="L679" s="21">
        <v>33849</v>
      </c>
      <c r="M679" s="21">
        <v>23647.77</v>
      </c>
      <c r="N679" s="21">
        <v>10201.23</v>
      </c>
      <c r="O679" t="s">
        <v>60</v>
      </c>
      <c r="P679" s="21">
        <v>999.54</v>
      </c>
      <c r="Q679" t="s">
        <v>30</v>
      </c>
      <c r="R679" t="s">
        <v>31</v>
      </c>
      <c r="S679">
        <v>5</v>
      </c>
      <c r="T679">
        <v>8</v>
      </c>
      <c r="U679" t="s">
        <v>56</v>
      </c>
      <c r="V679" t="s">
        <v>33</v>
      </c>
      <c r="W679">
        <v>5</v>
      </c>
    </row>
    <row r="680" spans="1:23" x14ac:dyDescent="0.25">
      <c r="A680" t="s">
        <v>1167</v>
      </c>
      <c r="B680" s="1">
        <v>45852</v>
      </c>
      <c r="C680" t="s">
        <v>1076</v>
      </c>
      <c r="D680" t="s">
        <v>97</v>
      </c>
      <c r="E680" t="s">
        <v>46</v>
      </c>
      <c r="F680" t="s">
        <v>27</v>
      </c>
      <c r="G680" t="s">
        <v>28</v>
      </c>
      <c r="H680">
        <v>3</v>
      </c>
      <c r="I680" s="21">
        <v>25801</v>
      </c>
      <c r="J680">
        <v>0</v>
      </c>
      <c r="K680" s="21">
        <v>0</v>
      </c>
      <c r="L680" s="21">
        <v>77403</v>
      </c>
      <c r="M680" s="21">
        <v>46723.77</v>
      </c>
      <c r="N680" s="21">
        <v>30679.23</v>
      </c>
      <c r="O680" t="s">
        <v>91</v>
      </c>
      <c r="P680" s="21">
        <v>1993.86</v>
      </c>
      <c r="Q680" t="s">
        <v>40</v>
      </c>
      <c r="R680" t="s">
        <v>41</v>
      </c>
      <c r="S680">
        <v>2</v>
      </c>
      <c r="T680">
        <v>4</v>
      </c>
      <c r="U680" t="s">
        <v>32</v>
      </c>
      <c r="V680" t="s">
        <v>50</v>
      </c>
      <c r="W680">
        <v>5</v>
      </c>
    </row>
    <row r="681" spans="1:23" x14ac:dyDescent="0.25">
      <c r="A681" t="s">
        <v>1168</v>
      </c>
      <c r="B681" s="1">
        <v>45902</v>
      </c>
      <c r="C681" t="s">
        <v>615</v>
      </c>
      <c r="D681" t="s">
        <v>97</v>
      </c>
      <c r="E681" t="s">
        <v>26</v>
      </c>
      <c r="F681" t="s">
        <v>37</v>
      </c>
      <c r="G681" t="s">
        <v>38</v>
      </c>
      <c r="H681">
        <v>2</v>
      </c>
      <c r="I681" s="21">
        <v>10562</v>
      </c>
      <c r="J681">
        <v>0</v>
      </c>
      <c r="K681" s="21">
        <v>0</v>
      </c>
      <c r="L681" s="21">
        <v>21124</v>
      </c>
      <c r="M681" s="21">
        <v>15239.38</v>
      </c>
      <c r="N681" s="21">
        <v>5884.62</v>
      </c>
      <c r="O681" t="s">
        <v>39</v>
      </c>
      <c r="P681" s="21">
        <v>2340.4899999999998</v>
      </c>
      <c r="Q681" t="s">
        <v>68</v>
      </c>
      <c r="R681" t="s">
        <v>31</v>
      </c>
      <c r="S681">
        <v>5</v>
      </c>
      <c r="T681">
        <v>6</v>
      </c>
      <c r="U681" t="s">
        <v>32</v>
      </c>
      <c r="V681" t="s">
        <v>42</v>
      </c>
    </row>
    <row r="682" spans="1:23" x14ac:dyDescent="0.25">
      <c r="A682" t="s">
        <v>1169</v>
      </c>
      <c r="B682" s="1">
        <v>45661</v>
      </c>
      <c r="C682" t="s">
        <v>817</v>
      </c>
      <c r="D682" t="s">
        <v>124</v>
      </c>
      <c r="E682" t="s">
        <v>46</v>
      </c>
      <c r="F682" t="s">
        <v>37</v>
      </c>
      <c r="G682" t="s">
        <v>38</v>
      </c>
      <c r="H682">
        <v>3</v>
      </c>
      <c r="I682" s="21">
        <v>31607</v>
      </c>
      <c r="J682">
        <v>20</v>
      </c>
      <c r="K682" s="21">
        <v>18964.2</v>
      </c>
      <c r="L682" s="21">
        <v>75856.800000000003</v>
      </c>
      <c r="M682" s="21">
        <v>51306.59</v>
      </c>
      <c r="N682" s="21">
        <v>24550.21</v>
      </c>
      <c r="O682" t="s">
        <v>39</v>
      </c>
      <c r="P682" s="21">
        <v>372.2</v>
      </c>
      <c r="Q682" t="s">
        <v>40</v>
      </c>
      <c r="R682" t="s">
        <v>41</v>
      </c>
      <c r="S682">
        <v>2</v>
      </c>
      <c r="T682">
        <v>3</v>
      </c>
      <c r="U682" t="s">
        <v>56</v>
      </c>
      <c r="V682" t="s">
        <v>33</v>
      </c>
      <c r="W682">
        <v>1</v>
      </c>
    </row>
    <row r="683" spans="1:23" x14ac:dyDescent="0.25">
      <c r="A683" t="s">
        <v>1170</v>
      </c>
      <c r="B683" s="1">
        <v>45838</v>
      </c>
      <c r="C683" t="s">
        <v>172</v>
      </c>
      <c r="D683" t="s">
        <v>90</v>
      </c>
      <c r="E683" t="s">
        <v>46</v>
      </c>
      <c r="F683" t="s">
        <v>86</v>
      </c>
      <c r="G683" t="s">
        <v>87</v>
      </c>
      <c r="H683">
        <v>1</v>
      </c>
      <c r="I683" s="21">
        <v>57280</v>
      </c>
      <c r="J683">
        <v>15</v>
      </c>
      <c r="K683" s="21">
        <v>8592</v>
      </c>
      <c r="L683" s="21">
        <v>48688</v>
      </c>
      <c r="M683" s="21">
        <v>31918.39</v>
      </c>
      <c r="N683" s="21">
        <v>16769.61</v>
      </c>
      <c r="O683" t="s">
        <v>60</v>
      </c>
      <c r="P683" s="21">
        <v>1005.94</v>
      </c>
      <c r="Q683" t="s">
        <v>68</v>
      </c>
      <c r="R683" t="s">
        <v>31</v>
      </c>
      <c r="S683">
        <v>5</v>
      </c>
      <c r="T683">
        <v>2</v>
      </c>
      <c r="U683" t="s">
        <v>32</v>
      </c>
      <c r="V683" t="s">
        <v>33</v>
      </c>
      <c r="W683">
        <v>5</v>
      </c>
    </row>
    <row r="684" spans="1:23" x14ac:dyDescent="0.25">
      <c r="A684" t="s">
        <v>1171</v>
      </c>
      <c r="B684" s="1">
        <v>45810</v>
      </c>
      <c r="C684" t="s">
        <v>1172</v>
      </c>
      <c r="D684" t="s">
        <v>79</v>
      </c>
      <c r="E684" t="s">
        <v>26</v>
      </c>
      <c r="F684" t="s">
        <v>86</v>
      </c>
      <c r="G684" t="s">
        <v>87</v>
      </c>
      <c r="H684">
        <v>3</v>
      </c>
      <c r="I684" s="21">
        <v>64114</v>
      </c>
      <c r="J684">
        <v>10</v>
      </c>
      <c r="K684" s="21">
        <v>19234.2</v>
      </c>
      <c r="L684" s="21">
        <v>173107.8</v>
      </c>
      <c r="M684" s="21">
        <v>95712.63</v>
      </c>
      <c r="N684" s="21">
        <v>77395.17</v>
      </c>
      <c r="O684" t="s">
        <v>49</v>
      </c>
      <c r="P684" s="21">
        <v>96.18</v>
      </c>
      <c r="Q684" t="s">
        <v>40</v>
      </c>
      <c r="R684" t="s">
        <v>41</v>
      </c>
      <c r="S684">
        <v>2</v>
      </c>
      <c r="T684">
        <v>1</v>
      </c>
      <c r="U684" t="s">
        <v>32</v>
      </c>
      <c r="V684" t="s">
        <v>33</v>
      </c>
      <c r="W684">
        <v>5</v>
      </c>
    </row>
    <row r="685" spans="1:23" x14ac:dyDescent="0.25">
      <c r="A685" t="s">
        <v>1173</v>
      </c>
      <c r="B685" s="1">
        <v>45857</v>
      </c>
      <c r="C685" t="s">
        <v>351</v>
      </c>
      <c r="D685" t="s">
        <v>63</v>
      </c>
      <c r="E685" t="s">
        <v>26</v>
      </c>
      <c r="F685" t="s">
        <v>27</v>
      </c>
      <c r="G685" t="s">
        <v>76</v>
      </c>
      <c r="H685">
        <v>2</v>
      </c>
      <c r="I685" s="21">
        <v>12416</v>
      </c>
      <c r="J685">
        <v>15</v>
      </c>
      <c r="K685" s="21">
        <v>3724.8</v>
      </c>
      <c r="L685" s="21">
        <v>21107.200000000001</v>
      </c>
      <c r="M685" s="21">
        <v>16384.55</v>
      </c>
      <c r="N685" s="21">
        <v>4722.6499999999996</v>
      </c>
      <c r="O685" t="s">
        <v>55</v>
      </c>
      <c r="P685" s="21">
        <v>1273.01</v>
      </c>
      <c r="Q685" t="s">
        <v>40</v>
      </c>
      <c r="R685" t="s">
        <v>31</v>
      </c>
      <c r="S685">
        <v>5</v>
      </c>
      <c r="T685">
        <v>5</v>
      </c>
      <c r="U685" t="s">
        <v>32</v>
      </c>
      <c r="V685" t="s">
        <v>33</v>
      </c>
      <c r="W685">
        <v>5</v>
      </c>
    </row>
    <row r="686" spans="1:23" x14ac:dyDescent="0.25">
      <c r="A686" t="s">
        <v>1174</v>
      </c>
      <c r="B686" s="1">
        <v>45872</v>
      </c>
      <c r="C686" t="s">
        <v>272</v>
      </c>
      <c r="D686" t="s">
        <v>124</v>
      </c>
      <c r="E686" t="s">
        <v>46</v>
      </c>
      <c r="F686" t="s">
        <v>47</v>
      </c>
      <c r="G686" t="s">
        <v>105</v>
      </c>
      <c r="H686">
        <v>4</v>
      </c>
      <c r="I686" s="21">
        <v>46259</v>
      </c>
      <c r="J686">
        <v>15</v>
      </c>
      <c r="K686" s="21">
        <v>27755.4</v>
      </c>
      <c r="L686" s="21">
        <v>157280.6</v>
      </c>
      <c r="M686" s="21">
        <v>104411.04</v>
      </c>
      <c r="N686" s="21">
        <v>52869.56</v>
      </c>
      <c r="O686" t="s">
        <v>29</v>
      </c>
      <c r="P686" s="21">
        <v>844.47</v>
      </c>
      <c r="Q686" t="s">
        <v>73</v>
      </c>
      <c r="R686" t="s">
        <v>31</v>
      </c>
      <c r="S686">
        <v>5</v>
      </c>
      <c r="T686">
        <v>6</v>
      </c>
      <c r="U686" t="s">
        <v>32</v>
      </c>
      <c r="V686" t="s">
        <v>50</v>
      </c>
      <c r="W686">
        <v>5</v>
      </c>
    </row>
    <row r="687" spans="1:23" x14ac:dyDescent="0.25">
      <c r="A687" t="s">
        <v>1175</v>
      </c>
      <c r="B687" s="1">
        <v>45933</v>
      </c>
      <c r="C687" t="s">
        <v>762</v>
      </c>
      <c r="D687" t="s">
        <v>71</v>
      </c>
      <c r="E687" t="s">
        <v>36</v>
      </c>
      <c r="F687" t="s">
        <v>86</v>
      </c>
      <c r="G687" t="s">
        <v>110</v>
      </c>
      <c r="H687">
        <v>4</v>
      </c>
      <c r="I687" s="21">
        <v>19255</v>
      </c>
      <c r="J687">
        <v>5</v>
      </c>
      <c r="K687" s="21">
        <v>3851</v>
      </c>
      <c r="L687" s="21">
        <v>73169</v>
      </c>
      <c r="M687" s="21">
        <v>51815.48</v>
      </c>
      <c r="N687" s="21">
        <v>21353.52</v>
      </c>
      <c r="O687" t="s">
        <v>49</v>
      </c>
      <c r="P687" s="21">
        <v>169.59</v>
      </c>
      <c r="Q687" t="s">
        <v>30</v>
      </c>
      <c r="R687" t="s">
        <v>41</v>
      </c>
      <c r="S687">
        <v>2</v>
      </c>
      <c r="T687">
        <v>3</v>
      </c>
      <c r="U687" t="s">
        <v>56</v>
      </c>
      <c r="V687" t="s">
        <v>33</v>
      </c>
      <c r="W687">
        <v>5</v>
      </c>
    </row>
    <row r="688" spans="1:23" x14ac:dyDescent="0.25">
      <c r="A688" t="s">
        <v>1176</v>
      </c>
      <c r="B688" s="1">
        <v>45937</v>
      </c>
      <c r="C688" t="s">
        <v>1177</v>
      </c>
      <c r="D688" t="s">
        <v>71</v>
      </c>
      <c r="E688" t="s">
        <v>26</v>
      </c>
      <c r="F688" t="s">
        <v>37</v>
      </c>
      <c r="G688" t="s">
        <v>38</v>
      </c>
      <c r="H688">
        <v>3</v>
      </c>
      <c r="I688" s="21">
        <v>10460</v>
      </c>
      <c r="J688">
        <v>0</v>
      </c>
      <c r="K688" s="21">
        <v>0</v>
      </c>
      <c r="L688" s="21">
        <v>31380</v>
      </c>
      <c r="M688" s="21">
        <v>18254.3</v>
      </c>
      <c r="N688" s="21">
        <v>13125.7</v>
      </c>
      <c r="O688" t="s">
        <v>29</v>
      </c>
      <c r="P688" s="21">
        <v>1747</v>
      </c>
      <c r="Q688" t="s">
        <v>40</v>
      </c>
      <c r="R688" t="s">
        <v>41</v>
      </c>
      <c r="S688">
        <v>2</v>
      </c>
      <c r="T688">
        <v>1</v>
      </c>
      <c r="U688" t="s">
        <v>32</v>
      </c>
      <c r="V688" t="s">
        <v>33</v>
      </c>
      <c r="W688">
        <v>5</v>
      </c>
    </row>
    <row r="689" spans="1:23" x14ac:dyDescent="0.25">
      <c r="A689" t="s">
        <v>1178</v>
      </c>
      <c r="B689" s="1">
        <v>45966</v>
      </c>
      <c r="C689" t="s">
        <v>1037</v>
      </c>
      <c r="D689" t="s">
        <v>25</v>
      </c>
      <c r="E689" t="s">
        <v>26</v>
      </c>
      <c r="F689" t="s">
        <v>27</v>
      </c>
      <c r="G689" t="s">
        <v>113</v>
      </c>
      <c r="H689">
        <v>3</v>
      </c>
      <c r="I689" s="21">
        <v>16564</v>
      </c>
      <c r="J689">
        <v>0</v>
      </c>
      <c r="K689" s="21">
        <v>0</v>
      </c>
      <c r="L689" s="21">
        <v>49692</v>
      </c>
      <c r="M689" s="21">
        <v>30229.17</v>
      </c>
      <c r="N689" s="21">
        <v>19462.830000000002</v>
      </c>
      <c r="O689" t="s">
        <v>49</v>
      </c>
      <c r="P689" s="21">
        <v>475.68</v>
      </c>
      <c r="Q689" t="s">
        <v>83</v>
      </c>
      <c r="R689" t="s">
        <v>31</v>
      </c>
      <c r="S689">
        <v>5</v>
      </c>
      <c r="T689">
        <v>4</v>
      </c>
      <c r="U689" t="s">
        <v>32</v>
      </c>
      <c r="V689" t="s">
        <v>33</v>
      </c>
      <c r="W689">
        <v>5</v>
      </c>
    </row>
    <row r="690" spans="1:23" x14ac:dyDescent="0.25">
      <c r="A690" t="s">
        <v>1179</v>
      </c>
      <c r="B690" s="1">
        <v>45770</v>
      </c>
      <c r="C690" t="s">
        <v>1158</v>
      </c>
      <c r="D690" t="s">
        <v>67</v>
      </c>
      <c r="E690" t="s">
        <v>46</v>
      </c>
      <c r="F690" t="s">
        <v>86</v>
      </c>
      <c r="G690" t="s">
        <v>127</v>
      </c>
      <c r="H690">
        <v>2</v>
      </c>
      <c r="I690" s="21">
        <v>42258</v>
      </c>
      <c r="J690">
        <v>10</v>
      </c>
      <c r="K690" s="21">
        <v>8451.6</v>
      </c>
      <c r="L690" s="21">
        <v>76064.399999999994</v>
      </c>
      <c r="M690" s="21">
        <v>51245.75</v>
      </c>
      <c r="N690" s="21">
        <v>24818.65</v>
      </c>
      <c r="O690" t="s">
        <v>39</v>
      </c>
      <c r="P690" s="21">
        <v>569.36</v>
      </c>
      <c r="Q690" t="s">
        <v>40</v>
      </c>
      <c r="R690" t="s">
        <v>41</v>
      </c>
      <c r="S690">
        <v>2</v>
      </c>
      <c r="T690">
        <v>6</v>
      </c>
      <c r="U690" t="s">
        <v>32</v>
      </c>
      <c r="V690" t="s">
        <v>50</v>
      </c>
      <c r="W690">
        <v>5</v>
      </c>
    </row>
    <row r="691" spans="1:23" x14ac:dyDescent="0.25">
      <c r="A691" t="s">
        <v>1180</v>
      </c>
      <c r="B691" s="1">
        <v>45907</v>
      </c>
      <c r="C691" t="s">
        <v>576</v>
      </c>
      <c r="D691" t="s">
        <v>25</v>
      </c>
      <c r="E691" t="s">
        <v>36</v>
      </c>
      <c r="F691" t="s">
        <v>37</v>
      </c>
      <c r="G691" t="s">
        <v>313</v>
      </c>
      <c r="H691">
        <v>3</v>
      </c>
      <c r="I691" s="21">
        <v>18914</v>
      </c>
      <c r="J691">
        <v>10</v>
      </c>
      <c r="K691" s="21">
        <v>5674.2</v>
      </c>
      <c r="L691" s="21">
        <v>51067.8</v>
      </c>
      <c r="M691" s="21">
        <v>39513.43</v>
      </c>
      <c r="N691" s="21">
        <v>11554.37</v>
      </c>
      <c r="O691" t="s">
        <v>91</v>
      </c>
      <c r="P691" s="21">
        <v>1133.95</v>
      </c>
      <c r="Q691" t="s">
        <v>40</v>
      </c>
      <c r="R691" t="s">
        <v>31</v>
      </c>
      <c r="S691">
        <v>5</v>
      </c>
      <c r="T691">
        <v>5</v>
      </c>
      <c r="U691" t="s">
        <v>32</v>
      </c>
      <c r="V691" t="s">
        <v>33</v>
      </c>
      <c r="W691">
        <v>5</v>
      </c>
    </row>
    <row r="692" spans="1:23" x14ac:dyDescent="0.25">
      <c r="A692" t="s">
        <v>1181</v>
      </c>
      <c r="B692" s="1">
        <v>45770</v>
      </c>
      <c r="C692" t="s">
        <v>779</v>
      </c>
      <c r="D692" t="s">
        <v>124</v>
      </c>
      <c r="E692" t="s">
        <v>36</v>
      </c>
      <c r="F692" t="s">
        <v>27</v>
      </c>
      <c r="G692" t="s">
        <v>76</v>
      </c>
      <c r="H692">
        <v>1</v>
      </c>
      <c r="I692" s="21">
        <v>28232</v>
      </c>
      <c r="J692">
        <v>0</v>
      </c>
      <c r="K692" s="21">
        <v>0</v>
      </c>
      <c r="L692" s="21">
        <v>28232</v>
      </c>
      <c r="M692" s="21">
        <v>17987.88</v>
      </c>
      <c r="N692" s="21">
        <v>10244.120000000001</v>
      </c>
      <c r="O692" t="s">
        <v>39</v>
      </c>
      <c r="P692" s="21">
        <v>914.21</v>
      </c>
      <c r="Q692" t="s">
        <v>40</v>
      </c>
      <c r="R692" t="s">
        <v>31</v>
      </c>
      <c r="S692">
        <v>5</v>
      </c>
      <c r="T692">
        <v>4</v>
      </c>
      <c r="U692" t="s">
        <v>32</v>
      </c>
      <c r="V692" t="s">
        <v>33</v>
      </c>
      <c r="W692">
        <v>5</v>
      </c>
    </row>
    <row r="693" spans="1:23" x14ac:dyDescent="0.25">
      <c r="A693" t="s">
        <v>1182</v>
      </c>
      <c r="B693" s="1">
        <v>45797</v>
      </c>
      <c r="C693" t="s">
        <v>1183</v>
      </c>
      <c r="D693" t="s">
        <v>97</v>
      </c>
      <c r="E693" t="s">
        <v>46</v>
      </c>
      <c r="F693" t="s">
        <v>37</v>
      </c>
      <c r="G693" t="s">
        <v>313</v>
      </c>
      <c r="H693">
        <v>2</v>
      </c>
      <c r="I693" s="21">
        <v>30518</v>
      </c>
      <c r="J693">
        <v>10</v>
      </c>
      <c r="K693" s="21">
        <v>6103.6</v>
      </c>
      <c r="L693" s="21">
        <v>54932.4</v>
      </c>
      <c r="M693" s="21">
        <v>32374.78</v>
      </c>
      <c r="N693" s="21">
        <v>22557.62</v>
      </c>
      <c r="O693" t="s">
        <v>91</v>
      </c>
      <c r="P693" s="21">
        <v>505.97</v>
      </c>
      <c r="Q693" t="s">
        <v>30</v>
      </c>
      <c r="R693" t="s">
        <v>41</v>
      </c>
      <c r="S693">
        <v>2</v>
      </c>
      <c r="T693">
        <v>4</v>
      </c>
      <c r="U693" t="s">
        <v>56</v>
      </c>
      <c r="V693" t="s">
        <v>33</v>
      </c>
      <c r="W693">
        <v>4</v>
      </c>
    </row>
    <row r="694" spans="1:23" x14ac:dyDescent="0.25">
      <c r="A694" t="s">
        <v>1184</v>
      </c>
      <c r="B694" s="1">
        <v>45881</v>
      </c>
      <c r="C694" t="s">
        <v>185</v>
      </c>
      <c r="D694" t="s">
        <v>79</v>
      </c>
      <c r="E694" t="s">
        <v>36</v>
      </c>
      <c r="F694" t="s">
        <v>53</v>
      </c>
      <c r="G694" t="s">
        <v>59</v>
      </c>
      <c r="H694">
        <v>1</v>
      </c>
      <c r="I694" s="21">
        <v>14344</v>
      </c>
      <c r="J694">
        <v>0</v>
      </c>
      <c r="K694" s="21">
        <v>0</v>
      </c>
      <c r="L694" s="21">
        <v>14344</v>
      </c>
      <c r="M694" s="21">
        <v>9804.31</v>
      </c>
      <c r="N694" s="21">
        <v>4539.6899999999996</v>
      </c>
      <c r="O694" t="s">
        <v>39</v>
      </c>
      <c r="P694" s="21">
        <v>1212.82</v>
      </c>
      <c r="Q694" t="s">
        <v>68</v>
      </c>
      <c r="R694" t="s">
        <v>31</v>
      </c>
      <c r="S694">
        <v>5</v>
      </c>
      <c r="T694">
        <v>1</v>
      </c>
      <c r="U694" t="s">
        <v>32</v>
      </c>
      <c r="V694" t="s">
        <v>50</v>
      </c>
      <c r="W694">
        <v>2</v>
      </c>
    </row>
    <row r="695" spans="1:23" x14ac:dyDescent="0.25">
      <c r="A695" t="s">
        <v>1185</v>
      </c>
      <c r="B695" s="1">
        <v>45906</v>
      </c>
      <c r="C695" t="s">
        <v>1186</v>
      </c>
      <c r="D695" t="s">
        <v>124</v>
      </c>
      <c r="E695" t="s">
        <v>36</v>
      </c>
      <c r="F695" t="s">
        <v>47</v>
      </c>
      <c r="G695" t="s">
        <v>138</v>
      </c>
      <c r="H695">
        <v>1</v>
      </c>
      <c r="I695" s="21">
        <v>34166</v>
      </c>
      <c r="J695">
        <v>15</v>
      </c>
      <c r="K695" s="21">
        <v>5124.8999999999996</v>
      </c>
      <c r="L695" s="21">
        <v>29041.1</v>
      </c>
      <c r="M695" s="21">
        <v>17431.5</v>
      </c>
      <c r="N695" s="21">
        <v>11609.6</v>
      </c>
      <c r="O695" t="s">
        <v>55</v>
      </c>
      <c r="P695" s="21">
        <v>1523.55</v>
      </c>
      <c r="Q695" t="s">
        <v>30</v>
      </c>
      <c r="R695" t="s">
        <v>41</v>
      </c>
      <c r="S695">
        <v>2</v>
      </c>
      <c r="T695">
        <v>5</v>
      </c>
      <c r="U695" t="s">
        <v>32</v>
      </c>
      <c r="V695" t="s">
        <v>42</v>
      </c>
    </row>
    <row r="696" spans="1:23" x14ac:dyDescent="0.25">
      <c r="A696" t="s">
        <v>1187</v>
      </c>
      <c r="B696" s="1">
        <v>45672</v>
      </c>
      <c r="C696" t="s">
        <v>1188</v>
      </c>
      <c r="D696" t="s">
        <v>71</v>
      </c>
      <c r="E696" t="s">
        <v>46</v>
      </c>
      <c r="F696" t="s">
        <v>86</v>
      </c>
      <c r="G696" t="s">
        <v>94</v>
      </c>
      <c r="H696">
        <v>3</v>
      </c>
      <c r="I696" s="21">
        <v>76827</v>
      </c>
      <c r="J696">
        <v>0</v>
      </c>
      <c r="K696" s="21">
        <v>0</v>
      </c>
      <c r="L696" s="21">
        <v>230481</v>
      </c>
      <c r="M696" s="21">
        <v>146781.57</v>
      </c>
      <c r="N696" s="21">
        <v>83699.429999999993</v>
      </c>
      <c r="O696" t="s">
        <v>39</v>
      </c>
      <c r="P696" s="21">
        <v>1531.6</v>
      </c>
      <c r="Q696" t="s">
        <v>83</v>
      </c>
      <c r="R696" t="s">
        <v>31</v>
      </c>
      <c r="S696">
        <v>5</v>
      </c>
      <c r="T696">
        <v>6</v>
      </c>
      <c r="U696" t="s">
        <v>32</v>
      </c>
      <c r="V696" t="s">
        <v>50</v>
      </c>
      <c r="W696">
        <v>5</v>
      </c>
    </row>
    <row r="697" spans="1:23" x14ac:dyDescent="0.25">
      <c r="A697" t="s">
        <v>1189</v>
      </c>
      <c r="B697" s="1">
        <v>45857</v>
      </c>
      <c r="C697" t="s">
        <v>179</v>
      </c>
      <c r="D697" t="s">
        <v>25</v>
      </c>
      <c r="E697" t="s">
        <v>36</v>
      </c>
      <c r="F697" t="s">
        <v>37</v>
      </c>
      <c r="G697" t="s">
        <v>100</v>
      </c>
      <c r="H697">
        <v>2</v>
      </c>
      <c r="I697" s="21">
        <v>34493</v>
      </c>
      <c r="J697">
        <v>10</v>
      </c>
      <c r="K697" s="21">
        <v>6898.6</v>
      </c>
      <c r="L697" s="21">
        <v>62087.4</v>
      </c>
      <c r="M697" s="21">
        <v>43774.720000000001</v>
      </c>
      <c r="N697" s="21">
        <v>18312.68</v>
      </c>
      <c r="O697" t="s">
        <v>55</v>
      </c>
      <c r="P697" s="21">
        <v>1207.0999999999999</v>
      </c>
      <c r="Q697" t="s">
        <v>40</v>
      </c>
      <c r="R697" t="s">
        <v>41</v>
      </c>
      <c r="S697">
        <v>2</v>
      </c>
      <c r="T697">
        <v>1</v>
      </c>
      <c r="U697" t="s">
        <v>32</v>
      </c>
      <c r="V697" t="s">
        <v>33</v>
      </c>
      <c r="W697">
        <v>5</v>
      </c>
    </row>
    <row r="698" spans="1:23" x14ac:dyDescent="0.25">
      <c r="A698" t="s">
        <v>1190</v>
      </c>
      <c r="B698" s="1">
        <v>45830</v>
      </c>
      <c r="C698" t="s">
        <v>597</v>
      </c>
      <c r="D698" t="s">
        <v>90</v>
      </c>
      <c r="E698" t="s">
        <v>46</v>
      </c>
      <c r="F698" t="s">
        <v>27</v>
      </c>
      <c r="G698" t="s">
        <v>164</v>
      </c>
      <c r="H698">
        <v>2</v>
      </c>
      <c r="I698" s="21">
        <v>5589</v>
      </c>
      <c r="J698">
        <v>0</v>
      </c>
      <c r="K698" s="21">
        <v>0</v>
      </c>
      <c r="L698" s="21">
        <v>11178</v>
      </c>
      <c r="M698" s="21">
        <v>9029.35</v>
      </c>
      <c r="N698" s="21">
        <v>2148.65</v>
      </c>
      <c r="O698" t="s">
        <v>29</v>
      </c>
      <c r="P698" s="21">
        <v>263.43</v>
      </c>
      <c r="Q698" t="s">
        <v>40</v>
      </c>
      <c r="R698" t="s">
        <v>41</v>
      </c>
      <c r="S698">
        <v>2</v>
      </c>
      <c r="T698">
        <v>2</v>
      </c>
      <c r="U698" t="s">
        <v>32</v>
      </c>
      <c r="V698" t="s">
        <v>33</v>
      </c>
      <c r="W698">
        <v>5</v>
      </c>
    </row>
    <row r="699" spans="1:23" x14ac:dyDescent="0.25">
      <c r="A699" t="s">
        <v>1191</v>
      </c>
      <c r="B699" s="1">
        <v>46000</v>
      </c>
      <c r="C699" t="s">
        <v>1192</v>
      </c>
      <c r="D699" t="s">
        <v>71</v>
      </c>
      <c r="E699" t="s">
        <v>26</v>
      </c>
      <c r="F699" t="s">
        <v>27</v>
      </c>
      <c r="G699" t="s">
        <v>113</v>
      </c>
      <c r="H699">
        <v>1</v>
      </c>
      <c r="I699" s="21">
        <v>14330</v>
      </c>
      <c r="J699">
        <v>25</v>
      </c>
      <c r="K699" s="21">
        <v>3582.5</v>
      </c>
      <c r="L699" s="21">
        <v>10747.5</v>
      </c>
      <c r="M699" s="21">
        <v>8657.0300000000007</v>
      </c>
      <c r="N699" s="21">
        <v>2090.4699999999998</v>
      </c>
      <c r="O699" t="s">
        <v>91</v>
      </c>
      <c r="P699" s="21">
        <v>215.58</v>
      </c>
      <c r="Q699" t="s">
        <v>40</v>
      </c>
      <c r="R699" t="s">
        <v>41</v>
      </c>
      <c r="S699">
        <v>2</v>
      </c>
      <c r="T699">
        <v>1</v>
      </c>
      <c r="U699" t="s">
        <v>32</v>
      </c>
      <c r="V699" t="s">
        <v>33</v>
      </c>
      <c r="W699">
        <v>5</v>
      </c>
    </row>
    <row r="700" spans="1:23" x14ac:dyDescent="0.25">
      <c r="A700" t="s">
        <v>1193</v>
      </c>
      <c r="B700" s="1">
        <v>46005</v>
      </c>
      <c r="C700" t="s">
        <v>629</v>
      </c>
      <c r="D700" t="s">
        <v>79</v>
      </c>
      <c r="E700" t="s">
        <v>46</v>
      </c>
      <c r="F700" t="s">
        <v>53</v>
      </c>
      <c r="G700" t="s">
        <v>59</v>
      </c>
      <c r="H700">
        <v>1</v>
      </c>
      <c r="I700" s="21">
        <v>30129</v>
      </c>
      <c r="J700">
        <v>0</v>
      </c>
      <c r="K700" s="21">
        <v>0</v>
      </c>
      <c r="L700" s="21">
        <v>30129</v>
      </c>
      <c r="M700" s="21">
        <v>16810.830000000002</v>
      </c>
      <c r="N700" s="21">
        <v>13318.17</v>
      </c>
      <c r="O700" t="s">
        <v>29</v>
      </c>
      <c r="P700" s="21">
        <v>404.94</v>
      </c>
      <c r="Q700" t="s">
        <v>30</v>
      </c>
      <c r="R700" t="s">
        <v>31</v>
      </c>
      <c r="S700">
        <v>5</v>
      </c>
      <c r="T700">
        <v>6</v>
      </c>
      <c r="U700" t="s">
        <v>56</v>
      </c>
      <c r="V700" t="s">
        <v>33</v>
      </c>
      <c r="W700">
        <v>3</v>
      </c>
    </row>
    <row r="701" spans="1:23" x14ac:dyDescent="0.25">
      <c r="A701" t="s">
        <v>1194</v>
      </c>
      <c r="B701" s="1">
        <v>45865</v>
      </c>
      <c r="C701" t="s">
        <v>1195</v>
      </c>
      <c r="D701" t="s">
        <v>71</v>
      </c>
      <c r="E701" t="s">
        <v>26</v>
      </c>
      <c r="F701" t="s">
        <v>37</v>
      </c>
      <c r="G701" t="s">
        <v>100</v>
      </c>
      <c r="H701">
        <v>2</v>
      </c>
      <c r="I701" s="21">
        <v>15626</v>
      </c>
      <c r="J701">
        <v>15</v>
      </c>
      <c r="K701" s="21">
        <v>4687.8</v>
      </c>
      <c r="L701" s="21">
        <v>26564.2</v>
      </c>
      <c r="M701" s="21">
        <v>20915.25</v>
      </c>
      <c r="N701" s="21">
        <v>5648.95</v>
      </c>
      <c r="O701" t="s">
        <v>49</v>
      </c>
      <c r="P701" s="21">
        <v>167.23</v>
      </c>
      <c r="Q701" t="s">
        <v>68</v>
      </c>
      <c r="R701" t="s">
        <v>31</v>
      </c>
      <c r="S701">
        <v>5</v>
      </c>
      <c r="T701">
        <v>4</v>
      </c>
      <c r="U701" t="s">
        <v>32</v>
      </c>
      <c r="V701" t="s">
        <v>33</v>
      </c>
      <c r="W701">
        <v>2</v>
      </c>
    </row>
    <row r="702" spans="1:23" x14ac:dyDescent="0.25">
      <c r="A702" t="s">
        <v>1196</v>
      </c>
      <c r="B702" s="1">
        <v>45742</v>
      </c>
      <c r="C702" t="s">
        <v>44</v>
      </c>
      <c r="D702" t="s">
        <v>25</v>
      </c>
      <c r="E702" t="s">
        <v>26</v>
      </c>
      <c r="F702" t="s">
        <v>47</v>
      </c>
      <c r="G702" t="s">
        <v>48</v>
      </c>
      <c r="H702">
        <v>1</v>
      </c>
      <c r="I702" s="21">
        <v>46725</v>
      </c>
      <c r="J702">
        <v>10</v>
      </c>
      <c r="K702" s="21">
        <v>4672.5</v>
      </c>
      <c r="L702" s="21">
        <v>42052.5</v>
      </c>
      <c r="M702" s="21">
        <v>24213.09</v>
      </c>
      <c r="N702" s="21">
        <v>17839.41</v>
      </c>
      <c r="O702" t="s">
        <v>60</v>
      </c>
      <c r="P702" s="21">
        <v>951.78</v>
      </c>
      <c r="Q702" t="s">
        <v>73</v>
      </c>
      <c r="R702" t="s">
        <v>31</v>
      </c>
      <c r="S702">
        <v>5</v>
      </c>
      <c r="T702">
        <v>3</v>
      </c>
      <c r="U702" t="s">
        <v>32</v>
      </c>
      <c r="V702" t="s">
        <v>33</v>
      </c>
      <c r="W702">
        <v>1</v>
      </c>
    </row>
    <row r="703" spans="1:23" x14ac:dyDescent="0.25">
      <c r="A703" t="s">
        <v>1197</v>
      </c>
      <c r="B703" s="1">
        <v>45897</v>
      </c>
      <c r="C703" t="s">
        <v>1198</v>
      </c>
      <c r="D703" t="s">
        <v>25</v>
      </c>
      <c r="E703" t="s">
        <v>36</v>
      </c>
      <c r="F703" t="s">
        <v>53</v>
      </c>
      <c r="G703" t="s">
        <v>82</v>
      </c>
      <c r="H703">
        <v>1</v>
      </c>
      <c r="I703" s="21">
        <v>90378</v>
      </c>
      <c r="J703">
        <v>10</v>
      </c>
      <c r="K703" s="21">
        <v>9037.7999999999993</v>
      </c>
      <c r="L703" s="21">
        <v>81340.2</v>
      </c>
      <c r="M703" s="21">
        <v>46866.66</v>
      </c>
      <c r="N703" s="21">
        <v>34473.54</v>
      </c>
      <c r="O703" t="s">
        <v>55</v>
      </c>
      <c r="P703" s="21">
        <v>1520.17</v>
      </c>
      <c r="Q703" t="s">
        <v>30</v>
      </c>
      <c r="R703" t="s">
        <v>31</v>
      </c>
      <c r="S703">
        <v>5</v>
      </c>
      <c r="T703">
        <v>4</v>
      </c>
      <c r="U703" t="s">
        <v>32</v>
      </c>
      <c r="V703" t="s">
        <v>50</v>
      </c>
      <c r="W703">
        <v>3</v>
      </c>
    </row>
    <row r="704" spans="1:23" x14ac:dyDescent="0.25">
      <c r="A704" t="s">
        <v>1199</v>
      </c>
      <c r="B704" s="1">
        <v>45723</v>
      </c>
      <c r="C704" t="s">
        <v>356</v>
      </c>
      <c r="D704" t="s">
        <v>67</v>
      </c>
      <c r="E704" t="s">
        <v>26</v>
      </c>
      <c r="F704" t="s">
        <v>47</v>
      </c>
      <c r="G704" t="s">
        <v>64</v>
      </c>
      <c r="H704">
        <v>3</v>
      </c>
      <c r="I704" s="21">
        <v>14882</v>
      </c>
      <c r="J704">
        <v>10</v>
      </c>
      <c r="K704" s="21">
        <v>4464.6000000000004</v>
      </c>
      <c r="L704" s="21">
        <v>40181.4</v>
      </c>
      <c r="M704" s="21">
        <v>29509.97</v>
      </c>
      <c r="N704" s="21">
        <v>10671.43</v>
      </c>
      <c r="O704" t="s">
        <v>55</v>
      </c>
      <c r="P704" s="21">
        <v>1344.6</v>
      </c>
      <c r="Q704" t="s">
        <v>40</v>
      </c>
      <c r="R704" t="s">
        <v>31</v>
      </c>
      <c r="S704">
        <v>5</v>
      </c>
      <c r="T704">
        <v>0</v>
      </c>
      <c r="U704" t="s">
        <v>32</v>
      </c>
      <c r="V704" t="s">
        <v>42</v>
      </c>
    </row>
    <row r="705" spans="1:23" x14ac:dyDescent="0.25">
      <c r="A705" t="s">
        <v>1200</v>
      </c>
      <c r="B705" s="1">
        <v>45976</v>
      </c>
      <c r="C705" t="s">
        <v>117</v>
      </c>
      <c r="D705" t="s">
        <v>67</v>
      </c>
      <c r="E705" t="s">
        <v>26</v>
      </c>
      <c r="F705" t="s">
        <v>47</v>
      </c>
      <c r="G705" t="s">
        <v>64</v>
      </c>
      <c r="H705">
        <v>1</v>
      </c>
      <c r="I705" s="21">
        <v>14627</v>
      </c>
      <c r="J705">
        <v>5</v>
      </c>
      <c r="K705" s="21">
        <v>731.35</v>
      </c>
      <c r="L705" s="21">
        <v>13895.65</v>
      </c>
      <c r="M705" s="21">
        <v>9014.6299999999992</v>
      </c>
      <c r="N705" s="21">
        <v>4881.0200000000004</v>
      </c>
      <c r="O705" t="s">
        <v>49</v>
      </c>
      <c r="P705" s="21">
        <v>407.32</v>
      </c>
      <c r="Q705" t="s">
        <v>83</v>
      </c>
      <c r="R705" t="s">
        <v>41</v>
      </c>
      <c r="S705">
        <v>2</v>
      </c>
      <c r="T705">
        <v>1</v>
      </c>
      <c r="U705" t="s">
        <v>32</v>
      </c>
      <c r="V705" t="s">
        <v>33</v>
      </c>
      <c r="W705">
        <v>2</v>
      </c>
    </row>
    <row r="706" spans="1:23" x14ac:dyDescent="0.25">
      <c r="A706" t="s">
        <v>1201</v>
      </c>
      <c r="B706" s="1">
        <v>45931</v>
      </c>
      <c r="C706" t="s">
        <v>1202</v>
      </c>
      <c r="D706" t="s">
        <v>45</v>
      </c>
      <c r="E706" t="s">
        <v>36</v>
      </c>
      <c r="F706" t="s">
        <v>86</v>
      </c>
      <c r="G706" t="s">
        <v>180</v>
      </c>
      <c r="H706">
        <v>1</v>
      </c>
      <c r="I706" s="21">
        <v>75119</v>
      </c>
      <c r="J706">
        <v>25</v>
      </c>
      <c r="K706" s="21">
        <v>18779.75</v>
      </c>
      <c r="L706" s="21">
        <v>56339.25</v>
      </c>
      <c r="M706" s="21">
        <v>36982.769999999997</v>
      </c>
      <c r="N706" s="21">
        <v>19356.48</v>
      </c>
      <c r="O706" t="s">
        <v>55</v>
      </c>
      <c r="P706" s="21">
        <v>936.73</v>
      </c>
      <c r="Q706" t="s">
        <v>30</v>
      </c>
      <c r="R706" t="s">
        <v>31</v>
      </c>
      <c r="S706">
        <v>5</v>
      </c>
      <c r="T706">
        <v>2</v>
      </c>
      <c r="U706" t="s">
        <v>32</v>
      </c>
      <c r="V706" t="s">
        <v>42</v>
      </c>
    </row>
    <row r="707" spans="1:23" x14ac:dyDescent="0.25">
      <c r="A707" t="s">
        <v>1203</v>
      </c>
      <c r="B707" s="1">
        <v>45671</v>
      </c>
      <c r="C707" t="s">
        <v>282</v>
      </c>
      <c r="D707" t="s">
        <v>71</v>
      </c>
      <c r="E707" t="s">
        <v>46</v>
      </c>
      <c r="F707" t="s">
        <v>47</v>
      </c>
      <c r="G707" t="s">
        <v>48</v>
      </c>
      <c r="H707">
        <v>1</v>
      </c>
      <c r="I707" s="21">
        <v>13836</v>
      </c>
      <c r="J707">
        <v>15</v>
      </c>
      <c r="K707" s="21">
        <v>2075.4</v>
      </c>
      <c r="L707" s="21">
        <v>11760.6</v>
      </c>
      <c r="M707" s="21">
        <v>7439.67</v>
      </c>
      <c r="N707" s="21">
        <v>4320.93</v>
      </c>
      <c r="O707" t="s">
        <v>60</v>
      </c>
      <c r="P707" s="21">
        <v>2111.89</v>
      </c>
      <c r="Q707" t="s">
        <v>68</v>
      </c>
      <c r="R707" t="s">
        <v>31</v>
      </c>
      <c r="S707">
        <v>5</v>
      </c>
      <c r="T707">
        <v>6</v>
      </c>
      <c r="U707" t="s">
        <v>56</v>
      </c>
      <c r="V707" t="s">
        <v>33</v>
      </c>
      <c r="W707">
        <v>5</v>
      </c>
    </row>
    <row r="708" spans="1:23" x14ac:dyDescent="0.25">
      <c r="A708" t="s">
        <v>1204</v>
      </c>
      <c r="B708" s="1">
        <v>45859</v>
      </c>
      <c r="C708" t="s">
        <v>370</v>
      </c>
      <c r="D708" t="s">
        <v>97</v>
      </c>
      <c r="E708" t="s">
        <v>26</v>
      </c>
      <c r="F708" t="s">
        <v>53</v>
      </c>
      <c r="G708" t="s">
        <v>59</v>
      </c>
      <c r="H708">
        <v>2</v>
      </c>
      <c r="I708" s="21">
        <v>79030</v>
      </c>
      <c r="J708">
        <v>5</v>
      </c>
      <c r="K708" s="21">
        <v>7903</v>
      </c>
      <c r="L708" s="21">
        <v>150157</v>
      </c>
      <c r="M708" s="21">
        <v>96847.77</v>
      </c>
      <c r="N708" s="21">
        <v>53309.23</v>
      </c>
      <c r="O708" t="s">
        <v>91</v>
      </c>
      <c r="P708" s="21">
        <v>2098.41</v>
      </c>
      <c r="Q708" t="s">
        <v>30</v>
      </c>
      <c r="R708" t="s">
        <v>31</v>
      </c>
      <c r="S708">
        <v>5</v>
      </c>
      <c r="T708">
        <v>6</v>
      </c>
      <c r="U708" t="s">
        <v>32</v>
      </c>
      <c r="V708" t="s">
        <v>42</v>
      </c>
    </row>
    <row r="709" spans="1:23" x14ac:dyDescent="0.25">
      <c r="A709" t="s">
        <v>1205</v>
      </c>
      <c r="B709" s="1">
        <v>45961</v>
      </c>
      <c r="C709" t="s">
        <v>1097</v>
      </c>
      <c r="D709" t="s">
        <v>97</v>
      </c>
      <c r="E709" t="s">
        <v>26</v>
      </c>
      <c r="F709" t="s">
        <v>37</v>
      </c>
      <c r="G709" t="s">
        <v>38</v>
      </c>
      <c r="H709">
        <v>1</v>
      </c>
      <c r="I709" s="21">
        <v>18520</v>
      </c>
      <c r="J709">
        <v>10</v>
      </c>
      <c r="K709" s="21">
        <v>1852</v>
      </c>
      <c r="L709" s="21">
        <v>16668</v>
      </c>
      <c r="M709" s="21">
        <v>9495.76</v>
      </c>
      <c r="N709" s="21">
        <v>7172.24</v>
      </c>
      <c r="O709" t="s">
        <v>39</v>
      </c>
      <c r="P709" s="21">
        <v>1513.63</v>
      </c>
      <c r="Q709" t="s">
        <v>40</v>
      </c>
      <c r="R709" t="s">
        <v>41</v>
      </c>
      <c r="S709">
        <v>2</v>
      </c>
      <c r="T709">
        <v>5</v>
      </c>
      <c r="U709" t="s">
        <v>56</v>
      </c>
      <c r="V709" t="s">
        <v>33</v>
      </c>
      <c r="W709">
        <v>2</v>
      </c>
    </row>
    <row r="710" spans="1:23" x14ac:dyDescent="0.25">
      <c r="A710" t="s">
        <v>1206</v>
      </c>
      <c r="B710" s="1">
        <v>45946</v>
      </c>
      <c r="C710" t="s">
        <v>760</v>
      </c>
      <c r="D710" t="s">
        <v>124</v>
      </c>
      <c r="E710" t="s">
        <v>46</v>
      </c>
      <c r="F710" t="s">
        <v>53</v>
      </c>
      <c r="G710" t="s">
        <v>151</v>
      </c>
      <c r="H710">
        <v>1</v>
      </c>
      <c r="I710" s="21">
        <v>40508</v>
      </c>
      <c r="J710">
        <v>5</v>
      </c>
      <c r="K710" s="21">
        <v>2025.4</v>
      </c>
      <c r="L710" s="21">
        <v>38482.6</v>
      </c>
      <c r="M710" s="21">
        <v>25028.38</v>
      </c>
      <c r="N710" s="21">
        <v>13454.22</v>
      </c>
      <c r="O710" t="s">
        <v>49</v>
      </c>
      <c r="P710" s="21">
        <v>113.75</v>
      </c>
      <c r="Q710" t="s">
        <v>68</v>
      </c>
      <c r="R710" t="s">
        <v>31</v>
      </c>
      <c r="S710">
        <v>5</v>
      </c>
      <c r="T710">
        <v>1</v>
      </c>
      <c r="U710" t="s">
        <v>32</v>
      </c>
      <c r="V710" t="s">
        <v>33</v>
      </c>
      <c r="W710">
        <v>2</v>
      </c>
    </row>
    <row r="711" spans="1:23" x14ac:dyDescent="0.25">
      <c r="A711" t="s">
        <v>1207</v>
      </c>
      <c r="B711" s="1">
        <v>45997</v>
      </c>
      <c r="C711" t="s">
        <v>706</v>
      </c>
      <c r="D711" t="s">
        <v>45</v>
      </c>
      <c r="E711" t="s">
        <v>36</v>
      </c>
      <c r="F711" t="s">
        <v>37</v>
      </c>
      <c r="G711" t="s">
        <v>313</v>
      </c>
      <c r="H711">
        <v>2</v>
      </c>
      <c r="I711" s="21">
        <v>4670</v>
      </c>
      <c r="J711">
        <v>15</v>
      </c>
      <c r="K711" s="21">
        <v>1401</v>
      </c>
      <c r="L711" s="21">
        <v>7939</v>
      </c>
      <c r="M711" s="21">
        <v>6131.76</v>
      </c>
      <c r="N711" s="21">
        <v>1807.24</v>
      </c>
      <c r="O711" t="s">
        <v>49</v>
      </c>
      <c r="P711" s="21">
        <v>455.48</v>
      </c>
      <c r="Q711" t="s">
        <v>30</v>
      </c>
      <c r="R711" t="s">
        <v>41</v>
      </c>
      <c r="S711">
        <v>2</v>
      </c>
      <c r="T711">
        <v>5</v>
      </c>
      <c r="U711" t="s">
        <v>56</v>
      </c>
      <c r="V711" t="s">
        <v>33</v>
      </c>
      <c r="W711">
        <v>5</v>
      </c>
    </row>
    <row r="712" spans="1:23" x14ac:dyDescent="0.25">
      <c r="A712" t="s">
        <v>1208</v>
      </c>
      <c r="B712" s="1">
        <v>45671</v>
      </c>
      <c r="C712" t="s">
        <v>1209</v>
      </c>
      <c r="D712" t="s">
        <v>71</v>
      </c>
      <c r="E712" t="s">
        <v>26</v>
      </c>
      <c r="F712" t="s">
        <v>86</v>
      </c>
      <c r="G712" t="s">
        <v>110</v>
      </c>
      <c r="H712">
        <v>1</v>
      </c>
      <c r="I712" s="21">
        <v>35225</v>
      </c>
      <c r="J712">
        <v>0</v>
      </c>
      <c r="K712" s="21">
        <v>0</v>
      </c>
      <c r="L712" s="21">
        <v>35225</v>
      </c>
      <c r="M712" s="21">
        <v>20885.23</v>
      </c>
      <c r="N712" s="21">
        <v>14339.77</v>
      </c>
      <c r="O712" t="s">
        <v>55</v>
      </c>
      <c r="P712" s="21">
        <v>1434.96</v>
      </c>
      <c r="Q712" t="s">
        <v>68</v>
      </c>
      <c r="R712" t="s">
        <v>31</v>
      </c>
      <c r="S712">
        <v>5</v>
      </c>
      <c r="T712">
        <v>5</v>
      </c>
      <c r="U712" t="s">
        <v>32</v>
      </c>
      <c r="V712" t="s">
        <v>33</v>
      </c>
      <c r="W712">
        <v>2</v>
      </c>
    </row>
    <row r="713" spans="1:23" x14ac:dyDescent="0.25">
      <c r="A713" t="s">
        <v>1210</v>
      </c>
      <c r="B713" s="1">
        <v>45700</v>
      </c>
      <c r="C713" t="s">
        <v>695</v>
      </c>
      <c r="D713" t="s">
        <v>97</v>
      </c>
      <c r="E713" t="s">
        <v>46</v>
      </c>
      <c r="F713" t="s">
        <v>86</v>
      </c>
      <c r="G713" t="s">
        <v>127</v>
      </c>
      <c r="H713">
        <v>2</v>
      </c>
      <c r="I713" s="21">
        <v>57761</v>
      </c>
      <c r="J713">
        <v>25</v>
      </c>
      <c r="K713" s="21">
        <v>28880.5</v>
      </c>
      <c r="L713" s="21">
        <v>86641.5</v>
      </c>
      <c r="M713" s="21">
        <v>67454.100000000006</v>
      </c>
      <c r="N713" s="21">
        <v>19187.400000000001</v>
      </c>
      <c r="O713" t="s">
        <v>39</v>
      </c>
      <c r="P713" s="21">
        <v>2489.7800000000002</v>
      </c>
      <c r="Q713" t="s">
        <v>30</v>
      </c>
      <c r="R713" t="s">
        <v>31</v>
      </c>
      <c r="S713">
        <v>5</v>
      </c>
      <c r="T713">
        <v>4</v>
      </c>
      <c r="U713" t="s">
        <v>32</v>
      </c>
      <c r="V713" t="s">
        <v>33</v>
      </c>
      <c r="W713">
        <v>5</v>
      </c>
    </row>
    <row r="714" spans="1:23" x14ac:dyDescent="0.25">
      <c r="A714" t="s">
        <v>1211</v>
      </c>
      <c r="B714" s="1">
        <v>45987</v>
      </c>
      <c r="C714" t="s">
        <v>1212</v>
      </c>
      <c r="D714" t="s">
        <v>124</v>
      </c>
      <c r="E714" t="s">
        <v>36</v>
      </c>
      <c r="F714" t="s">
        <v>27</v>
      </c>
      <c r="G714" t="s">
        <v>164</v>
      </c>
      <c r="H714">
        <v>1</v>
      </c>
      <c r="I714" s="21">
        <v>11421</v>
      </c>
      <c r="J714">
        <v>10</v>
      </c>
      <c r="K714" s="21">
        <v>1142.0999999999999</v>
      </c>
      <c r="L714" s="21">
        <v>10278.9</v>
      </c>
      <c r="M714" s="21">
        <v>6869.28</v>
      </c>
      <c r="N714" s="21">
        <v>3409.62</v>
      </c>
      <c r="O714" t="s">
        <v>55</v>
      </c>
      <c r="P714" s="21">
        <v>1968.99</v>
      </c>
      <c r="Q714" t="s">
        <v>40</v>
      </c>
      <c r="R714" t="s">
        <v>41</v>
      </c>
      <c r="S714">
        <v>2</v>
      </c>
      <c r="T714">
        <v>1</v>
      </c>
      <c r="U714" t="s">
        <v>32</v>
      </c>
      <c r="V714" t="s">
        <v>33</v>
      </c>
      <c r="W714">
        <v>5</v>
      </c>
    </row>
    <row r="715" spans="1:23" x14ac:dyDescent="0.25">
      <c r="A715" t="s">
        <v>1213</v>
      </c>
      <c r="B715" s="1">
        <v>45877</v>
      </c>
      <c r="C715" t="s">
        <v>854</v>
      </c>
      <c r="D715" t="s">
        <v>90</v>
      </c>
      <c r="E715" t="s">
        <v>46</v>
      </c>
      <c r="F715" t="s">
        <v>47</v>
      </c>
      <c r="G715" t="s">
        <v>146</v>
      </c>
      <c r="H715">
        <v>1</v>
      </c>
      <c r="I715" s="21">
        <v>18503</v>
      </c>
      <c r="J715">
        <v>0</v>
      </c>
      <c r="K715" s="21">
        <v>0</v>
      </c>
      <c r="L715" s="21">
        <v>18503</v>
      </c>
      <c r="M715" s="21">
        <v>12131.57</v>
      </c>
      <c r="N715" s="21">
        <v>6371.43</v>
      </c>
      <c r="O715" t="s">
        <v>29</v>
      </c>
      <c r="P715" s="21">
        <v>346.39</v>
      </c>
      <c r="Q715" t="s">
        <v>68</v>
      </c>
      <c r="R715" t="s">
        <v>41</v>
      </c>
      <c r="S715">
        <v>2</v>
      </c>
      <c r="T715">
        <v>2</v>
      </c>
      <c r="U715" t="s">
        <v>32</v>
      </c>
      <c r="V715" t="s">
        <v>33</v>
      </c>
      <c r="W715">
        <v>5</v>
      </c>
    </row>
    <row r="716" spans="1:23" x14ac:dyDescent="0.25">
      <c r="A716" t="s">
        <v>1214</v>
      </c>
      <c r="B716" s="1">
        <v>45727</v>
      </c>
      <c r="C716" t="s">
        <v>421</v>
      </c>
      <c r="D716" t="s">
        <v>90</v>
      </c>
      <c r="E716" t="s">
        <v>46</v>
      </c>
      <c r="F716" t="s">
        <v>47</v>
      </c>
      <c r="G716" t="s">
        <v>48</v>
      </c>
      <c r="H716">
        <v>1</v>
      </c>
      <c r="I716" s="21">
        <v>25861</v>
      </c>
      <c r="J716">
        <v>25</v>
      </c>
      <c r="K716" s="21">
        <v>6465.25</v>
      </c>
      <c r="L716" s="21">
        <v>19395.75</v>
      </c>
      <c r="M716" s="21">
        <v>15716.91</v>
      </c>
      <c r="N716" s="21">
        <v>3678.84</v>
      </c>
      <c r="O716" t="s">
        <v>60</v>
      </c>
      <c r="P716" s="21">
        <v>349.8</v>
      </c>
      <c r="Q716" t="s">
        <v>40</v>
      </c>
      <c r="R716" t="s">
        <v>31</v>
      </c>
      <c r="S716">
        <v>5</v>
      </c>
      <c r="T716">
        <v>4</v>
      </c>
      <c r="U716" t="s">
        <v>32</v>
      </c>
      <c r="V716" t="s">
        <v>33</v>
      </c>
      <c r="W716">
        <v>5</v>
      </c>
    </row>
    <row r="717" spans="1:23" x14ac:dyDescent="0.25">
      <c r="A717" t="s">
        <v>1215</v>
      </c>
      <c r="B717" s="1">
        <v>45894</v>
      </c>
      <c r="C717" t="s">
        <v>892</v>
      </c>
      <c r="D717" t="s">
        <v>25</v>
      </c>
      <c r="E717" t="s">
        <v>46</v>
      </c>
      <c r="F717" t="s">
        <v>37</v>
      </c>
      <c r="G717" t="s">
        <v>224</v>
      </c>
      <c r="H717">
        <v>3</v>
      </c>
      <c r="I717" s="21">
        <v>4224</v>
      </c>
      <c r="J717">
        <v>0</v>
      </c>
      <c r="K717" s="21">
        <v>0</v>
      </c>
      <c r="L717" s="21">
        <v>12672</v>
      </c>
      <c r="M717" s="21">
        <v>9753.65</v>
      </c>
      <c r="N717" s="21">
        <v>2918.35</v>
      </c>
      <c r="O717" t="s">
        <v>39</v>
      </c>
      <c r="P717" s="21">
        <v>716.39</v>
      </c>
      <c r="Q717" t="s">
        <v>83</v>
      </c>
      <c r="R717" t="s">
        <v>31</v>
      </c>
      <c r="S717">
        <v>5</v>
      </c>
      <c r="T717">
        <v>6</v>
      </c>
      <c r="U717" t="s">
        <v>32</v>
      </c>
      <c r="V717" t="s">
        <v>42</v>
      </c>
    </row>
    <row r="718" spans="1:23" x14ac:dyDescent="0.25">
      <c r="A718" t="s">
        <v>1216</v>
      </c>
      <c r="B718" s="1">
        <v>45751</v>
      </c>
      <c r="C718" t="s">
        <v>1217</v>
      </c>
      <c r="D718" t="s">
        <v>90</v>
      </c>
      <c r="E718" t="s">
        <v>36</v>
      </c>
      <c r="F718" t="s">
        <v>37</v>
      </c>
      <c r="G718" t="s">
        <v>38</v>
      </c>
      <c r="H718">
        <v>1</v>
      </c>
      <c r="I718" s="21">
        <v>29347</v>
      </c>
      <c r="J718">
        <v>20</v>
      </c>
      <c r="K718" s="21">
        <v>5869.4</v>
      </c>
      <c r="L718" s="21">
        <v>23477.599999999999</v>
      </c>
      <c r="M718" s="21">
        <v>18682.650000000001</v>
      </c>
      <c r="N718" s="21">
        <v>4794.95</v>
      </c>
      <c r="O718" t="s">
        <v>49</v>
      </c>
      <c r="P718" s="21">
        <v>162.52000000000001</v>
      </c>
      <c r="Q718" t="s">
        <v>30</v>
      </c>
      <c r="R718" t="s">
        <v>41</v>
      </c>
      <c r="S718">
        <v>2</v>
      </c>
      <c r="T718">
        <v>2</v>
      </c>
      <c r="U718" t="s">
        <v>32</v>
      </c>
      <c r="V718" t="s">
        <v>33</v>
      </c>
      <c r="W718">
        <v>5</v>
      </c>
    </row>
    <row r="719" spans="1:23" x14ac:dyDescent="0.25">
      <c r="A719" t="s">
        <v>1218</v>
      </c>
      <c r="B719" s="1">
        <v>45683</v>
      </c>
      <c r="C719" t="s">
        <v>595</v>
      </c>
      <c r="D719" t="s">
        <v>97</v>
      </c>
      <c r="E719" t="s">
        <v>46</v>
      </c>
      <c r="F719" t="s">
        <v>27</v>
      </c>
      <c r="G719" t="s">
        <v>76</v>
      </c>
      <c r="H719">
        <v>1</v>
      </c>
      <c r="I719" s="21">
        <v>11928</v>
      </c>
      <c r="J719">
        <v>10</v>
      </c>
      <c r="K719" s="21">
        <v>1192.8</v>
      </c>
      <c r="L719" s="21">
        <v>10735.2</v>
      </c>
      <c r="M719" s="21">
        <v>8049.27</v>
      </c>
      <c r="N719" s="21">
        <v>2685.93</v>
      </c>
      <c r="O719" t="s">
        <v>39</v>
      </c>
      <c r="P719" s="21">
        <v>297.88</v>
      </c>
      <c r="Q719" t="s">
        <v>30</v>
      </c>
      <c r="R719" t="s">
        <v>41</v>
      </c>
      <c r="S719">
        <v>2</v>
      </c>
      <c r="T719">
        <v>2</v>
      </c>
      <c r="U719" t="s">
        <v>32</v>
      </c>
      <c r="V719" t="s">
        <v>33</v>
      </c>
      <c r="W719">
        <v>2</v>
      </c>
    </row>
    <row r="720" spans="1:23" x14ac:dyDescent="0.25">
      <c r="A720" t="s">
        <v>1219</v>
      </c>
      <c r="B720" s="1">
        <v>45791</v>
      </c>
      <c r="C720" t="s">
        <v>1172</v>
      </c>
      <c r="D720" t="s">
        <v>154</v>
      </c>
      <c r="E720" t="s">
        <v>46</v>
      </c>
      <c r="F720" t="s">
        <v>37</v>
      </c>
      <c r="G720" t="s">
        <v>161</v>
      </c>
      <c r="H720">
        <v>3</v>
      </c>
      <c r="I720" s="21">
        <v>33642</v>
      </c>
      <c r="J720">
        <v>20</v>
      </c>
      <c r="K720" s="21">
        <v>20185.2</v>
      </c>
      <c r="L720" s="21">
        <v>80740.800000000003</v>
      </c>
      <c r="M720" s="21">
        <v>65169.21</v>
      </c>
      <c r="N720" s="21">
        <v>15571.59</v>
      </c>
      <c r="O720" t="s">
        <v>49</v>
      </c>
      <c r="P720" s="21">
        <v>196.7</v>
      </c>
      <c r="Q720" t="s">
        <v>30</v>
      </c>
      <c r="R720" t="s">
        <v>41</v>
      </c>
      <c r="S720">
        <v>2</v>
      </c>
      <c r="T720">
        <v>1</v>
      </c>
      <c r="U720" t="s">
        <v>32</v>
      </c>
      <c r="V720" t="s">
        <v>33</v>
      </c>
      <c r="W720">
        <v>3</v>
      </c>
    </row>
    <row r="721" spans="1:23" x14ac:dyDescent="0.25">
      <c r="A721" t="s">
        <v>1220</v>
      </c>
      <c r="B721" s="1">
        <v>45852</v>
      </c>
      <c r="C721" t="s">
        <v>163</v>
      </c>
      <c r="D721" t="s">
        <v>124</v>
      </c>
      <c r="E721" t="s">
        <v>26</v>
      </c>
      <c r="F721" t="s">
        <v>47</v>
      </c>
      <c r="G721" t="s">
        <v>64</v>
      </c>
      <c r="H721">
        <v>2</v>
      </c>
      <c r="I721" s="21">
        <v>50209</v>
      </c>
      <c r="J721">
        <v>15</v>
      </c>
      <c r="K721" s="21">
        <v>15062.7</v>
      </c>
      <c r="L721" s="21">
        <v>85355.3</v>
      </c>
      <c r="M721" s="21">
        <v>55583.41</v>
      </c>
      <c r="N721" s="21">
        <v>29771.89</v>
      </c>
      <c r="O721" t="s">
        <v>91</v>
      </c>
      <c r="P721" s="21">
        <v>525.05999999999995</v>
      </c>
      <c r="Q721" t="s">
        <v>83</v>
      </c>
      <c r="R721" t="s">
        <v>31</v>
      </c>
      <c r="S721">
        <v>5</v>
      </c>
      <c r="T721">
        <v>4</v>
      </c>
      <c r="U721" t="s">
        <v>32</v>
      </c>
      <c r="V721" t="s">
        <v>33</v>
      </c>
      <c r="W721">
        <v>4</v>
      </c>
    </row>
    <row r="722" spans="1:23" x14ac:dyDescent="0.25">
      <c r="A722" t="s">
        <v>1221</v>
      </c>
      <c r="B722" s="1">
        <v>45825</v>
      </c>
      <c r="C722" t="s">
        <v>219</v>
      </c>
      <c r="D722" t="s">
        <v>45</v>
      </c>
      <c r="E722" t="s">
        <v>46</v>
      </c>
      <c r="F722" t="s">
        <v>37</v>
      </c>
      <c r="G722" t="s">
        <v>100</v>
      </c>
      <c r="H722">
        <v>1</v>
      </c>
      <c r="I722" s="21">
        <v>32297</v>
      </c>
      <c r="J722">
        <v>0</v>
      </c>
      <c r="K722" s="21">
        <v>0</v>
      </c>
      <c r="L722" s="21">
        <v>32297</v>
      </c>
      <c r="M722" s="21">
        <v>25988.23</v>
      </c>
      <c r="N722" s="21">
        <v>6308.77</v>
      </c>
      <c r="O722" t="s">
        <v>60</v>
      </c>
      <c r="P722" s="21">
        <v>1505</v>
      </c>
      <c r="Q722" t="s">
        <v>68</v>
      </c>
      <c r="R722" t="s">
        <v>31</v>
      </c>
      <c r="S722">
        <v>5</v>
      </c>
      <c r="T722">
        <v>5</v>
      </c>
      <c r="U722" t="s">
        <v>32</v>
      </c>
      <c r="V722" t="s">
        <v>33</v>
      </c>
      <c r="W722">
        <v>4</v>
      </c>
    </row>
    <row r="723" spans="1:23" x14ac:dyDescent="0.25">
      <c r="A723" t="s">
        <v>1222</v>
      </c>
      <c r="B723" s="1">
        <v>45766</v>
      </c>
      <c r="C723" t="s">
        <v>1223</v>
      </c>
      <c r="D723" t="s">
        <v>71</v>
      </c>
      <c r="E723" t="s">
        <v>26</v>
      </c>
      <c r="F723" t="s">
        <v>86</v>
      </c>
      <c r="G723" t="s">
        <v>110</v>
      </c>
      <c r="H723">
        <v>1</v>
      </c>
      <c r="I723" s="21">
        <v>67417</v>
      </c>
      <c r="J723">
        <v>20</v>
      </c>
      <c r="K723" s="21">
        <v>13483.4</v>
      </c>
      <c r="L723" s="21">
        <v>53933.599999999999</v>
      </c>
      <c r="M723" s="21">
        <v>34268.22</v>
      </c>
      <c r="N723" s="21">
        <v>19665.38</v>
      </c>
      <c r="O723" t="s">
        <v>29</v>
      </c>
      <c r="P723" s="21">
        <v>423.25</v>
      </c>
      <c r="Q723" t="s">
        <v>83</v>
      </c>
      <c r="R723" t="s">
        <v>31</v>
      </c>
      <c r="S723">
        <v>5</v>
      </c>
      <c r="T723">
        <v>5</v>
      </c>
      <c r="U723" t="s">
        <v>32</v>
      </c>
      <c r="V723" t="s">
        <v>42</v>
      </c>
    </row>
    <row r="724" spans="1:23" x14ac:dyDescent="0.25">
      <c r="A724" t="s">
        <v>1224</v>
      </c>
      <c r="B724" s="1">
        <v>45890</v>
      </c>
      <c r="C724" t="s">
        <v>546</v>
      </c>
      <c r="D724" t="s">
        <v>90</v>
      </c>
      <c r="E724" t="s">
        <v>36</v>
      </c>
      <c r="F724" t="s">
        <v>53</v>
      </c>
      <c r="G724" t="s">
        <v>151</v>
      </c>
      <c r="H724">
        <v>1</v>
      </c>
      <c r="I724" s="21">
        <v>55752</v>
      </c>
      <c r="J724">
        <v>0</v>
      </c>
      <c r="K724" s="21">
        <v>0</v>
      </c>
      <c r="L724" s="21">
        <v>55752</v>
      </c>
      <c r="M724" s="21">
        <v>36126.949999999997</v>
      </c>
      <c r="N724" s="21">
        <v>19625.05</v>
      </c>
      <c r="O724" t="s">
        <v>39</v>
      </c>
      <c r="P724" s="21">
        <v>978.83</v>
      </c>
      <c r="Q724" t="s">
        <v>68</v>
      </c>
      <c r="R724" t="s">
        <v>41</v>
      </c>
      <c r="S724">
        <v>2</v>
      </c>
      <c r="T724">
        <v>1</v>
      </c>
      <c r="U724" t="s">
        <v>32</v>
      </c>
      <c r="V724" t="s">
        <v>33</v>
      </c>
      <c r="W724">
        <v>4</v>
      </c>
    </row>
    <row r="725" spans="1:23" x14ac:dyDescent="0.25">
      <c r="A725" t="s">
        <v>1225</v>
      </c>
      <c r="B725" s="1">
        <v>45825</v>
      </c>
      <c r="C725" t="s">
        <v>742</v>
      </c>
      <c r="D725" t="s">
        <v>97</v>
      </c>
      <c r="E725" t="s">
        <v>36</v>
      </c>
      <c r="F725" t="s">
        <v>86</v>
      </c>
      <c r="G725" t="s">
        <v>94</v>
      </c>
      <c r="H725">
        <v>1</v>
      </c>
      <c r="I725" s="21">
        <v>75770</v>
      </c>
      <c r="J725">
        <v>0</v>
      </c>
      <c r="K725" s="21">
        <v>0</v>
      </c>
      <c r="L725" s="21">
        <v>75770</v>
      </c>
      <c r="M725" s="21">
        <v>53163.97</v>
      </c>
      <c r="N725" s="21">
        <v>22606.03</v>
      </c>
      <c r="O725" t="s">
        <v>91</v>
      </c>
      <c r="P725" s="21">
        <v>1786.92</v>
      </c>
      <c r="Q725" t="s">
        <v>68</v>
      </c>
      <c r="R725" t="s">
        <v>41</v>
      </c>
      <c r="S725">
        <v>2</v>
      </c>
      <c r="T725">
        <v>5</v>
      </c>
      <c r="U725" t="s">
        <v>32</v>
      </c>
      <c r="V725" t="s">
        <v>50</v>
      </c>
      <c r="W725">
        <v>3</v>
      </c>
    </row>
    <row r="726" spans="1:23" x14ac:dyDescent="0.25">
      <c r="A726" t="s">
        <v>1226</v>
      </c>
      <c r="B726" s="1">
        <v>45830</v>
      </c>
      <c r="C726" t="s">
        <v>1227</v>
      </c>
      <c r="D726" t="s">
        <v>79</v>
      </c>
      <c r="E726" t="s">
        <v>46</v>
      </c>
      <c r="F726" t="s">
        <v>53</v>
      </c>
      <c r="G726" t="s">
        <v>268</v>
      </c>
      <c r="H726">
        <v>1</v>
      </c>
      <c r="I726" s="21">
        <v>58724</v>
      </c>
      <c r="J726">
        <v>10</v>
      </c>
      <c r="K726" s="21">
        <v>5872.4</v>
      </c>
      <c r="L726" s="21">
        <v>52851.6</v>
      </c>
      <c r="M726" s="21">
        <v>42352.86</v>
      </c>
      <c r="N726" s="21">
        <v>10498.74</v>
      </c>
      <c r="O726" t="s">
        <v>55</v>
      </c>
      <c r="P726" s="21">
        <v>2256.17</v>
      </c>
      <c r="Q726" t="s">
        <v>30</v>
      </c>
      <c r="R726" t="s">
        <v>31</v>
      </c>
      <c r="S726">
        <v>5</v>
      </c>
      <c r="T726">
        <v>3</v>
      </c>
      <c r="U726" t="s">
        <v>32</v>
      </c>
      <c r="V726" t="s">
        <v>42</v>
      </c>
    </row>
    <row r="727" spans="1:23" x14ac:dyDescent="0.25">
      <c r="A727" t="s">
        <v>1228</v>
      </c>
      <c r="B727" s="1">
        <v>45852</v>
      </c>
      <c r="C727" t="s">
        <v>580</v>
      </c>
      <c r="D727" t="s">
        <v>79</v>
      </c>
      <c r="E727" t="s">
        <v>46</v>
      </c>
      <c r="F727" t="s">
        <v>37</v>
      </c>
      <c r="G727" t="s">
        <v>313</v>
      </c>
      <c r="H727">
        <v>1</v>
      </c>
      <c r="I727" s="21">
        <v>11272</v>
      </c>
      <c r="J727">
        <v>5</v>
      </c>
      <c r="K727" s="21">
        <v>563.6</v>
      </c>
      <c r="L727" s="21">
        <v>10708.4</v>
      </c>
      <c r="M727" s="21">
        <v>8669.7900000000009</v>
      </c>
      <c r="N727" s="21">
        <v>2038.61</v>
      </c>
      <c r="O727" t="s">
        <v>39</v>
      </c>
      <c r="P727" s="21">
        <v>2023.4</v>
      </c>
      <c r="Q727" t="s">
        <v>83</v>
      </c>
      <c r="R727" t="s">
        <v>41</v>
      </c>
      <c r="S727">
        <v>2</v>
      </c>
      <c r="T727">
        <v>1</v>
      </c>
      <c r="U727" t="s">
        <v>32</v>
      </c>
      <c r="V727" t="s">
        <v>33</v>
      </c>
      <c r="W727">
        <v>5</v>
      </c>
    </row>
    <row r="728" spans="1:23" x14ac:dyDescent="0.25">
      <c r="A728" t="s">
        <v>1229</v>
      </c>
      <c r="B728" s="1">
        <v>45800</v>
      </c>
      <c r="C728" t="s">
        <v>1230</v>
      </c>
      <c r="D728" t="s">
        <v>90</v>
      </c>
      <c r="E728" t="s">
        <v>36</v>
      </c>
      <c r="F728" t="s">
        <v>86</v>
      </c>
      <c r="G728" t="s">
        <v>110</v>
      </c>
      <c r="H728">
        <v>1</v>
      </c>
      <c r="I728" s="21">
        <v>39123</v>
      </c>
      <c r="J728">
        <v>10</v>
      </c>
      <c r="K728" s="21">
        <v>3912.3</v>
      </c>
      <c r="L728" s="21">
        <v>35210.699999999997</v>
      </c>
      <c r="M728" s="21">
        <v>28702</v>
      </c>
      <c r="N728" s="21">
        <v>6508.7</v>
      </c>
      <c r="O728" t="s">
        <v>29</v>
      </c>
      <c r="P728" s="21">
        <v>2283.38</v>
      </c>
      <c r="Q728" t="s">
        <v>83</v>
      </c>
      <c r="R728" t="s">
        <v>41</v>
      </c>
      <c r="S728">
        <v>2</v>
      </c>
      <c r="T728">
        <v>2</v>
      </c>
      <c r="U728" t="s">
        <v>32</v>
      </c>
      <c r="V728" t="s">
        <v>33</v>
      </c>
      <c r="W728">
        <v>3</v>
      </c>
    </row>
    <row r="729" spans="1:23" x14ac:dyDescent="0.25">
      <c r="A729" t="s">
        <v>1231</v>
      </c>
      <c r="B729" s="1">
        <v>45873</v>
      </c>
      <c r="C729" t="s">
        <v>1188</v>
      </c>
      <c r="D729" t="s">
        <v>67</v>
      </c>
      <c r="E729" t="s">
        <v>46</v>
      </c>
      <c r="F729" t="s">
        <v>47</v>
      </c>
      <c r="G729" t="s">
        <v>48</v>
      </c>
      <c r="H729">
        <v>1</v>
      </c>
      <c r="I729" s="21">
        <v>50037</v>
      </c>
      <c r="J729">
        <v>10</v>
      </c>
      <c r="K729" s="21">
        <v>5003.7</v>
      </c>
      <c r="L729" s="21">
        <v>45033.3</v>
      </c>
      <c r="M729" s="21">
        <v>31471.25</v>
      </c>
      <c r="N729" s="21">
        <v>13562.05</v>
      </c>
      <c r="O729" t="s">
        <v>60</v>
      </c>
      <c r="P729" s="21">
        <v>1519.4</v>
      </c>
      <c r="Q729" t="s">
        <v>73</v>
      </c>
      <c r="R729" t="s">
        <v>31</v>
      </c>
      <c r="S729">
        <v>5</v>
      </c>
      <c r="T729">
        <v>5</v>
      </c>
      <c r="U729" t="s">
        <v>32</v>
      </c>
      <c r="V729" t="s">
        <v>33</v>
      </c>
      <c r="W729">
        <v>5</v>
      </c>
    </row>
    <row r="730" spans="1:23" x14ac:dyDescent="0.25">
      <c r="A730" t="s">
        <v>1232</v>
      </c>
      <c r="B730" s="1">
        <v>45787</v>
      </c>
      <c r="C730" t="s">
        <v>126</v>
      </c>
      <c r="D730" t="s">
        <v>71</v>
      </c>
      <c r="E730" t="s">
        <v>46</v>
      </c>
      <c r="F730" t="s">
        <v>27</v>
      </c>
      <c r="G730" t="s">
        <v>76</v>
      </c>
      <c r="H730">
        <v>2</v>
      </c>
      <c r="I730" s="21">
        <v>15519</v>
      </c>
      <c r="J730">
        <v>15</v>
      </c>
      <c r="K730" s="21">
        <v>4655.7</v>
      </c>
      <c r="L730" s="21">
        <v>26382.3</v>
      </c>
      <c r="M730" s="21">
        <v>17410.810000000001</v>
      </c>
      <c r="N730" s="21">
        <v>8971.49</v>
      </c>
      <c r="O730" t="s">
        <v>60</v>
      </c>
      <c r="P730" s="21">
        <v>1853.97</v>
      </c>
      <c r="Q730" t="s">
        <v>40</v>
      </c>
      <c r="R730" t="s">
        <v>31</v>
      </c>
      <c r="S730">
        <v>5</v>
      </c>
      <c r="T730">
        <v>3</v>
      </c>
      <c r="U730" t="s">
        <v>32</v>
      </c>
      <c r="V730" t="s">
        <v>33</v>
      </c>
      <c r="W730">
        <v>3</v>
      </c>
    </row>
    <row r="731" spans="1:23" x14ac:dyDescent="0.25">
      <c r="A731" t="s">
        <v>1233</v>
      </c>
      <c r="B731" s="1">
        <v>45699</v>
      </c>
      <c r="C731" t="s">
        <v>1234</v>
      </c>
      <c r="D731" t="s">
        <v>63</v>
      </c>
      <c r="E731" t="s">
        <v>36</v>
      </c>
      <c r="F731" t="s">
        <v>47</v>
      </c>
      <c r="G731" t="s">
        <v>105</v>
      </c>
      <c r="H731">
        <v>3</v>
      </c>
      <c r="I731" s="21">
        <v>50661</v>
      </c>
      <c r="J731">
        <v>0</v>
      </c>
      <c r="K731" s="21">
        <v>0</v>
      </c>
      <c r="L731" s="21">
        <v>151983</v>
      </c>
      <c r="M731" s="21">
        <v>116860.32</v>
      </c>
      <c r="N731" s="21">
        <v>35122.68</v>
      </c>
      <c r="O731" t="s">
        <v>55</v>
      </c>
      <c r="P731" s="21">
        <v>607.35</v>
      </c>
      <c r="Q731" t="s">
        <v>83</v>
      </c>
      <c r="R731" t="s">
        <v>31</v>
      </c>
      <c r="S731">
        <v>5</v>
      </c>
      <c r="T731">
        <v>3</v>
      </c>
      <c r="U731" t="s">
        <v>32</v>
      </c>
      <c r="V731" t="s">
        <v>33</v>
      </c>
      <c r="W731">
        <v>1</v>
      </c>
    </row>
    <row r="732" spans="1:23" x14ac:dyDescent="0.25">
      <c r="A732" t="s">
        <v>1235</v>
      </c>
      <c r="B732" s="1">
        <v>45898</v>
      </c>
      <c r="C732" t="s">
        <v>671</v>
      </c>
      <c r="D732" t="s">
        <v>79</v>
      </c>
      <c r="E732" t="s">
        <v>46</v>
      </c>
      <c r="F732" t="s">
        <v>47</v>
      </c>
      <c r="G732" t="s">
        <v>64</v>
      </c>
      <c r="H732">
        <v>1</v>
      </c>
      <c r="I732" s="21">
        <v>29356</v>
      </c>
      <c r="J732">
        <v>10</v>
      </c>
      <c r="K732" s="21">
        <v>2935.6</v>
      </c>
      <c r="L732" s="21">
        <v>26420.400000000001</v>
      </c>
      <c r="M732" s="21">
        <v>20139.099999999999</v>
      </c>
      <c r="N732" s="21">
        <v>6281.3</v>
      </c>
      <c r="O732" t="s">
        <v>55</v>
      </c>
      <c r="P732" s="21">
        <v>1819.54</v>
      </c>
      <c r="Q732" t="s">
        <v>68</v>
      </c>
      <c r="R732" t="s">
        <v>31</v>
      </c>
      <c r="S732">
        <v>5</v>
      </c>
      <c r="T732">
        <v>5</v>
      </c>
      <c r="U732" t="s">
        <v>32</v>
      </c>
      <c r="V732" t="s">
        <v>33</v>
      </c>
      <c r="W732">
        <v>1</v>
      </c>
    </row>
    <row r="733" spans="1:23" x14ac:dyDescent="0.25">
      <c r="A733" t="s">
        <v>1236</v>
      </c>
      <c r="B733" s="1">
        <v>45667</v>
      </c>
      <c r="C733" t="s">
        <v>1116</v>
      </c>
      <c r="D733" t="s">
        <v>79</v>
      </c>
      <c r="E733" t="s">
        <v>46</v>
      </c>
      <c r="F733" t="s">
        <v>53</v>
      </c>
      <c r="G733" t="s">
        <v>268</v>
      </c>
      <c r="H733">
        <v>2</v>
      </c>
      <c r="I733" s="21">
        <v>36553</v>
      </c>
      <c r="J733">
        <v>25</v>
      </c>
      <c r="K733" s="21">
        <v>18276.5</v>
      </c>
      <c r="L733" s="21">
        <v>54829.5</v>
      </c>
      <c r="M733" s="21">
        <v>33008.04</v>
      </c>
      <c r="N733" s="21">
        <v>21821.46</v>
      </c>
      <c r="O733" t="s">
        <v>55</v>
      </c>
      <c r="P733" s="21">
        <v>1824.43</v>
      </c>
      <c r="Q733" t="s">
        <v>30</v>
      </c>
      <c r="R733" t="s">
        <v>41</v>
      </c>
      <c r="S733">
        <v>2</v>
      </c>
      <c r="T733">
        <v>1</v>
      </c>
      <c r="U733" t="s">
        <v>32</v>
      </c>
      <c r="V733" t="s">
        <v>33</v>
      </c>
      <c r="W733">
        <v>5</v>
      </c>
    </row>
    <row r="734" spans="1:23" x14ac:dyDescent="0.25">
      <c r="A734" t="s">
        <v>1237</v>
      </c>
      <c r="B734" s="1">
        <v>45934</v>
      </c>
      <c r="C734" t="s">
        <v>1238</v>
      </c>
      <c r="D734" t="s">
        <v>67</v>
      </c>
      <c r="E734" t="s">
        <v>26</v>
      </c>
      <c r="F734" t="s">
        <v>86</v>
      </c>
      <c r="G734" t="s">
        <v>110</v>
      </c>
      <c r="H734">
        <v>1</v>
      </c>
      <c r="I734" s="21">
        <v>24860</v>
      </c>
      <c r="J734">
        <v>0</v>
      </c>
      <c r="K734" s="21">
        <v>0</v>
      </c>
      <c r="L734" s="21">
        <v>24860</v>
      </c>
      <c r="M734" s="21">
        <v>18390.79</v>
      </c>
      <c r="N734" s="21">
        <v>6469.21</v>
      </c>
      <c r="O734" t="s">
        <v>91</v>
      </c>
      <c r="P734" s="21">
        <v>2151.8200000000002</v>
      </c>
      <c r="Q734" t="s">
        <v>68</v>
      </c>
      <c r="R734" t="s">
        <v>31</v>
      </c>
      <c r="S734">
        <v>5</v>
      </c>
      <c r="T734">
        <v>5</v>
      </c>
      <c r="U734" t="s">
        <v>32</v>
      </c>
      <c r="V734" t="s">
        <v>33</v>
      </c>
      <c r="W734">
        <v>2</v>
      </c>
    </row>
    <row r="735" spans="1:23" x14ac:dyDescent="0.25">
      <c r="A735" t="s">
        <v>1239</v>
      </c>
      <c r="B735" s="1">
        <v>45684</v>
      </c>
      <c r="C735" t="s">
        <v>1186</v>
      </c>
      <c r="D735" t="s">
        <v>45</v>
      </c>
      <c r="E735" t="s">
        <v>26</v>
      </c>
      <c r="F735" t="s">
        <v>47</v>
      </c>
      <c r="G735" t="s">
        <v>105</v>
      </c>
      <c r="H735">
        <v>1</v>
      </c>
      <c r="I735" s="21">
        <v>23446</v>
      </c>
      <c r="J735">
        <v>25</v>
      </c>
      <c r="K735" s="21">
        <v>5861.5</v>
      </c>
      <c r="L735" s="21">
        <v>17584.5</v>
      </c>
      <c r="M735" s="21">
        <v>9704.6299999999992</v>
      </c>
      <c r="N735" s="21">
        <v>7879.87</v>
      </c>
      <c r="O735" t="s">
        <v>60</v>
      </c>
      <c r="P735" s="21">
        <v>570.91</v>
      </c>
      <c r="Q735" t="s">
        <v>83</v>
      </c>
      <c r="R735" t="s">
        <v>41</v>
      </c>
      <c r="S735">
        <v>2</v>
      </c>
      <c r="T735">
        <v>2</v>
      </c>
      <c r="U735" t="s">
        <v>32</v>
      </c>
      <c r="V735" t="s">
        <v>50</v>
      </c>
      <c r="W735">
        <v>5</v>
      </c>
    </row>
    <row r="736" spans="1:23" x14ac:dyDescent="0.25">
      <c r="A736" t="s">
        <v>1240</v>
      </c>
      <c r="B736" s="1">
        <v>45837</v>
      </c>
      <c r="C736" t="s">
        <v>390</v>
      </c>
      <c r="D736" t="s">
        <v>90</v>
      </c>
      <c r="E736" t="s">
        <v>26</v>
      </c>
      <c r="F736" t="s">
        <v>53</v>
      </c>
      <c r="G736" t="s">
        <v>54</v>
      </c>
      <c r="H736">
        <v>1</v>
      </c>
      <c r="I736" s="21">
        <v>97347</v>
      </c>
      <c r="J736">
        <v>10</v>
      </c>
      <c r="K736" s="21">
        <v>9734.7000000000007</v>
      </c>
      <c r="L736" s="21">
        <v>87612.3</v>
      </c>
      <c r="M736" s="21">
        <v>62099.37</v>
      </c>
      <c r="N736" s="21">
        <v>25512.93</v>
      </c>
      <c r="O736" t="s">
        <v>29</v>
      </c>
      <c r="P736" s="21">
        <v>803.61</v>
      </c>
      <c r="Q736" t="s">
        <v>73</v>
      </c>
      <c r="R736" t="s">
        <v>31</v>
      </c>
      <c r="S736">
        <v>5</v>
      </c>
      <c r="T736">
        <v>7</v>
      </c>
      <c r="U736" t="s">
        <v>56</v>
      </c>
      <c r="V736" t="s">
        <v>33</v>
      </c>
      <c r="W736">
        <v>5</v>
      </c>
    </row>
    <row r="737" spans="1:23" x14ac:dyDescent="0.25">
      <c r="A737" t="s">
        <v>1241</v>
      </c>
      <c r="B737" s="1">
        <v>45772</v>
      </c>
      <c r="C737" t="s">
        <v>1202</v>
      </c>
      <c r="D737" t="s">
        <v>25</v>
      </c>
      <c r="E737" t="s">
        <v>46</v>
      </c>
      <c r="F737" t="s">
        <v>27</v>
      </c>
      <c r="G737" t="s">
        <v>72</v>
      </c>
      <c r="H737">
        <v>1</v>
      </c>
      <c r="I737" s="21">
        <v>22742</v>
      </c>
      <c r="J737">
        <v>0</v>
      </c>
      <c r="K737" s="21">
        <v>0</v>
      </c>
      <c r="L737" s="21">
        <v>22742</v>
      </c>
      <c r="M737" s="21">
        <v>16750.240000000002</v>
      </c>
      <c r="N737" s="21">
        <v>5991.76</v>
      </c>
      <c r="O737" t="s">
        <v>60</v>
      </c>
      <c r="P737" s="21">
        <v>946.05</v>
      </c>
      <c r="Q737" t="s">
        <v>30</v>
      </c>
      <c r="R737" t="s">
        <v>41</v>
      </c>
      <c r="S737">
        <v>2</v>
      </c>
      <c r="T737">
        <v>2</v>
      </c>
      <c r="U737" t="s">
        <v>32</v>
      </c>
      <c r="V737" t="s">
        <v>33</v>
      </c>
      <c r="W737">
        <v>4</v>
      </c>
    </row>
    <row r="738" spans="1:23" x14ac:dyDescent="0.25">
      <c r="A738" t="s">
        <v>1242</v>
      </c>
      <c r="B738" s="1">
        <v>45990</v>
      </c>
      <c r="C738" t="s">
        <v>747</v>
      </c>
      <c r="D738" t="s">
        <v>154</v>
      </c>
      <c r="E738" t="s">
        <v>26</v>
      </c>
      <c r="F738" t="s">
        <v>27</v>
      </c>
      <c r="G738" t="s">
        <v>113</v>
      </c>
      <c r="H738">
        <v>1</v>
      </c>
      <c r="I738" s="21">
        <v>15999</v>
      </c>
      <c r="J738">
        <v>15</v>
      </c>
      <c r="K738" s="21">
        <v>2399.85</v>
      </c>
      <c r="L738" s="21">
        <v>13599.15</v>
      </c>
      <c r="M738" s="21">
        <v>8822.34</v>
      </c>
      <c r="N738" s="21">
        <v>4776.8100000000004</v>
      </c>
      <c r="O738" t="s">
        <v>91</v>
      </c>
      <c r="P738" s="21">
        <v>1563.76</v>
      </c>
      <c r="Q738" t="s">
        <v>68</v>
      </c>
      <c r="R738" t="s">
        <v>31</v>
      </c>
      <c r="S738">
        <v>5</v>
      </c>
      <c r="T738">
        <v>5</v>
      </c>
      <c r="U738" t="s">
        <v>32</v>
      </c>
      <c r="V738" t="s">
        <v>33</v>
      </c>
      <c r="W738">
        <v>2</v>
      </c>
    </row>
    <row r="739" spans="1:23" x14ac:dyDescent="0.25">
      <c r="A739" t="s">
        <v>1243</v>
      </c>
      <c r="B739" s="1">
        <v>45693</v>
      </c>
      <c r="C739" t="s">
        <v>195</v>
      </c>
      <c r="D739" t="s">
        <v>71</v>
      </c>
      <c r="E739" t="s">
        <v>46</v>
      </c>
      <c r="F739" t="s">
        <v>47</v>
      </c>
      <c r="G739" t="s">
        <v>138</v>
      </c>
      <c r="H739">
        <v>1</v>
      </c>
      <c r="I739" s="21">
        <v>39592</v>
      </c>
      <c r="J739">
        <v>25</v>
      </c>
      <c r="K739" s="21">
        <v>9898</v>
      </c>
      <c r="L739" s="21">
        <v>29694</v>
      </c>
      <c r="M739" s="21">
        <v>18557.88</v>
      </c>
      <c r="N739" s="21">
        <v>11136.12</v>
      </c>
      <c r="O739" t="s">
        <v>60</v>
      </c>
      <c r="P739" s="21">
        <v>1864.58</v>
      </c>
      <c r="Q739" t="s">
        <v>30</v>
      </c>
      <c r="R739" t="s">
        <v>41</v>
      </c>
      <c r="S739">
        <v>2</v>
      </c>
      <c r="T739">
        <v>3</v>
      </c>
      <c r="U739" t="s">
        <v>56</v>
      </c>
      <c r="V739" t="s">
        <v>33</v>
      </c>
      <c r="W739">
        <v>5</v>
      </c>
    </row>
    <row r="740" spans="1:23" x14ac:dyDescent="0.25">
      <c r="A740" t="s">
        <v>1244</v>
      </c>
      <c r="B740" s="1">
        <v>45991</v>
      </c>
      <c r="C740" t="s">
        <v>462</v>
      </c>
      <c r="D740" t="s">
        <v>90</v>
      </c>
      <c r="E740" t="s">
        <v>36</v>
      </c>
      <c r="F740" t="s">
        <v>27</v>
      </c>
      <c r="G740" t="s">
        <v>76</v>
      </c>
      <c r="H740">
        <v>1</v>
      </c>
      <c r="I740" s="21">
        <v>23416</v>
      </c>
      <c r="J740">
        <v>0</v>
      </c>
      <c r="K740" s="21">
        <v>0</v>
      </c>
      <c r="L740" s="21">
        <v>23416</v>
      </c>
      <c r="M740" s="21">
        <v>14365.51</v>
      </c>
      <c r="N740" s="21">
        <v>9050.49</v>
      </c>
      <c r="O740" t="s">
        <v>39</v>
      </c>
      <c r="P740" s="21">
        <v>1328.17</v>
      </c>
      <c r="Q740" t="s">
        <v>73</v>
      </c>
      <c r="R740" t="s">
        <v>31</v>
      </c>
      <c r="S740">
        <v>5</v>
      </c>
      <c r="T740">
        <v>8</v>
      </c>
      <c r="U740" t="s">
        <v>56</v>
      </c>
      <c r="V740" t="s">
        <v>33</v>
      </c>
      <c r="W740">
        <v>4</v>
      </c>
    </row>
    <row r="741" spans="1:23" x14ac:dyDescent="0.25">
      <c r="A741" t="s">
        <v>1245</v>
      </c>
      <c r="B741" s="1">
        <v>45678</v>
      </c>
      <c r="C741" t="s">
        <v>977</v>
      </c>
      <c r="D741" t="s">
        <v>45</v>
      </c>
      <c r="E741" t="s">
        <v>26</v>
      </c>
      <c r="F741" t="s">
        <v>47</v>
      </c>
      <c r="G741" t="s">
        <v>48</v>
      </c>
      <c r="H741">
        <v>2</v>
      </c>
      <c r="I741" s="21">
        <v>25474</v>
      </c>
      <c r="J741">
        <v>0</v>
      </c>
      <c r="K741" s="21">
        <v>0</v>
      </c>
      <c r="L741" s="21">
        <v>50948</v>
      </c>
      <c r="M741" s="21">
        <v>33105.160000000003</v>
      </c>
      <c r="N741" s="21">
        <v>17842.84</v>
      </c>
      <c r="O741" t="s">
        <v>60</v>
      </c>
      <c r="P741" s="21">
        <v>1228.28</v>
      </c>
      <c r="Q741" t="s">
        <v>30</v>
      </c>
      <c r="R741" t="s">
        <v>31</v>
      </c>
      <c r="S741">
        <v>5</v>
      </c>
      <c r="T741">
        <v>7</v>
      </c>
      <c r="U741" t="s">
        <v>56</v>
      </c>
      <c r="V741" t="s">
        <v>33</v>
      </c>
      <c r="W741">
        <v>1</v>
      </c>
    </row>
    <row r="742" spans="1:23" x14ac:dyDescent="0.25">
      <c r="A742" t="s">
        <v>1246</v>
      </c>
      <c r="B742" s="1">
        <v>45673</v>
      </c>
      <c r="C742" t="s">
        <v>797</v>
      </c>
      <c r="D742" t="s">
        <v>124</v>
      </c>
      <c r="E742" t="s">
        <v>26</v>
      </c>
      <c r="F742" t="s">
        <v>47</v>
      </c>
      <c r="G742" t="s">
        <v>146</v>
      </c>
      <c r="H742">
        <v>3</v>
      </c>
      <c r="I742" s="21">
        <v>25384</v>
      </c>
      <c r="J742">
        <v>5</v>
      </c>
      <c r="K742" s="21">
        <v>3807.6</v>
      </c>
      <c r="L742" s="21">
        <v>72344.399999999994</v>
      </c>
      <c r="M742" s="21">
        <v>57405.36</v>
      </c>
      <c r="N742" s="21">
        <v>14939.04</v>
      </c>
      <c r="O742" t="s">
        <v>39</v>
      </c>
      <c r="P742" s="21">
        <v>1563.52</v>
      </c>
      <c r="Q742" t="s">
        <v>68</v>
      </c>
      <c r="R742" t="s">
        <v>31</v>
      </c>
      <c r="S742">
        <v>5</v>
      </c>
      <c r="T742">
        <v>1</v>
      </c>
      <c r="U742" t="s">
        <v>32</v>
      </c>
      <c r="V742" t="s">
        <v>33</v>
      </c>
      <c r="W742">
        <v>5</v>
      </c>
    </row>
    <row r="743" spans="1:23" x14ac:dyDescent="0.25">
      <c r="A743" t="s">
        <v>1247</v>
      </c>
      <c r="B743" s="1">
        <v>45784</v>
      </c>
      <c r="C743" t="s">
        <v>1198</v>
      </c>
      <c r="D743" t="s">
        <v>67</v>
      </c>
      <c r="E743" t="s">
        <v>46</v>
      </c>
      <c r="F743" t="s">
        <v>47</v>
      </c>
      <c r="G743" t="s">
        <v>105</v>
      </c>
      <c r="H743">
        <v>3</v>
      </c>
      <c r="I743" s="21">
        <v>16722</v>
      </c>
      <c r="J743">
        <v>20</v>
      </c>
      <c r="K743" s="21">
        <v>10033.200000000001</v>
      </c>
      <c r="L743" s="21">
        <v>40132.800000000003</v>
      </c>
      <c r="M743" s="21">
        <v>27086.67</v>
      </c>
      <c r="N743" s="21">
        <v>13046.13</v>
      </c>
      <c r="O743" t="s">
        <v>55</v>
      </c>
      <c r="P743" s="21">
        <v>1096.03</v>
      </c>
      <c r="Q743" t="s">
        <v>68</v>
      </c>
      <c r="R743" t="s">
        <v>41</v>
      </c>
      <c r="S743">
        <v>2</v>
      </c>
      <c r="T743">
        <v>0</v>
      </c>
      <c r="U743" t="s">
        <v>32</v>
      </c>
      <c r="V743" t="s">
        <v>50</v>
      </c>
      <c r="W743">
        <v>4</v>
      </c>
    </row>
    <row r="744" spans="1:23" x14ac:dyDescent="0.25">
      <c r="A744" t="s">
        <v>1248</v>
      </c>
      <c r="B744" s="1">
        <v>45760</v>
      </c>
      <c r="C744" t="s">
        <v>1249</v>
      </c>
      <c r="D744" t="s">
        <v>90</v>
      </c>
      <c r="E744" t="s">
        <v>46</v>
      </c>
      <c r="F744" t="s">
        <v>86</v>
      </c>
      <c r="G744" t="s">
        <v>87</v>
      </c>
      <c r="H744">
        <v>2</v>
      </c>
      <c r="I744" s="21">
        <v>69249</v>
      </c>
      <c r="J744">
        <v>10</v>
      </c>
      <c r="K744" s="21">
        <v>13849.8</v>
      </c>
      <c r="L744" s="21">
        <v>124648.2</v>
      </c>
      <c r="M744" s="21">
        <v>100753.17</v>
      </c>
      <c r="N744" s="21">
        <v>23895.03</v>
      </c>
      <c r="O744" t="s">
        <v>60</v>
      </c>
      <c r="P744" s="21">
        <v>2231.39</v>
      </c>
      <c r="Q744" t="s">
        <v>68</v>
      </c>
      <c r="R744" t="s">
        <v>41</v>
      </c>
      <c r="S744">
        <v>2</v>
      </c>
      <c r="T744">
        <v>1</v>
      </c>
      <c r="U744" t="s">
        <v>32</v>
      </c>
      <c r="V744" t="s">
        <v>33</v>
      </c>
      <c r="W744">
        <v>5</v>
      </c>
    </row>
    <row r="745" spans="1:23" x14ac:dyDescent="0.25">
      <c r="A745" t="s">
        <v>1250</v>
      </c>
      <c r="B745" s="1">
        <v>45668</v>
      </c>
      <c r="C745" t="s">
        <v>737</v>
      </c>
      <c r="D745" t="s">
        <v>63</v>
      </c>
      <c r="E745" t="s">
        <v>46</v>
      </c>
      <c r="F745" t="s">
        <v>47</v>
      </c>
      <c r="G745" t="s">
        <v>64</v>
      </c>
      <c r="H745">
        <v>3</v>
      </c>
      <c r="I745" s="21">
        <v>40038</v>
      </c>
      <c r="J745">
        <v>15</v>
      </c>
      <c r="K745" s="21">
        <v>18017.099999999999</v>
      </c>
      <c r="L745" s="21">
        <v>102096.9</v>
      </c>
      <c r="M745" s="21">
        <v>75467.42</v>
      </c>
      <c r="N745" s="21">
        <v>26629.48</v>
      </c>
      <c r="O745" t="s">
        <v>49</v>
      </c>
      <c r="P745" s="21">
        <v>141.91</v>
      </c>
      <c r="Q745" t="s">
        <v>73</v>
      </c>
      <c r="R745" t="s">
        <v>41</v>
      </c>
      <c r="S745">
        <v>2</v>
      </c>
      <c r="T745">
        <v>2</v>
      </c>
      <c r="U745" t="s">
        <v>32</v>
      </c>
      <c r="V745" t="s">
        <v>33</v>
      </c>
      <c r="W745">
        <v>3</v>
      </c>
    </row>
    <row r="746" spans="1:23" x14ac:dyDescent="0.25">
      <c r="A746" t="s">
        <v>1251</v>
      </c>
      <c r="B746" s="1">
        <v>45976</v>
      </c>
      <c r="C746" t="s">
        <v>1252</v>
      </c>
      <c r="D746" t="s">
        <v>79</v>
      </c>
      <c r="E746" t="s">
        <v>26</v>
      </c>
      <c r="F746" t="s">
        <v>53</v>
      </c>
      <c r="G746" t="s">
        <v>151</v>
      </c>
      <c r="H746">
        <v>3</v>
      </c>
      <c r="I746" s="21">
        <v>28348</v>
      </c>
      <c r="J746">
        <v>20</v>
      </c>
      <c r="K746" s="21">
        <v>17008.8</v>
      </c>
      <c r="L746" s="21">
        <v>68035.199999999997</v>
      </c>
      <c r="M746" s="21">
        <v>51351.92</v>
      </c>
      <c r="N746" s="21">
        <v>16683.28</v>
      </c>
      <c r="O746" t="s">
        <v>39</v>
      </c>
      <c r="P746" s="21">
        <v>834.68</v>
      </c>
      <c r="Q746" t="s">
        <v>40</v>
      </c>
      <c r="R746" t="s">
        <v>41</v>
      </c>
      <c r="S746">
        <v>2</v>
      </c>
      <c r="T746">
        <v>3</v>
      </c>
      <c r="U746" t="s">
        <v>56</v>
      </c>
      <c r="V746" t="s">
        <v>33</v>
      </c>
      <c r="W746">
        <v>4</v>
      </c>
    </row>
    <row r="747" spans="1:23" x14ac:dyDescent="0.25">
      <c r="A747" t="s">
        <v>1253</v>
      </c>
      <c r="B747" s="1">
        <v>45736</v>
      </c>
      <c r="C747" t="s">
        <v>1254</v>
      </c>
      <c r="D747" t="s">
        <v>45</v>
      </c>
      <c r="E747" t="s">
        <v>46</v>
      </c>
      <c r="F747" t="s">
        <v>27</v>
      </c>
      <c r="G747" t="s">
        <v>72</v>
      </c>
      <c r="H747">
        <v>1</v>
      </c>
      <c r="I747" s="21">
        <v>19133</v>
      </c>
      <c r="J747">
        <v>0</v>
      </c>
      <c r="K747" s="21">
        <v>0</v>
      </c>
      <c r="L747" s="21">
        <v>19133</v>
      </c>
      <c r="M747" s="21">
        <v>12151.8</v>
      </c>
      <c r="N747" s="21">
        <v>6981.2</v>
      </c>
      <c r="O747" t="s">
        <v>91</v>
      </c>
      <c r="P747" s="21">
        <v>1646.45</v>
      </c>
      <c r="Q747" t="s">
        <v>73</v>
      </c>
      <c r="R747" t="s">
        <v>41</v>
      </c>
      <c r="S747">
        <v>2</v>
      </c>
      <c r="T747">
        <v>4</v>
      </c>
      <c r="U747" t="s">
        <v>32</v>
      </c>
      <c r="V747" t="s">
        <v>50</v>
      </c>
      <c r="W747">
        <v>1</v>
      </c>
    </row>
    <row r="748" spans="1:23" x14ac:dyDescent="0.25">
      <c r="A748" t="s">
        <v>1255</v>
      </c>
      <c r="B748" s="1">
        <v>45780</v>
      </c>
      <c r="C748" t="s">
        <v>797</v>
      </c>
      <c r="D748" t="s">
        <v>45</v>
      </c>
      <c r="E748" t="s">
        <v>26</v>
      </c>
      <c r="F748" t="s">
        <v>27</v>
      </c>
      <c r="G748" t="s">
        <v>76</v>
      </c>
      <c r="H748">
        <v>1</v>
      </c>
      <c r="I748" s="21">
        <v>20267</v>
      </c>
      <c r="J748">
        <v>0</v>
      </c>
      <c r="K748" s="21">
        <v>0</v>
      </c>
      <c r="L748" s="21">
        <v>20267</v>
      </c>
      <c r="M748" s="21">
        <v>13864.71</v>
      </c>
      <c r="N748" s="21">
        <v>6402.29</v>
      </c>
      <c r="O748" t="s">
        <v>55</v>
      </c>
      <c r="P748" s="21">
        <v>435.18</v>
      </c>
      <c r="Q748" t="s">
        <v>68</v>
      </c>
      <c r="R748" t="s">
        <v>31</v>
      </c>
      <c r="S748">
        <v>5</v>
      </c>
      <c r="T748">
        <v>5</v>
      </c>
      <c r="U748" t="s">
        <v>32</v>
      </c>
      <c r="V748" t="s">
        <v>33</v>
      </c>
      <c r="W748">
        <v>2</v>
      </c>
    </row>
    <row r="749" spans="1:23" x14ac:dyDescent="0.25">
      <c r="A749" t="s">
        <v>1256</v>
      </c>
      <c r="B749" s="1">
        <v>45722</v>
      </c>
      <c r="C749" t="s">
        <v>1257</v>
      </c>
      <c r="D749" t="s">
        <v>25</v>
      </c>
      <c r="E749" t="s">
        <v>46</v>
      </c>
      <c r="F749" t="s">
        <v>47</v>
      </c>
      <c r="G749" t="s">
        <v>138</v>
      </c>
      <c r="H749">
        <v>1</v>
      </c>
      <c r="I749" s="21">
        <v>39273</v>
      </c>
      <c r="J749">
        <v>25</v>
      </c>
      <c r="K749" s="21">
        <v>9818.25</v>
      </c>
      <c r="L749" s="21">
        <v>29454.75</v>
      </c>
      <c r="M749" s="21">
        <v>19511.28</v>
      </c>
      <c r="N749" s="21">
        <v>9943.4699999999993</v>
      </c>
      <c r="O749" t="s">
        <v>39</v>
      </c>
      <c r="P749" s="21">
        <v>2092.5500000000002</v>
      </c>
      <c r="Q749" t="s">
        <v>68</v>
      </c>
      <c r="R749" t="s">
        <v>31</v>
      </c>
      <c r="S749">
        <v>5</v>
      </c>
      <c r="T749">
        <v>3</v>
      </c>
      <c r="U749" t="s">
        <v>32</v>
      </c>
      <c r="V749" t="s">
        <v>33</v>
      </c>
      <c r="W749">
        <v>5</v>
      </c>
    </row>
    <row r="750" spans="1:23" x14ac:dyDescent="0.25">
      <c r="A750" t="s">
        <v>1258</v>
      </c>
      <c r="B750" s="1">
        <v>45900</v>
      </c>
      <c r="C750" t="s">
        <v>643</v>
      </c>
      <c r="D750" t="s">
        <v>63</v>
      </c>
      <c r="E750" t="s">
        <v>46</v>
      </c>
      <c r="F750" t="s">
        <v>27</v>
      </c>
      <c r="G750" t="s">
        <v>76</v>
      </c>
      <c r="H750">
        <v>2</v>
      </c>
      <c r="I750" s="21">
        <v>24566</v>
      </c>
      <c r="J750">
        <v>20</v>
      </c>
      <c r="K750" s="21">
        <v>9826.4</v>
      </c>
      <c r="L750" s="21">
        <v>39305.599999999999</v>
      </c>
      <c r="M750" s="21">
        <v>22068</v>
      </c>
      <c r="N750" s="21">
        <v>17237.599999999999</v>
      </c>
      <c r="O750" t="s">
        <v>91</v>
      </c>
      <c r="P750" s="21">
        <v>2395.17</v>
      </c>
      <c r="Q750" t="s">
        <v>68</v>
      </c>
      <c r="R750" t="s">
        <v>31</v>
      </c>
      <c r="S750">
        <v>5</v>
      </c>
      <c r="T750">
        <v>3</v>
      </c>
      <c r="U750" t="s">
        <v>32</v>
      </c>
      <c r="V750" t="s">
        <v>33</v>
      </c>
      <c r="W750">
        <v>2</v>
      </c>
    </row>
    <row r="751" spans="1:23" x14ac:dyDescent="0.25">
      <c r="A751" t="s">
        <v>1259</v>
      </c>
      <c r="B751" s="1">
        <v>46000</v>
      </c>
      <c r="C751" t="s">
        <v>1260</v>
      </c>
      <c r="D751" t="s">
        <v>71</v>
      </c>
      <c r="E751" t="s">
        <v>26</v>
      </c>
      <c r="F751" t="s">
        <v>37</v>
      </c>
      <c r="G751" t="s">
        <v>313</v>
      </c>
      <c r="H751">
        <v>1</v>
      </c>
      <c r="I751" s="21">
        <v>31193</v>
      </c>
      <c r="J751">
        <v>25</v>
      </c>
      <c r="K751" s="21">
        <v>7798.25</v>
      </c>
      <c r="L751" s="21">
        <v>23394.75</v>
      </c>
      <c r="M751" s="21">
        <v>13296.4</v>
      </c>
      <c r="N751" s="21">
        <v>10098.35</v>
      </c>
      <c r="O751" t="s">
        <v>49</v>
      </c>
      <c r="P751" s="21">
        <v>153.28</v>
      </c>
      <c r="Q751" t="s">
        <v>30</v>
      </c>
      <c r="R751" t="s">
        <v>31</v>
      </c>
      <c r="S751">
        <v>5</v>
      </c>
      <c r="T751">
        <v>2</v>
      </c>
      <c r="U751" t="s">
        <v>32</v>
      </c>
      <c r="V751" t="s">
        <v>33</v>
      </c>
      <c r="W751">
        <v>2</v>
      </c>
    </row>
    <row r="752" spans="1:23" x14ac:dyDescent="0.25">
      <c r="A752" t="s">
        <v>1261</v>
      </c>
      <c r="B752" s="1">
        <v>45716</v>
      </c>
      <c r="C752" t="s">
        <v>673</v>
      </c>
      <c r="D752" t="s">
        <v>45</v>
      </c>
      <c r="E752" t="s">
        <v>26</v>
      </c>
      <c r="F752" t="s">
        <v>53</v>
      </c>
      <c r="G752" t="s">
        <v>59</v>
      </c>
      <c r="H752">
        <v>2</v>
      </c>
      <c r="I752" s="21">
        <v>61059</v>
      </c>
      <c r="J752">
        <v>10</v>
      </c>
      <c r="K752" s="21">
        <v>12211.8</v>
      </c>
      <c r="L752" s="21">
        <v>109906.2</v>
      </c>
      <c r="M752" s="21">
        <v>68331.39</v>
      </c>
      <c r="N752" s="21">
        <v>41574.81</v>
      </c>
      <c r="O752" t="s">
        <v>39</v>
      </c>
      <c r="P752" s="21">
        <v>2120.09</v>
      </c>
      <c r="Q752" t="s">
        <v>40</v>
      </c>
      <c r="R752" t="s">
        <v>41</v>
      </c>
      <c r="S752">
        <v>2</v>
      </c>
      <c r="T752">
        <v>1</v>
      </c>
      <c r="U752" t="s">
        <v>32</v>
      </c>
      <c r="V752" t="s">
        <v>33</v>
      </c>
      <c r="W752">
        <v>2</v>
      </c>
    </row>
    <row r="753" spans="1:23" x14ac:dyDescent="0.25">
      <c r="A753" t="s">
        <v>1262</v>
      </c>
      <c r="B753" s="1">
        <v>45946</v>
      </c>
      <c r="C753" t="s">
        <v>1263</v>
      </c>
      <c r="D753" t="s">
        <v>25</v>
      </c>
      <c r="E753" t="s">
        <v>46</v>
      </c>
      <c r="F753" t="s">
        <v>86</v>
      </c>
      <c r="G753" t="s">
        <v>94</v>
      </c>
      <c r="H753">
        <v>2</v>
      </c>
      <c r="I753" s="21">
        <v>64398</v>
      </c>
      <c r="J753">
        <v>15</v>
      </c>
      <c r="K753" s="21">
        <v>19319.400000000001</v>
      </c>
      <c r="L753" s="21">
        <v>109476.6</v>
      </c>
      <c r="M753" s="21">
        <v>66259.539999999994</v>
      </c>
      <c r="N753" s="21">
        <v>43217.06</v>
      </c>
      <c r="O753" t="s">
        <v>39</v>
      </c>
      <c r="P753" s="21">
        <v>2050.66</v>
      </c>
      <c r="Q753" t="s">
        <v>68</v>
      </c>
      <c r="R753" t="s">
        <v>31</v>
      </c>
      <c r="S753">
        <v>5</v>
      </c>
      <c r="T753">
        <v>2</v>
      </c>
      <c r="U753" t="s">
        <v>32</v>
      </c>
      <c r="V753" t="s">
        <v>33</v>
      </c>
      <c r="W753">
        <v>4</v>
      </c>
    </row>
    <row r="754" spans="1:23" x14ac:dyDescent="0.25">
      <c r="A754" t="s">
        <v>1264</v>
      </c>
      <c r="B754" s="1">
        <v>45769</v>
      </c>
      <c r="C754" t="s">
        <v>150</v>
      </c>
      <c r="D754" t="s">
        <v>124</v>
      </c>
      <c r="E754" t="s">
        <v>36</v>
      </c>
      <c r="F754" t="s">
        <v>47</v>
      </c>
      <c r="G754" t="s">
        <v>64</v>
      </c>
      <c r="H754">
        <v>1</v>
      </c>
      <c r="I754" s="21">
        <v>49456</v>
      </c>
      <c r="J754">
        <v>5</v>
      </c>
      <c r="K754" s="21">
        <v>2472.8000000000002</v>
      </c>
      <c r="L754" s="21">
        <v>46983.199999999997</v>
      </c>
      <c r="M754" s="21">
        <v>32324.29</v>
      </c>
      <c r="N754" s="21">
        <v>14658.91</v>
      </c>
      <c r="O754" t="s">
        <v>29</v>
      </c>
      <c r="P754" s="21">
        <v>2108.0500000000002</v>
      </c>
      <c r="Q754" t="s">
        <v>73</v>
      </c>
      <c r="R754" t="s">
        <v>31</v>
      </c>
      <c r="S754">
        <v>5</v>
      </c>
      <c r="T754">
        <v>3</v>
      </c>
      <c r="U754" t="s">
        <v>32</v>
      </c>
      <c r="V754" t="s">
        <v>33</v>
      </c>
      <c r="W754">
        <v>2</v>
      </c>
    </row>
    <row r="755" spans="1:23" x14ac:dyDescent="0.25">
      <c r="A755" t="s">
        <v>1265</v>
      </c>
      <c r="B755" s="1">
        <v>45896</v>
      </c>
      <c r="C755" t="s">
        <v>1266</v>
      </c>
      <c r="D755" t="s">
        <v>25</v>
      </c>
      <c r="E755" t="s">
        <v>36</v>
      </c>
      <c r="F755" t="s">
        <v>47</v>
      </c>
      <c r="G755" t="s">
        <v>105</v>
      </c>
      <c r="H755">
        <v>2</v>
      </c>
      <c r="I755" s="21">
        <v>39222</v>
      </c>
      <c r="J755">
        <v>5</v>
      </c>
      <c r="K755" s="21">
        <v>3922.2</v>
      </c>
      <c r="L755" s="21">
        <v>74521.8</v>
      </c>
      <c r="M755" s="21">
        <v>42549.86</v>
      </c>
      <c r="N755" s="21">
        <v>31971.94</v>
      </c>
      <c r="O755" t="s">
        <v>60</v>
      </c>
      <c r="P755" s="21">
        <v>271.76</v>
      </c>
      <c r="Q755" t="s">
        <v>83</v>
      </c>
      <c r="R755" t="s">
        <v>31</v>
      </c>
      <c r="S755">
        <v>5</v>
      </c>
      <c r="T755">
        <v>7</v>
      </c>
      <c r="U755" t="s">
        <v>56</v>
      </c>
      <c r="V755" t="s">
        <v>33</v>
      </c>
      <c r="W755">
        <v>5</v>
      </c>
    </row>
    <row r="756" spans="1:23" x14ac:dyDescent="0.25">
      <c r="A756" t="s">
        <v>1267</v>
      </c>
      <c r="B756" s="1">
        <v>46016</v>
      </c>
      <c r="C756" t="s">
        <v>360</v>
      </c>
      <c r="D756" t="s">
        <v>63</v>
      </c>
      <c r="E756" t="s">
        <v>46</v>
      </c>
      <c r="F756" t="s">
        <v>53</v>
      </c>
      <c r="G756" t="s">
        <v>59</v>
      </c>
      <c r="H756">
        <v>2</v>
      </c>
      <c r="I756" s="21">
        <v>29904</v>
      </c>
      <c r="J756">
        <v>5</v>
      </c>
      <c r="K756" s="21">
        <v>2990.4</v>
      </c>
      <c r="L756" s="21">
        <v>56817.599999999999</v>
      </c>
      <c r="M756" s="21">
        <v>46144.63</v>
      </c>
      <c r="N756" s="21">
        <v>10672.97</v>
      </c>
      <c r="O756" t="s">
        <v>60</v>
      </c>
      <c r="P756" s="21">
        <v>1160.22</v>
      </c>
      <c r="Q756" t="s">
        <v>83</v>
      </c>
      <c r="R756" t="s">
        <v>41</v>
      </c>
      <c r="S756">
        <v>2</v>
      </c>
      <c r="T756">
        <v>0</v>
      </c>
      <c r="U756" t="s">
        <v>32</v>
      </c>
      <c r="V756" t="s">
        <v>50</v>
      </c>
      <c r="W756">
        <v>3</v>
      </c>
    </row>
    <row r="757" spans="1:23" x14ac:dyDescent="0.25">
      <c r="A757" t="s">
        <v>1268</v>
      </c>
      <c r="B757" s="1">
        <v>45789</v>
      </c>
      <c r="C757" t="s">
        <v>629</v>
      </c>
      <c r="D757" t="s">
        <v>63</v>
      </c>
      <c r="E757" t="s">
        <v>46</v>
      </c>
      <c r="F757" t="s">
        <v>86</v>
      </c>
      <c r="G757" t="s">
        <v>180</v>
      </c>
      <c r="H757">
        <v>3</v>
      </c>
      <c r="I757" s="21">
        <v>21771</v>
      </c>
      <c r="J757">
        <v>20</v>
      </c>
      <c r="K757" s="21">
        <v>13062.6</v>
      </c>
      <c r="L757" s="21">
        <v>52250.400000000001</v>
      </c>
      <c r="M757" s="21">
        <v>31200.639999999999</v>
      </c>
      <c r="N757" s="21">
        <v>21049.759999999998</v>
      </c>
      <c r="O757" t="s">
        <v>91</v>
      </c>
      <c r="P757" s="21">
        <v>740.05</v>
      </c>
      <c r="Q757" t="s">
        <v>40</v>
      </c>
      <c r="R757" t="s">
        <v>31</v>
      </c>
      <c r="S757">
        <v>5</v>
      </c>
      <c r="T757">
        <v>10</v>
      </c>
      <c r="U757" t="s">
        <v>56</v>
      </c>
      <c r="V757" t="s">
        <v>33</v>
      </c>
      <c r="W757">
        <v>5</v>
      </c>
    </row>
    <row r="758" spans="1:23" x14ac:dyDescent="0.25">
      <c r="A758" t="s">
        <v>1269</v>
      </c>
      <c r="B758" s="1">
        <v>45846</v>
      </c>
      <c r="C758" t="s">
        <v>908</v>
      </c>
      <c r="D758" t="s">
        <v>90</v>
      </c>
      <c r="E758" t="s">
        <v>26</v>
      </c>
      <c r="F758" t="s">
        <v>37</v>
      </c>
      <c r="G758" t="s">
        <v>313</v>
      </c>
      <c r="H758">
        <v>1</v>
      </c>
      <c r="I758" s="21">
        <v>30053</v>
      </c>
      <c r="J758">
        <v>15</v>
      </c>
      <c r="K758" s="21">
        <v>4507.95</v>
      </c>
      <c r="L758" s="21">
        <v>25545.05</v>
      </c>
      <c r="M758" s="21">
        <v>14255.99</v>
      </c>
      <c r="N758" s="21">
        <v>11289.06</v>
      </c>
      <c r="O758" t="s">
        <v>49</v>
      </c>
      <c r="P758" s="21">
        <v>259.57</v>
      </c>
      <c r="Q758" t="s">
        <v>68</v>
      </c>
      <c r="R758" t="s">
        <v>41</v>
      </c>
      <c r="S758">
        <v>2</v>
      </c>
      <c r="T758">
        <v>2</v>
      </c>
      <c r="U758" t="s">
        <v>32</v>
      </c>
      <c r="V758" t="s">
        <v>33</v>
      </c>
      <c r="W758">
        <v>5</v>
      </c>
    </row>
    <row r="759" spans="1:23" x14ac:dyDescent="0.25">
      <c r="A759" t="s">
        <v>1270</v>
      </c>
      <c r="B759" s="1">
        <v>45743</v>
      </c>
      <c r="C759" t="s">
        <v>1271</v>
      </c>
      <c r="D759" t="s">
        <v>79</v>
      </c>
      <c r="E759" t="s">
        <v>26</v>
      </c>
      <c r="F759" t="s">
        <v>53</v>
      </c>
      <c r="G759" t="s">
        <v>82</v>
      </c>
      <c r="H759">
        <v>2</v>
      </c>
      <c r="I759" s="21">
        <v>35568</v>
      </c>
      <c r="J759">
        <v>5</v>
      </c>
      <c r="K759" s="21">
        <v>3556.8</v>
      </c>
      <c r="L759" s="21">
        <v>67579.199999999997</v>
      </c>
      <c r="M759" s="21">
        <v>41453.15</v>
      </c>
      <c r="N759" s="21">
        <v>26126.05</v>
      </c>
      <c r="O759" t="s">
        <v>39</v>
      </c>
      <c r="P759" s="21">
        <v>301.48</v>
      </c>
      <c r="Q759" t="s">
        <v>40</v>
      </c>
      <c r="R759" t="s">
        <v>31</v>
      </c>
      <c r="S759">
        <v>5</v>
      </c>
      <c r="T759">
        <v>5</v>
      </c>
      <c r="U759" t="s">
        <v>32</v>
      </c>
      <c r="V759" t="s">
        <v>33</v>
      </c>
      <c r="W759">
        <v>5</v>
      </c>
    </row>
    <row r="760" spans="1:23" x14ac:dyDescent="0.25">
      <c r="A760" t="s">
        <v>1272</v>
      </c>
      <c r="B760" s="1">
        <v>45968</v>
      </c>
      <c r="C760" t="s">
        <v>142</v>
      </c>
      <c r="D760" t="s">
        <v>124</v>
      </c>
      <c r="E760" t="s">
        <v>36</v>
      </c>
      <c r="F760" t="s">
        <v>27</v>
      </c>
      <c r="G760" t="s">
        <v>28</v>
      </c>
      <c r="H760">
        <v>1</v>
      </c>
      <c r="I760" s="21">
        <v>15535</v>
      </c>
      <c r="J760">
        <v>20</v>
      </c>
      <c r="K760" s="21">
        <v>3107</v>
      </c>
      <c r="L760" s="21">
        <v>12428</v>
      </c>
      <c r="M760" s="21">
        <v>8662.81</v>
      </c>
      <c r="N760" s="21">
        <v>3765.19</v>
      </c>
      <c r="O760" t="s">
        <v>49</v>
      </c>
      <c r="P760" s="21">
        <v>297.95999999999998</v>
      </c>
      <c r="Q760" t="s">
        <v>68</v>
      </c>
      <c r="R760" t="s">
        <v>41</v>
      </c>
      <c r="S760">
        <v>2</v>
      </c>
      <c r="T760">
        <v>1</v>
      </c>
      <c r="U760" t="s">
        <v>32</v>
      </c>
      <c r="V760" t="s">
        <v>33</v>
      </c>
      <c r="W760">
        <v>5</v>
      </c>
    </row>
    <row r="761" spans="1:23" x14ac:dyDescent="0.25">
      <c r="A761" t="s">
        <v>1273</v>
      </c>
      <c r="B761" s="1">
        <v>45968</v>
      </c>
      <c r="C761" t="s">
        <v>753</v>
      </c>
      <c r="D761" t="s">
        <v>154</v>
      </c>
      <c r="E761" t="s">
        <v>46</v>
      </c>
      <c r="F761" t="s">
        <v>86</v>
      </c>
      <c r="G761" t="s">
        <v>94</v>
      </c>
      <c r="H761">
        <v>1</v>
      </c>
      <c r="I761" s="21">
        <v>25350</v>
      </c>
      <c r="J761">
        <v>25</v>
      </c>
      <c r="K761" s="21">
        <v>6337.5</v>
      </c>
      <c r="L761" s="21">
        <v>19012.5</v>
      </c>
      <c r="M761" s="21">
        <v>12550.4</v>
      </c>
      <c r="N761" s="21">
        <v>6462.1</v>
      </c>
      <c r="O761" t="s">
        <v>29</v>
      </c>
      <c r="P761" s="21">
        <v>782.36</v>
      </c>
      <c r="Q761" t="s">
        <v>68</v>
      </c>
      <c r="R761" t="s">
        <v>31</v>
      </c>
      <c r="S761">
        <v>5</v>
      </c>
      <c r="T761">
        <v>6</v>
      </c>
      <c r="U761" t="s">
        <v>56</v>
      </c>
      <c r="V761" t="s">
        <v>33</v>
      </c>
      <c r="W761">
        <v>5</v>
      </c>
    </row>
    <row r="762" spans="1:23" x14ac:dyDescent="0.25">
      <c r="A762" t="s">
        <v>1274</v>
      </c>
      <c r="B762" s="1">
        <v>45716</v>
      </c>
      <c r="C762" t="s">
        <v>376</v>
      </c>
      <c r="D762" t="s">
        <v>67</v>
      </c>
      <c r="E762" t="s">
        <v>36</v>
      </c>
      <c r="F762" t="s">
        <v>86</v>
      </c>
      <c r="G762" t="s">
        <v>94</v>
      </c>
      <c r="H762">
        <v>1</v>
      </c>
      <c r="I762" s="21">
        <v>72368</v>
      </c>
      <c r="J762">
        <v>10</v>
      </c>
      <c r="K762" s="21">
        <v>7236.8</v>
      </c>
      <c r="L762" s="21">
        <v>65131.199999999997</v>
      </c>
      <c r="M762" s="21">
        <v>45322</v>
      </c>
      <c r="N762" s="21">
        <v>19809.2</v>
      </c>
      <c r="O762" t="s">
        <v>29</v>
      </c>
      <c r="P762" s="21">
        <v>1519.49</v>
      </c>
      <c r="Q762" t="s">
        <v>68</v>
      </c>
      <c r="R762" t="s">
        <v>31</v>
      </c>
      <c r="S762">
        <v>5</v>
      </c>
      <c r="T762">
        <v>6</v>
      </c>
      <c r="U762" t="s">
        <v>32</v>
      </c>
      <c r="V762" t="s">
        <v>50</v>
      </c>
      <c r="W762">
        <v>5</v>
      </c>
    </row>
    <row r="763" spans="1:23" x14ac:dyDescent="0.25">
      <c r="A763" t="s">
        <v>1275</v>
      </c>
      <c r="B763" s="1">
        <v>45741</v>
      </c>
      <c r="C763" t="s">
        <v>785</v>
      </c>
      <c r="D763" t="s">
        <v>79</v>
      </c>
      <c r="E763" t="s">
        <v>26</v>
      </c>
      <c r="F763" t="s">
        <v>27</v>
      </c>
      <c r="G763" t="s">
        <v>164</v>
      </c>
      <c r="H763">
        <v>1</v>
      </c>
      <c r="I763" s="21">
        <v>21537</v>
      </c>
      <c r="J763">
        <v>5</v>
      </c>
      <c r="K763" s="21">
        <v>1076.8499999999999</v>
      </c>
      <c r="L763" s="21">
        <v>20460.150000000001</v>
      </c>
      <c r="M763" s="21">
        <v>15031.72</v>
      </c>
      <c r="N763" s="21">
        <v>5428.43</v>
      </c>
      <c r="O763" t="s">
        <v>29</v>
      </c>
      <c r="P763" s="21">
        <v>948.62</v>
      </c>
      <c r="Q763" t="s">
        <v>73</v>
      </c>
      <c r="R763" t="s">
        <v>41</v>
      </c>
      <c r="S763">
        <v>2</v>
      </c>
      <c r="T763">
        <v>2</v>
      </c>
      <c r="U763" t="s">
        <v>32</v>
      </c>
      <c r="V763" t="s">
        <v>33</v>
      </c>
      <c r="W763">
        <v>1</v>
      </c>
    </row>
    <row r="764" spans="1:23" x14ac:dyDescent="0.25">
      <c r="A764" t="s">
        <v>1276</v>
      </c>
      <c r="B764" s="1">
        <v>45817</v>
      </c>
      <c r="C764" t="s">
        <v>1277</v>
      </c>
      <c r="D764" t="s">
        <v>71</v>
      </c>
      <c r="E764" t="s">
        <v>26</v>
      </c>
      <c r="F764" t="s">
        <v>37</v>
      </c>
      <c r="G764" t="s">
        <v>100</v>
      </c>
      <c r="H764">
        <v>2</v>
      </c>
      <c r="I764" s="21">
        <v>33730</v>
      </c>
      <c r="J764">
        <v>0</v>
      </c>
      <c r="K764" s="21">
        <v>0</v>
      </c>
      <c r="L764" s="21">
        <v>67460</v>
      </c>
      <c r="M764" s="21">
        <v>52300</v>
      </c>
      <c r="N764" s="21">
        <v>15160</v>
      </c>
      <c r="O764" t="s">
        <v>91</v>
      </c>
      <c r="P764" s="21">
        <v>2429.35</v>
      </c>
      <c r="Q764" t="s">
        <v>83</v>
      </c>
      <c r="R764" t="s">
        <v>31</v>
      </c>
      <c r="S764">
        <v>5</v>
      </c>
      <c r="T764">
        <v>10</v>
      </c>
      <c r="U764" t="s">
        <v>56</v>
      </c>
      <c r="V764" t="s">
        <v>33</v>
      </c>
      <c r="W764">
        <v>5</v>
      </c>
    </row>
    <row r="765" spans="1:23" x14ac:dyDescent="0.25">
      <c r="A765" t="s">
        <v>1278</v>
      </c>
      <c r="B765" s="1">
        <v>45713</v>
      </c>
      <c r="C765" t="s">
        <v>550</v>
      </c>
      <c r="D765" t="s">
        <v>63</v>
      </c>
      <c r="E765" t="s">
        <v>26</v>
      </c>
      <c r="F765" t="s">
        <v>27</v>
      </c>
      <c r="G765" t="s">
        <v>76</v>
      </c>
      <c r="H765">
        <v>1</v>
      </c>
      <c r="I765" s="21">
        <v>9758</v>
      </c>
      <c r="J765">
        <v>0</v>
      </c>
      <c r="K765" s="21">
        <v>0</v>
      </c>
      <c r="L765" s="21">
        <v>9758</v>
      </c>
      <c r="M765" s="21">
        <v>5448.83</v>
      </c>
      <c r="N765" s="21">
        <v>4309.17</v>
      </c>
      <c r="O765" t="s">
        <v>91</v>
      </c>
      <c r="P765" s="21">
        <v>2103.61</v>
      </c>
      <c r="Q765" t="s">
        <v>83</v>
      </c>
      <c r="R765" t="s">
        <v>31</v>
      </c>
      <c r="S765">
        <v>5</v>
      </c>
      <c r="T765">
        <v>4</v>
      </c>
      <c r="U765" t="s">
        <v>32</v>
      </c>
      <c r="V765" t="s">
        <v>33</v>
      </c>
      <c r="W765">
        <v>2</v>
      </c>
    </row>
    <row r="766" spans="1:23" x14ac:dyDescent="0.25">
      <c r="A766" t="s">
        <v>1279</v>
      </c>
      <c r="B766" s="1">
        <v>45954</v>
      </c>
      <c r="C766" t="s">
        <v>747</v>
      </c>
      <c r="D766" t="s">
        <v>79</v>
      </c>
      <c r="E766" t="s">
        <v>36</v>
      </c>
      <c r="F766" t="s">
        <v>53</v>
      </c>
      <c r="G766" t="s">
        <v>59</v>
      </c>
      <c r="H766">
        <v>2</v>
      </c>
      <c r="I766" s="21">
        <v>10385</v>
      </c>
      <c r="J766">
        <v>15</v>
      </c>
      <c r="K766" s="21">
        <v>3115.5</v>
      </c>
      <c r="L766" s="21">
        <v>17654.5</v>
      </c>
      <c r="M766" s="21">
        <v>11497.09</v>
      </c>
      <c r="N766" s="21">
        <v>6157.41</v>
      </c>
      <c r="O766" t="s">
        <v>60</v>
      </c>
      <c r="P766" s="21">
        <v>1556.29</v>
      </c>
      <c r="Q766" t="s">
        <v>30</v>
      </c>
      <c r="R766" t="s">
        <v>41</v>
      </c>
      <c r="S766">
        <v>2</v>
      </c>
      <c r="T766">
        <v>4</v>
      </c>
      <c r="U766" t="s">
        <v>56</v>
      </c>
      <c r="V766" t="s">
        <v>33</v>
      </c>
      <c r="W766">
        <v>5</v>
      </c>
    </row>
    <row r="767" spans="1:23" x14ac:dyDescent="0.25">
      <c r="A767" t="s">
        <v>1280</v>
      </c>
      <c r="B767" s="1">
        <v>45671</v>
      </c>
      <c r="C767" t="s">
        <v>1281</v>
      </c>
      <c r="D767" t="s">
        <v>67</v>
      </c>
      <c r="E767" t="s">
        <v>26</v>
      </c>
      <c r="F767" t="s">
        <v>37</v>
      </c>
      <c r="G767" t="s">
        <v>38</v>
      </c>
      <c r="H767">
        <v>1</v>
      </c>
      <c r="I767" s="21">
        <v>29149</v>
      </c>
      <c r="J767">
        <v>25</v>
      </c>
      <c r="K767" s="21">
        <v>7287.25</v>
      </c>
      <c r="L767" s="21">
        <v>21861.75</v>
      </c>
      <c r="M767" s="21">
        <v>16567.77</v>
      </c>
      <c r="N767" s="21">
        <v>5293.98</v>
      </c>
      <c r="O767" t="s">
        <v>55</v>
      </c>
      <c r="P767" s="21">
        <v>1327.71</v>
      </c>
      <c r="Q767" t="s">
        <v>83</v>
      </c>
      <c r="R767" t="s">
        <v>41</v>
      </c>
      <c r="S767">
        <v>2</v>
      </c>
      <c r="T767">
        <v>1</v>
      </c>
      <c r="U767" t="s">
        <v>32</v>
      </c>
      <c r="V767" t="s">
        <v>33</v>
      </c>
      <c r="W767">
        <v>5</v>
      </c>
    </row>
    <row r="768" spans="1:23" x14ac:dyDescent="0.25">
      <c r="A768" t="s">
        <v>1282</v>
      </c>
      <c r="B768" s="1">
        <v>45817</v>
      </c>
      <c r="C768" t="s">
        <v>462</v>
      </c>
      <c r="D768" t="s">
        <v>79</v>
      </c>
      <c r="E768" t="s">
        <v>46</v>
      </c>
      <c r="F768" t="s">
        <v>27</v>
      </c>
      <c r="G768" t="s">
        <v>164</v>
      </c>
      <c r="H768">
        <v>1</v>
      </c>
      <c r="I768" s="21">
        <v>18399</v>
      </c>
      <c r="J768">
        <v>10</v>
      </c>
      <c r="K768" s="21">
        <v>1839.9</v>
      </c>
      <c r="L768" s="21">
        <v>16559.099999999999</v>
      </c>
      <c r="M768" s="21">
        <v>10186.700000000001</v>
      </c>
      <c r="N768" s="21">
        <v>6372.4</v>
      </c>
      <c r="O768" t="s">
        <v>60</v>
      </c>
      <c r="P768" s="21">
        <v>912.57</v>
      </c>
      <c r="Q768" t="s">
        <v>30</v>
      </c>
      <c r="R768" t="s">
        <v>31</v>
      </c>
      <c r="S768">
        <v>5</v>
      </c>
      <c r="T768">
        <v>4</v>
      </c>
      <c r="U768" t="s">
        <v>32</v>
      </c>
      <c r="V768" t="s">
        <v>33</v>
      </c>
      <c r="W768">
        <v>3</v>
      </c>
    </row>
    <row r="769" spans="1:23" x14ac:dyDescent="0.25">
      <c r="A769" t="s">
        <v>1283</v>
      </c>
      <c r="B769" s="1">
        <v>45952</v>
      </c>
      <c r="C769" t="s">
        <v>677</v>
      </c>
      <c r="D769" t="s">
        <v>79</v>
      </c>
      <c r="E769" t="s">
        <v>26</v>
      </c>
      <c r="F769" t="s">
        <v>47</v>
      </c>
      <c r="G769" t="s">
        <v>64</v>
      </c>
      <c r="H769">
        <v>2</v>
      </c>
      <c r="I769" s="21">
        <v>8850</v>
      </c>
      <c r="J769">
        <v>25</v>
      </c>
      <c r="K769" s="21">
        <v>4425</v>
      </c>
      <c r="L769" s="21">
        <v>13275</v>
      </c>
      <c r="M769" s="21">
        <v>7950.84</v>
      </c>
      <c r="N769" s="21">
        <v>5324.16</v>
      </c>
      <c r="O769" t="s">
        <v>55</v>
      </c>
      <c r="P769" s="21">
        <v>2327.46</v>
      </c>
      <c r="Q769" t="s">
        <v>83</v>
      </c>
      <c r="R769" t="s">
        <v>41</v>
      </c>
      <c r="S769">
        <v>2</v>
      </c>
      <c r="T769">
        <v>5</v>
      </c>
      <c r="U769" t="s">
        <v>56</v>
      </c>
      <c r="V769" t="s">
        <v>33</v>
      </c>
      <c r="W769">
        <v>5</v>
      </c>
    </row>
    <row r="770" spans="1:23" x14ac:dyDescent="0.25">
      <c r="A770" t="s">
        <v>1284</v>
      </c>
      <c r="B770" s="1">
        <v>46004</v>
      </c>
      <c r="C770" t="s">
        <v>345</v>
      </c>
      <c r="D770" t="s">
        <v>97</v>
      </c>
      <c r="E770" t="s">
        <v>46</v>
      </c>
      <c r="F770" t="s">
        <v>86</v>
      </c>
      <c r="G770" t="s">
        <v>110</v>
      </c>
      <c r="H770">
        <v>1</v>
      </c>
      <c r="I770" s="21">
        <v>44048</v>
      </c>
      <c r="J770">
        <v>15</v>
      </c>
      <c r="K770" s="21">
        <v>6607.2</v>
      </c>
      <c r="L770" s="21">
        <v>37440.800000000003</v>
      </c>
      <c r="M770" s="21">
        <v>21701.14</v>
      </c>
      <c r="N770" s="21">
        <v>15739.66</v>
      </c>
      <c r="O770" t="s">
        <v>60</v>
      </c>
      <c r="P770" s="21">
        <v>1308.94</v>
      </c>
      <c r="Q770" t="s">
        <v>68</v>
      </c>
      <c r="R770" t="s">
        <v>31</v>
      </c>
      <c r="S770">
        <v>5</v>
      </c>
      <c r="T770">
        <v>3</v>
      </c>
      <c r="U770" t="s">
        <v>32</v>
      </c>
      <c r="V770" t="s">
        <v>33</v>
      </c>
      <c r="W770">
        <v>2</v>
      </c>
    </row>
    <row r="771" spans="1:23" x14ac:dyDescent="0.25">
      <c r="A771" t="s">
        <v>1285</v>
      </c>
      <c r="B771" s="1">
        <v>45850</v>
      </c>
      <c r="C771" t="s">
        <v>822</v>
      </c>
      <c r="D771" t="s">
        <v>71</v>
      </c>
      <c r="E771" t="s">
        <v>46</v>
      </c>
      <c r="F771" t="s">
        <v>53</v>
      </c>
      <c r="G771" t="s">
        <v>54</v>
      </c>
      <c r="H771">
        <v>1</v>
      </c>
      <c r="I771" s="21">
        <v>98526</v>
      </c>
      <c r="J771">
        <v>0</v>
      </c>
      <c r="K771" s="21">
        <v>0</v>
      </c>
      <c r="L771" s="21">
        <v>98526</v>
      </c>
      <c r="M771" s="21">
        <v>56890.41</v>
      </c>
      <c r="N771" s="21">
        <v>41635.589999999997</v>
      </c>
      <c r="O771" t="s">
        <v>55</v>
      </c>
      <c r="P771" s="21">
        <v>2451.23</v>
      </c>
      <c r="Q771" t="s">
        <v>40</v>
      </c>
      <c r="R771" t="s">
        <v>31</v>
      </c>
      <c r="S771">
        <v>5</v>
      </c>
      <c r="T771">
        <v>8</v>
      </c>
      <c r="U771" t="s">
        <v>56</v>
      </c>
      <c r="V771" t="s">
        <v>33</v>
      </c>
      <c r="W771">
        <v>5</v>
      </c>
    </row>
    <row r="772" spans="1:23" x14ac:dyDescent="0.25">
      <c r="A772" t="s">
        <v>1286</v>
      </c>
      <c r="B772" s="1">
        <v>45861</v>
      </c>
      <c r="C772" t="s">
        <v>351</v>
      </c>
      <c r="D772" t="s">
        <v>67</v>
      </c>
      <c r="E772" t="s">
        <v>26</v>
      </c>
      <c r="F772" t="s">
        <v>37</v>
      </c>
      <c r="G772" t="s">
        <v>224</v>
      </c>
      <c r="H772">
        <v>1</v>
      </c>
      <c r="I772" s="21">
        <v>39617</v>
      </c>
      <c r="J772">
        <v>0</v>
      </c>
      <c r="K772" s="21">
        <v>0</v>
      </c>
      <c r="L772" s="21">
        <v>39617</v>
      </c>
      <c r="M772" s="21">
        <v>26267.21</v>
      </c>
      <c r="N772" s="21">
        <v>13349.79</v>
      </c>
      <c r="O772" t="s">
        <v>39</v>
      </c>
      <c r="P772" s="21">
        <v>1481.75</v>
      </c>
      <c r="Q772" t="s">
        <v>30</v>
      </c>
      <c r="R772" t="s">
        <v>41</v>
      </c>
      <c r="S772">
        <v>2</v>
      </c>
      <c r="T772">
        <v>3</v>
      </c>
      <c r="U772" t="s">
        <v>56</v>
      </c>
      <c r="V772" t="s">
        <v>33</v>
      </c>
      <c r="W772">
        <v>4</v>
      </c>
    </row>
    <row r="773" spans="1:23" x14ac:dyDescent="0.25">
      <c r="A773" t="s">
        <v>1287</v>
      </c>
      <c r="B773" s="1">
        <v>45759</v>
      </c>
      <c r="C773" t="s">
        <v>1288</v>
      </c>
      <c r="D773" t="s">
        <v>63</v>
      </c>
      <c r="E773" t="s">
        <v>46</v>
      </c>
      <c r="F773" t="s">
        <v>53</v>
      </c>
      <c r="G773" t="s">
        <v>151</v>
      </c>
      <c r="H773">
        <v>1</v>
      </c>
      <c r="I773" s="21">
        <v>40880</v>
      </c>
      <c r="J773">
        <v>0</v>
      </c>
      <c r="K773" s="21">
        <v>0</v>
      </c>
      <c r="L773" s="21">
        <v>40880</v>
      </c>
      <c r="M773" s="21">
        <v>28780.07</v>
      </c>
      <c r="N773" s="21">
        <v>12099.93</v>
      </c>
      <c r="O773" t="s">
        <v>49</v>
      </c>
      <c r="P773" s="21">
        <v>498.43</v>
      </c>
      <c r="Q773" t="s">
        <v>73</v>
      </c>
      <c r="R773" t="s">
        <v>31</v>
      </c>
      <c r="S773">
        <v>5</v>
      </c>
      <c r="T773">
        <v>3</v>
      </c>
      <c r="U773" t="s">
        <v>32</v>
      </c>
      <c r="V773" t="s">
        <v>50</v>
      </c>
      <c r="W773">
        <v>5</v>
      </c>
    </row>
    <row r="774" spans="1:23" x14ac:dyDescent="0.25">
      <c r="A774" t="s">
        <v>1289</v>
      </c>
      <c r="B774" s="1">
        <v>45696</v>
      </c>
      <c r="C774" t="s">
        <v>1162</v>
      </c>
      <c r="D774" t="s">
        <v>79</v>
      </c>
      <c r="E774" t="s">
        <v>46</v>
      </c>
      <c r="F774" t="s">
        <v>37</v>
      </c>
      <c r="G774" t="s">
        <v>313</v>
      </c>
      <c r="H774">
        <v>1</v>
      </c>
      <c r="I774" s="21">
        <v>13659</v>
      </c>
      <c r="J774">
        <v>10</v>
      </c>
      <c r="K774" s="21">
        <v>1365.9</v>
      </c>
      <c r="L774" s="21">
        <v>12293.1</v>
      </c>
      <c r="M774" s="21">
        <v>7203.36</v>
      </c>
      <c r="N774" s="21">
        <v>5089.74</v>
      </c>
      <c r="O774" t="s">
        <v>49</v>
      </c>
      <c r="P774" s="21">
        <v>77</v>
      </c>
      <c r="Q774" t="s">
        <v>83</v>
      </c>
      <c r="R774" t="s">
        <v>41</v>
      </c>
      <c r="S774">
        <v>2</v>
      </c>
      <c r="T774">
        <v>0</v>
      </c>
      <c r="U774" t="s">
        <v>32</v>
      </c>
      <c r="V774" t="s">
        <v>50</v>
      </c>
      <c r="W774">
        <v>3</v>
      </c>
    </row>
    <row r="775" spans="1:23" x14ac:dyDescent="0.25">
      <c r="A775" t="s">
        <v>1290</v>
      </c>
      <c r="B775" s="1">
        <v>45961</v>
      </c>
      <c r="C775" t="s">
        <v>1291</v>
      </c>
      <c r="D775" t="s">
        <v>45</v>
      </c>
      <c r="E775" t="s">
        <v>46</v>
      </c>
      <c r="F775" t="s">
        <v>53</v>
      </c>
      <c r="G775" t="s">
        <v>82</v>
      </c>
      <c r="H775">
        <v>3</v>
      </c>
      <c r="I775" s="21">
        <v>26964</v>
      </c>
      <c r="J775">
        <v>5</v>
      </c>
      <c r="K775" s="21">
        <v>4044.6</v>
      </c>
      <c r="L775" s="21">
        <v>76847.399999999994</v>
      </c>
      <c r="M775" s="21">
        <v>56044.03</v>
      </c>
      <c r="N775" s="21">
        <v>20803.37</v>
      </c>
      <c r="O775" t="s">
        <v>29</v>
      </c>
      <c r="P775" s="21">
        <v>427.81</v>
      </c>
      <c r="Q775" t="s">
        <v>30</v>
      </c>
      <c r="R775" t="s">
        <v>41</v>
      </c>
      <c r="S775">
        <v>2</v>
      </c>
      <c r="T775">
        <v>3</v>
      </c>
      <c r="U775" t="s">
        <v>56</v>
      </c>
      <c r="V775" t="s">
        <v>33</v>
      </c>
      <c r="W775">
        <v>2</v>
      </c>
    </row>
    <row r="776" spans="1:23" x14ac:dyDescent="0.25">
      <c r="A776" t="s">
        <v>1292</v>
      </c>
      <c r="B776" s="1">
        <v>46011</v>
      </c>
      <c r="C776" t="s">
        <v>384</v>
      </c>
      <c r="D776" t="s">
        <v>154</v>
      </c>
      <c r="E776" t="s">
        <v>46</v>
      </c>
      <c r="F776" t="s">
        <v>37</v>
      </c>
      <c r="G776" t="s">
        <v>38</v>
      </c>
      <c r="H776">
        <v>1</v>
      </c>
      <c r="I776" s="21">
        <v>8757</v>
      </c>
      <c r="J776">
        <v>0</v>
      </c>
      <c r="K776" s="21">
        <v>0</v>
      </c>
      <c r="L776" s="21">
        <v>8757</v>
      </c>
      <c r="M776" s="21">
        <v>5400.51</v>
      </c>
      <c r="N776" s="21">
        <v>3356.49</v>
      </c>
      <c r="O776" t="s">
        <v>49</v>
      </c>
      <c r="P776" s="21">
        <v>422.59</v>
      </c>
      <c r="Q776" t="s">
        <v>30</v>
      </c>
      <c r="R776" t="s">
        <v>41</v>
      </c>
      <c r="S776">
        <v>2</v>
      </c>
      <c r="T776">
        <v>3</v>
      </c>
      <c r="U776" t="s">
        <v>56</v>
      </c>
      <c r="V776" t="s">
        <v>33</v>
      </c>
    </row>
    <row r="777" spans="1:23" x14ac:dyDescent="0.25">
      <c r="A777" t="s">
        <v>1293</v>
      </c>
      <c r="B777" s="1">
        <v>45979</v>
      </c>
      <c r="C777" t="s">
        <v>860</v>
      </c>
      <c r="D777" t="s">
        <v>25</v>
      </c>
      <c r="E777" t="s">
        <v>46</v>
      </c>
      <c r="F777" t="s">
        <v>53</v>
      </c>
      <c r="G777" t="s">
        <v>54</v>
      </c>
      <c r="H777">
        <v>2</v>
      </c>
      <c r="I777" s="21">
        <v>57979</v>
      </c>
      <c r="J777">
        <v>0</v>
      </c>
      <c r="K777" s="21">
        <v>0</v>
      </c>
      <c r="L777" s="21">
        <v>115958</v>
      </c>
      <c r="M777" s="21">
        <v>78785.2</v>
      </c>
      <c r="N777" s="21">
        <v>37172.800000000003</v>
      </c>
      <c r="O777" t="s">
        <v>60</v>
      </c>
      <c r="P777" s="21">
        <v>2205.3000000000002</v>
      </c>
      <c r="Q777" t="s">
        <v>68</v>
      </c>
      <c r="R777" t="s">
        <v>41</v>
      </c>
      <c r="S777">
        <v>2</v>
      </c>
      <c r="T777">
        <v>5</v>
      </c>
      <c r="U777" t="s">
        <v>32</v>
      </c>
      <c r="V777" t="s">
        <v>42</v>
      </c>
    </row>
    <row r="778" spans="1:23" x14ac:dyDescent="0.25">
      <c r="A778" t="s">
        <v>1294</v>
      </c>
      <c r="B778" s="1">
        <v>45782</v>
      </c>
      <c r="C778" t="s">
        <v>1295</v>
      </c>
      <c r="D778" t="s">
        <v>63</v>
      </c>
      <c r="E778" t="s">
        <v>26</v>
      </c>
      <c r="F778" t="s">
        <v>47</v>
      </c>
      <c r="G778" t="s">
        <v>64</v>
      </c>
      <c r="H778">
        <v>1</v>
      </c>
      <c r="I778" s="21">
        <v>34349</v>
      </c>
      <c r="J778">
        <v>0</v>
      </c>
      <c r="K778" s="21">
        <v>0</v>
      </c>
      <c r="L778" s="21">
        <v>34349</v>
      </c>
      <c r="M778" s="21">
        <v>26060.17</v>
      </c>
      <c r="N778" s="21">
        <v>8288.83</v>
      </c>
      <c r="O778" t="s">
        <v>60</v>
      </c>
      <c r="P778" s="21">
        <v>1104.51</v>
      </c>
      <c r="Q778" t="s">
        <v>30</v>
      </c>
      <c r="R778" t="s">
        <v>41</v>
      </c>
      <c r="S778">
        <v>2</v>
      </c>
      <c r="T778">
        <v>1</v>
      </c>
      <c r="U778" t="s">
        <v>32</v>
      </c>
      <c r="V778" t="s">
        <v>33</v>
      </c>
      <c r="W778">
        <v>3</v>
      </c>
    </row>
    <row r="779" spans="1:23" x14ac:dyDescent="0.25">
      <c r="A779" t="s">
        <v>1296</v>
      </c>
      <c r="B779" s="1">
        <v>45710</v>
      </c>
      <c r="C779" t="s">
        <v>179</v>
      </c>
      <c r="D779" t="s">
        <v>45</v>
      </c>
      <c r="E779" t="s">
        <v>36</v>
      </c>
      <c r="F779" t="s">
        <v>86</v>
      </c>
      <c r="G779" t="s">
        <v>94</v>
      </c>
      <c r="H779">
        <v>3</v>
      </c>
      <c r="I779" s="21">
        <v>69935</v>
      </c>
      <c r="J779">
        <v>20</v>
      </c>
      <c r="K779" s="21">
        <v>41961</v>
      </c>
      <c r="L779" s="21">
        <v>167844</v>
      </c>
      <c r="M779" s="21">
        <v>107589.74</v>
      </c>
      <c r="N779" s="21">
        <v>60254.26</v>
      </c>
      <c r="O779" t="s">
        <v>39</v>
      </c>
      <c r="P779" s="21">
        <v>1389.09</v>
      </c>
      <c r="Q779" t="s">
        <v>83</v>
      </c>
      <c r="R779" t="s">
        <v>41</v>
      </c>
      <c r="S779">
        <v>2</v>
      </c>
      <c r="T779">
        <v>2</v>
      </c>
      <c r="U779" t="s">
        <v>32</v>
      </c>
      <c r="V779" t="s">
        <v>50</v>
      </c>
      <c r="W779">
        <v>5</v>
      </c>
    </row>
    <row r="780" spans="1:23" x14ac:dyDescent="0.25">
      <c r="A780" t="s">
        <v>1297</v>
      </c>
      <c r="B780" s="1">
        <v>46014</v>
      </c>
      <c r="C780" t="s">
        <v>1298</v>
      </c>
      <c r="D780" t="s">
        <v>63</v>
      </c>
      <c r="E780" t="s">
        <v>26</v>
      </c>
      <c r="F780" t="s">
        <v>86</v>
      </c>
      <c r="G780" t="s">
        <v>94</v>
      </c>
      <c r="H780">
        <v>1</v>
      </c>
      <c r="I780" s="21">
        <v>80188</v>
      </c>
      <c r="J780">
        <v>10</v>
      </c>
      <c r="K780" s="21">
        <v>8018.8</v>
      </c>
      <c r="L780" s="21">
        <v>72169.2</v>
      </c>
      <c r="M780" s="21">
        <v>43431.32</v>
      </c>
      <c r="N780" s="21">
        <v>28737.88</v>
      </c>
      <c r="O780" t="s">
        <v>29</v>
      </c>
      <c r="P780" s="21">
        <v>806.99</v>
      </c>
      <c r="Q780" t="s">
        <v>30</v>
      </c>
      <c r="R780" t="s">
        <v>41</v>
      </c>
      <c r="S780">
        <v>2</v>
      </c>
      <c r="T780">
        <v>1</v>
      </c>
      <c r="U780" t="s">
        <v>32</v>
      </c>
      <c r="V780" t="s">
        <v>33</v>
      </c>
      <c r="W780">
        <v>3</v>
      </c>
    </row>
    <row r="781" spans="1:23" x14ac:dyDescent="0.25">
      <c r="A781" t="s">
        <v>1299</v>
      </c>
      <c r="B781" s="1">
        <v>45812</v>
      </c>
      <c r="C781" t="s">
        <v>1300</v>
      </c>
      <c r="D781" t="s">
        <v>63</v>
      </c>
      <c r="E781" t="s">
        <v>26</v>
      </c>
      <c r="F781" t="s">
        <v>47</v>
      </c>
      <c r="G781" t="s">
        <v>64</v>
      </c>
      <c r="H781">
        <v>1</v>
      </c>
      <c r="I781" s="21">
        <v>43235</v>
      </c>
      <c r="J781">
        <v>25</v>
      </c>
      <c r="K781" s="21">
        <v>10808.75</v>
      </c>
      <c r="L781" s="21">
        <v>32426.25</v>
      </c>
      <c r="M781" s="21">
        <v>19352.71</v>
      </c>
      <c r="N781" s="21">
        <v>13073.54</v>
      </c>
      <c r="O781" t="s">
        <v>91</v>
      </c>
      <c r="P781" s="21">
        <v>673.19</v>
      </c>
      <c r="Q781" t="s">
        <v>73</v>
      </c>
      <c r="R781" t="s">
        <v>41</v>
      </c>
      <c r="S781">
        <v>2</v>
      </c>
      <c r="T781">
        <v>5</v>
      </c>
      <c r="U781" t="s">
        <v>32</v>
      </c>
      <c r="V781" t="s">
        <v>50</v>
      </c>
      <c r="W781">
        <v>2</v>
      </c>
    </row>
    <row r="782" spans="1:23" x14ac:dyDescent="0.25">
      <c r="A782" t="s">
        <v>1301</v>
      </c>
      <c r="B782" s="1">
        <v>46008</v>
      </c>
      <c r="C782" t="s">
        <v>1106</v>
      </c>
      <c r="D782" t="s">
        <v>124</v>
      </c>
      <c r="E782" t="s">
        <v>26</v>
      </c>
      <c r="F782" t="s">
        <v>47</v>
      </c>
      <c r="G782" t="s">
        <v>105</v>
      </c>
      <c r="H782">
        <v>1</v>
      </c>
      <c r="I782" s="21">
        <v>37086</v>
      </c>
      <c r="J782">
        <v>10</v>
      </c>
      <c r="K782" s="21">
        <v>3708.6</v>
      </c>
      <c r="L782" s="21">
        <v>33377.4</v>
      </c>
      <c r="M782" s="21">
        <v>23818.63</v>
      </c>
      <c r="N782" s="21">
        <v>9558.77</v>
      </c>
      <c r="O782" t="s">
        <v>60</v>
      </c>
      <c r="P782" s="21">
        <v>2070.16</v>
      </c>
      <c r="Q782" t="s">
        <v>30</v>
      </c>
      <c r="R782" t="s">
        <v>31</v>
      </c>
      <c r="S782">
        <v>5</v>
      </c>
      <c r="T782">
        <v>5</v>
      </c>
      <c r="U782" t="s">
        <v>32</v>
      </c>
      <c r="V782" t="s">
        <v>33</v>
      </c>
      <c r="W782">
        <v>4</v>
      </c>
    </row>
    <row r="783" spans="1:23" x14ac:dyDescent="0.25">
      <c r="A783" t="s">
        <v>1302</v>
      </c>
      <c r="B783" s="1">
        <v>45965</v>
      </c>
      <c r="C783" t="s">
        <v>1303</v>
      </c>
      <c r="D783" t="s">
        <v>63</v>
      </c>
      <c r="E783" t="s">
        <v>26</v>
      </c>
      <c r="F783" t="s">
        <v>53</v>
      </c>
      <c r="G783" t="s">
        <v>151</v>
      </c>
      <c r="H783">
        <v>4</v>
      </c>
      <c r="I783" s="21">
        <v>85491</v>
      </c>
      <c r="J783">
        <v>5</v>
      </c>
      <c r="K783" s="21">
        <v>17098.2</v>
      </c>
      <c r="L783" s="21">
        <v>324865.8</v>
      </c>
      <c r="M783" s="21">
        <v>201981.84</v>
      </c>
      <c r="N783" s="21">
        <v>122883.96</v>
      </c>
      <c r="O783" t="s">
        <v>60</v>
      </c>
      <c r="P783" s="21">
        <v>448.58</v>
      </c>
      <c r="Q783" t="s">
        <v>30</v>
      </c>
      <c r="R783" t="s">
        <v>41</v>
      </c>
      <c r="S783">
        <v>2</v>
      </c>
      <c r="T783">
        <v>1</v>
      </c>
      <c r="U783" t="s">
        <v>32</v>
      </c>
      <c r="V783" t="s">
        <v>33</v>
      </c>
      <c r="W783">
        <v>5</v>
      </c>
    </row>
    <row r="784" spans="1:23" x14ac:dyDescent="0.25">
      <c r="A784" t="s">
        <v>1304</v>
      </c>
      <c r="B784" s="1">
        <v>45719</v>
      </c>
      <c r="C784" t="s">
        <v>629</v>
      </c>
      <c r="D784" t="s">
        <v>154</v>
      </c>
      <c r="E784" t="s">
        <v>46</v>
      </c>
      <c r="F784" t="s">
        <v>27</v>
      </c>
      <c r="G784" t="s">
        <v>72</v>
      </c>
      <c r="H784">
        <v>2</v>
      </c>
      <c r="I784" s="21">
        <v>12588</v>
      </c>
      <c r="J784">
        <v>25</v>
      </c>
      <c r="K784" s="21">
        <v>6294</v>
      </c>
      <c r="L784" s="21">
        <v>18882</v>
      </c>
      <c r="M784" s="21">
        <v>13113.74</v>
      </c>
      <c r="N784" s="21">
        <v>5768.26</v>
      </c>
      <c r="O784" t="s">
        <v>91</v>
      </c>
      <c r="P784" s="21">
        <v>1779.47</v>
      </c>
      <c r="Q784" t="s">
        <v>68</v>
      </c>
      <c r="R784" t="s">
        <v>31</v>
      </c>
      <c r="S784">
        <v>5</v>
      </c>
      <c r="T784">
        <v>5</v>
      </c>
      <c r="U784" t="s">
        <v>32</v>
      </c>
      <c r="V784" t="s">
        <v>33</v>
      </c>
      <c r="W784">
        <v>5</v>
      </c>
    </row>
    <row r="785" spans="1:23" x14ac:dyDescent="0.25">
      <c r="A785" t="s">
        <v>1305</v>
      </c>
      <c r="B785" s="1">
        <v>45947</v>
      </c>
      <c r="C785" t="s">
        <v>1306</v>
      </c>
      <c r="D785" t="s">
        <v>90</v>
      </c>
      <c r="E785" t="s">
        <v>46</v>
      </c>
      <c r="F785" t="s">
        <v>53</v>
      </c>
      <c r="G785" t="s">
        <v>82</v>
      </c>
      <c r="H785">
        <v>2</v>
      </c>
      <c r="I785" s="21">
        <v>45329</v>
      </c>
      <c r="J785">
        <v>5</v>
      </c>
      <c r="K785" s="21">
        <v>4532.8999999999996</v>
      </c>
      <c r="L785" s="21">
        <v>86125.1</v>
      </c>
      <c r="M785" s="21">
        <v>61746.89</v>
      </c>
      <c r="N785" s="21">
        <v>24378.21</v>
      </c>
      <c r="O785" t="s">
        <v>55</v>
      </c>
      <c r="P785" s="21">
        <v>1013.17</v>
      </c>
      <c r="Q785" t="s">
        <v>68</v>
      </c>
      <c r="R785" t="s">
        <v>41</v>
      </c>
      <c r="S785">
        <v>2</v>
      </c>
      <c r="T785">
        <v>4</v>
      </c>
      <c r="U785" t="s">
        <v>32</v>
      </c>
      <c r="V785" t="s">
        <v>42</v>
      </c>
    </row>
    <row r="786" spans="1:23" x14ac:dyDescent="0.25">
      <c r="A786" t="s">
        <v>1307</v>
      </c>
      <c r="B786" s="1">
        <v>45679</v>
      </c>
      <c r="C786" t="s">
        <v>265</v>
      </c>
      <c r="D786" t="s">
        <v>45</v>
      </c>
      <c r="E786" t="s">
        <v>26</v>
      </c>
      <c r="F786" t="s">
        <v>47</v>
      </c>
      <c r="G786" t="s">
        <v>138</v>
      </c>
      <c r="H786">
        <v>1</v>
      </c>
      <c r="I786" s="21">
        <v>32118</v>
      </c>
      <c r="J786">
        <v>0</v>
      </c>
      <c r="K786" s="21">
        <v>0</v>
      </c>
      <c r="L786" s="21">
        <v>32118</v>
      </c>
      <c r="M786" s="21">
        <v>18455.580000000002</v>
      </c>
      <c r="N786" s="21">
        <v>13662.42</v>
      </c>
      <c r="O786" t="s">
        <v>39</v>
      </c>
      <c r="P786" s="21">
        <v>486.5</v>
      </c>
      <c r="Q786" t="s">
        <v>68</v>
      </c>
      <c r="R786" t="s">
        <v>41</v>
      </c>
      <c r="S786">
        <v>2</v>
      </c>
      <c r="T786">
        <v>6</v>
      </c>
      <c r="U786" t="s">
        <v>32</v>
      </c>
      <c r="V786" t="s">
        <v>50</v>
      </c>
      <c r="W786">
        <v>4</v>
      </c>
    </row>
    <row r="787" spans="1:23" x14ac:dyDescent="0.25">
      <c r="A787" t="s">
        <v>1308</v>
      </c>
      <c r="B787" s="1">
        <v>45835</v>
      </c>
      <c r="C787" t="s">
        <v>933</v>
      </c>
      <c r="D787" t="s">
        <v>67</v>
      </c>
      <c r="E787" t="s">
        <v>46</v>
      </c>
      <c r="F787" t="s">
        <v>27</v>
      </c>
      <c r="G787" t="s">
        <v>76</v>
      </c>
      <c r="H787">
        <v>1</v>
      </c>
      <c r="I787" s="21">
        <v>3603</v>
      </c>
      <c r="J787">
        <v>10</v>
      </c>
      <c r="K787" s="21">
        <v>360.3</v>
      </c>
      <c r="L787" s="21">
        <v>3242.7</v>
      </c>
      <c r="M787" s="21">
        <v>2164.5100000000002</v>
      </c>
      <c r="N787" s="21">
        <v>1078.19</v>
      </c>
      <c r="O787" t="s">
        <v>29</v>
      </c>
      <c r="P787" s="21">
        <v>690.79</v>
      </c>
      <c r="Q787" t="s">
        <v>83</v>
      </c>
      <c r="R787" t="s">
        <v>41</v>
      </c>
      <c r="S787">
        <v>2</v>
      </c>
      <c r="T787">
        <v>3</v>
      </c>
      <c r="U787" t="s">
        <v>32</v>
      </c>
      <c r="V787" t="s">
        <v>42</v>
      </c>
    </row>
    <row r="788" spans="1:23" x14ac:dyDescent="0.25">
      <c r="A788" t="s">
        <v>1309</v>
      </c>
      <c r="B788" s="1">
        <v>45930</v>
      </c>
      <c r="C788" t="s">
        <v>343</v>
      </c>
      <c r="D788" t="s">
        <v>67</v>
      </c>
      <c r="E788" t="s">
        <v>26</v>
      </c>
      <c r="F788" t="s">
        <v>53</v>
      </c>
      <c r="G788" t="s">
        <v>54</v>
      </c>
      <c r="H788">
        <v>1</v>
      </c>
      <c r="I788" s="21">
        <v>89616</v>
      </c>
      <c r="J788">
        <v>5</v>
      </c>
      <c r="K788" s="21">
        <v>4480.8</v>
      </c>
      <c r="L788" s="21">
        <v>85135.2</v>
      </c>
      <c r="M788" s="21">
        <v>67094</v>
      </c>
      <c r="N788" s="21">
        <v>18041.2</v>
      </c>
      <c r="O788" t="s">
        <v>91</v>
      </c>
      <c r="P788" s="21">
        <v>2212.84</v>
      </c>
      <c r="Q788" t="s">
        <v>73</v>
      </c>
      <c r="R788" t="s">
        <v>41</v>
      </c>
      <c r="S788">
        <v>2</v>
      </c>
      <c r="T788">
        <v>3</v>
      </c>
      <c r="U788" t="s">
        <v>56</v>
      </c>
      <c r="V788" t="s">
        <v>33</v>
      </c>
      <c r="W788">
        <v>5</v>
      </c>
    </row>
    <row r="789" spans="1:23" x14ac:dyDescent="0.25">
      <c r="A789" t="s">
        <v>1310</v>
      </c>
      <c r="B789" s="1">
        <v>45877</v>
      </c>
      <c r="C789" t="s">
        <v>1311</v>
      </c>
      <c r="D789" t="s">
        <v>97</v>
      </c>
      <c r="E789" t="s">
        <v>46</v>
      </c>
      <c r="F789" t="s">
        <v>86</v>
      </c>
      <c r="G789" t="s">
        <v>180</v>
      </c>
      <c r="H789">
        <v>1</v>
      </c>
      <c r="I789" s="21">
        <v>24941</v>
      </c>
      <c r="J789">
        <v>15</v>
      </c>
      <c r="K789" s="21">
        <v>3741.15</v>
      </c>
      <c r="L789" s="21">
        <v>21199.85</v>
      </c>
      <c r="M789" s="21">
        <v>12623.73</v>
      </c>
      <c r="N789" s="21">
        <v>8576.1200000000008</v>
      </c>
      <c r="O789" t="s">
        <v>29</v>
      </c>
      <c r="P789" s="21">
        <v>922.69</v>
      </c>
      <c r="Q789" t="s">
        <v>30</v>
      </c>
      <c r="R789" t="s">
        <v>31</v>
      </c>
      <c r="S789">
        <v>5</v>
      </c>
      <c r="T789">
        <v>5</v>
      </c>
      <c r="U789" t="s">
        <v>32</v>
      </c>
      <c r="V789" t="s">
        <v>33</v>
      </c>
      <c r="W789">
        <v>2</v>
      </c>
    </row>
    <row r="790" spans="1:23" x14ac:dyDescent="0.25">
      <c r="A790" t="s">
        <v>1312</v>
      </c>
      <c r="B790" s="1">
        <v>45996</v>
      </c>
      <c r="C790" t="s">
        <v>912</v>
      </c>
      <c r="D790" t="s">
        <v>124</v>
      </c>
      <c r="E790" t="s">
        <v>26</v>
      </c>
      <c r="F790" t="s">
        <v>86</v>
      </c>
      <c r="G790" t="s">
        <v>87</v>
      </c>
      <c r="H790">
        <v>1</v>
      </c>
      <c r="I790" s="21">
        <v>79834</v>
      </c>
      <c r="J790">
        <v>20</v>
      </c>
      <c r="K790" s="21">
        <v>15966.8</v>
      </c>
      <c r="L790" s="21">
        <v>63867.199999999997</v>
      </c>
      <c r="M790" s="21">
        <v>47423.24</v>
      </c>
      <c r="N790" s="21">
        <v>16443.96</v>
      </c>
      <c r="O790" t="s">
        <v>60</v>
      </c>
      <c r="P790" s="21">
        <v>993.92</v>
      </c>
      <c r="Q790" t="s">
        <v>30</v>
      </c>
      <c r="R790" t="s">
        <v>41</v>
      </c>
      <c r="S790">
        <v>2</v>
      </c>
      <c r="T790">
        <v>1</v>
      </c>
      <c r="U790" t="s">
        <v>32</v>
      </c>
      <c r="V790" t="s">
        <v>33</v>
      </c>
      <c r="W790">
        <v>5</v>
      </c>
    </row>
    <row r="791" spans="1:23" x14ac:dyDescent="0.25">
      <c r="A791" t="s">
        <v>1313</v>
      </c>
      <c r="B791" s="1">
        <v>45847</v>
      </c>
      <c r="C791" t="s">
        <v>1314</v>
      </c>
      <c r="D791" t="s">
        <v>67</v>
      </c>
      <c r="E791" t="s">
        <v>46</v>
      </c>
      <c r="F791" t="s">
        <v>53</v>
      </c>
      <c r="G791" t="s">
        <v>54</v>
      </c>
      <c r="H791">
        <v>1</v>
      </c>
      <c r="I791" s="21">
        <v>38957</v>
      </c>
      <c r="J791">
        <v>0</v>
      </c>
      <c r="K791" s="21">
        <v>0</v>
      </c>
      <c r="L791" s="21">
        <v>38957</v>
      </c>
      <c r="M791" s="21">
        <v>23199.14</v>
      </c>
      <c r="N791" s="21">
        <v>15757.86</v>
      </c>
      <c r="O791" t="s">
        <v>60</v>
      </c>
      <c r="P791" s="21">
        <v>283.47000000000003</v>
      </c>
      <c r="Q791" t="s">
        <v>30</v>
      </c>
      <c r="R791" t="s">
        <v>31</v>
      </c>
      <c r="S791">
        <v>5</v>
      </c>
      <c r="T791">
        <v>6</v>
      </c>
      <c r="U791" t="s">
        <v>32</v>
      </c>
      <c r="V791" t="s">
        <v>42</v>
      </c>
    </row>
    <row r="792" spans="1:23" x14ac:dyDescent="0.25">
      <c r="A792" t="s">
        <v>1315</v>
      </c>
      <c r="B792" s="1">
        <v>45693</v>
      </c>
      <c r="C792" t="s">
        <v>1316</v>
      </c>
      <c r="D792" t="s">
        <v>79</v>
      </c>
      <c r="E792" t="s">
        <v>36</v>
      </c>
      <c r="F792" t="s">
        <v>86</v>
      </c>
      <c r="G792" t="s">
        <v>180</v>
      </c>
      <c r="H792">
        <v>1</v>
      </c>
      <c r="I792" s="21">
        <v>12562</v>
      </c>
      <c r="J792">
        <v>25</v>
      </c>
      <c r="K792" s="21">
        <v>3140.5</v>
      </c>
      <c r="L792" s="21">
        <v>9421.5</v>
      </c>
      <c r="M792" s="21">
        <v>7552.68</v>
      </c>
      <c r="N792" s="21">
        <v>1868.82</v>
      </c>
      <c r="O792" t="s">
        <v>49</v>
      </c>
      <c r="P792" s="21">
        <v>113.74</v>
      </c>
      <c r="Q792" t="s">
        <v>30</v>
      </c>
      <c r="R792" t="s">
        <v>31</v>
      </c>
      <c r="S792">
        <v>5</v>
      </c>
      <c r="T792">
        <v>5</v>
      </c>
      <c r="U792" t="s">
        <v>32</v>
      </c>
      <c r="V792" t="s">
        <v>33</v>
      </c>
      <c r="W792">
        <v>3</v>
      </c>
    </row>
    <row r="793" spans="1:23" x14ac:dyDescent="0.25">
      <c r="A793" t="s">
        <v>1317</v>
      </c>
      <c r="B793" s="1">
        <v>45917</v>
      </c>
      <c r="C793" t="s">
        <v>1316</v>
      </c>
      <c r="D793" t="s">
        <v>71</v>
      </c>
      <c r="E793" t="s">
        <v>46</v>
      </c>
      <c r="F793" t="s">
        <v>86</v>
      </c>
      <c r="G793" t="s">
        <v>87</v>
      </c>
      <c r="H793">
        <v>1</v>
      </c>
      <c r="I793" s="21">
        <v>12834</v>
      </c>
      <c r="J793">
        <v>10</v>
      </c>
      <c r="K793" s="21">
        <v>1283.4000000000001</v>
      </c>
      <c r="L793" s="21">
        <v>11550.6</v>
      </c>
      <c r="M793" s="21">
        <v>8061.67</v>
      </c>
      <c r="N793" s="21">
        <v>3488.93</v>
      </c>
      <c r="O793" t="s">
        <v>39</v>
      </c>
      <c r="P793" s="21">
        <v>239.52</v>
      </c>
      <c r="Q793" t="s">
        <v>68</v>
      </c>
      <c r="R793" t="s">
        <v>31</v>
      </c>
      <c r="S793">
        <v>5</v>
      </c>
      <c r="T793">
        <v>5</v>
      </c>
      <c r="U793" t="s">
        <v>32</v>
      </c>
      <c r="V793" t="s">
        <v>33</v>
      </c>
      <c r="W793">
        <v>2</v>
      </c>
    </row>
    <row r="794" spans="1:23" x14ac:dyDescent="0.25">
      <c r="A794" t="s">
        <v>1318</v>
      </c>
      <c r="B794" s="1">
        <v>45989</v>
      </c>
      <c r="C794" t="s">
        <v>172</v>
      </c>
      <c r="D794" t="s">
        <v>79</v>
      </c>
      <c r="E794" t="s">
        <v>36</v>
      </c>
      <c r="F794" t="s">
        <v>37</v>
      </c>
      <c r="G794" t="s">
        <v>224</v>
      </c>
      <c r="H794">
        <v>1</v>
      </c>
      <c r="I794" s="21">
        <v>28178</v>
      </c>
      <c r="J794">
        <v>0</v>
      </c>
      <c r="K794" s="21">
        <v>0</v>
      </c>
      <c r="L794" s="21">
        <v>28178</v>
      </c>
      <c r="M794" s="21">
        <v>16659.79</v>
      </c>
      <c r="N794" s="21">
        <v>11518.21</v>
      </c>
      <c r="O794" t="s">
        <v>39</v>
      </c>
      <c r="P794" s="21">
        <v>220.12</v>
      </c>
      <c r="Q794" t="s">
        <v>68</v>
      </c>
      <c r="R794" t="s">
        <v>31</v>
      </c>
      <c r="S794">
        <v>5</v>
      </c>
      <c r="T794">
        <v>5</v>
      </c>
      <c r="U794" t="s">
        <v>32</v>
      </c>
      <c r="V794" t="s">
        <v>33</v>
      </c>
      <c r="W794">
        <v>5</v>
      </c>
    </row>
    <row r="795" spans="1:23" x14ac:dyDescent="0.25">
      <c r="A795" t="s">
        <v>1319</v>
      </c>
      <c r="B795" s="1">
        <v>45832</v>
      </c>
      <c r="C795" t="s">
        <v>1050</v>
      </c>
      <c r="D795" t="s">
        <v>97</v>
      </c>
      <c r="E795" t="s">
        <v>36</v>
      </c>
      <c r="F795" t="s">
        <v>86</v>
      </c>
      <c r="G795" t="s">
        <v>110</v>
      </c>
      <c r="H795">
        <v>1</v>
      </c>
      <c r="I795" s="21">
        <v>67481</v>
      </c>
      <c r="J795">
        <v>5</v>
      </c>
      <c r="K795" s="21">
        <v>3374.05</v>
      </c>
      <c r="L795" s="21">
        <v>64106.95</v>
      </c>
      <c r="M795" s="21">
        <v>50173.68</v>
      </c>
      <c r="N795" s="21">
        <v>13933.27</v>
      </c>
      <c r="P795" s="21">
        <v>765.31</v>
      </c>
      <c r="Q795" t="s">
        <v>68</v>
      </c>
      <c r="R795" t="s">
        <v>41</v>
      </c>
      <c r="S795">
        <v>2</v>
      </c>
      <c r="T795">
        <v>1</v>
      </c>
      <c r="U795" t="s">
        <v>32</v>
      </c>
      <c r="V795" t="s">
        <v>33</v>
      </c>
      <c r="W795">
        <v>4</v>
      </c>
    </row>
    <row r="796" spans="1:23" x14ac:dyDescent="0.25">
      <c r="A796" t="s">
        <v>1320</v>
      </c>
      <c r="B796" s="1">
        <v>45664</v>
      </c>
      <c r="C796" t="s">
        <v>1052</v>
      </c>
      <c r="D796" t="s">
        <v>45</v>
      </c>
      <c r="E796" t="s">
        <v>46</v>
      </c>
      <c r="F796" t="s">
        <v>53</v>
      </c>
      <c r="G796" t="s">
        <v>268</v>
      </c>
      <c r="H796">
        <v>1</v>
      </c>
      <c r="I796" s="21">
        <v>9075</v>
      </c>
      <c r="J796">
        <v>15</v>
      </c>
      <c r="K796" s="21">
        <v>1361.25</v>
      </c>
      <c r="L796" s="21">
        <v>7713.75</v>
      </c>
      <c r="M796" s="21">
        <v>5388.71</v>
      </c>
      <c r="N796" s="21">
        <v>2325.04</v>
      </c>
      <c r="O796" t="s">
        <v>55</v>
      </c>
      <c r="P796" s="21">
        <v>2412.84</v>
      </c>
      <c r="Q796" t="s">
        <v>40</v>
      </c>
      <c r="R796" t="s">
        <v>41</v>
      </c>
      <c r="S796">
        <v>2</v>
      </c>
      <c r="T796">
        <v>4</v>
      </c>
      <c r="U796" t="s">
        <v>32</v>
      </c>
      <c r="V796" t="s">
        <v>50</v>
      </c>
      <c r="W796">
        <v>4</v>
      </c>
    </row>
    <row r="797" spans="1:23" x14ac:dyDescent="0.25">
      <c r="A797" t="s">
        <v>1321</v>
      </c>
      <c r="B797" s="1">
        <v>45873</v>
      </c>
      <c r="C797" t="s">
        <v>239</v>
      </c>
      <c r="D797" t="s">
        <v>71</v>
      </c>
      <c r="E797" t="s">
        <v>26</v>
      </c>
      <c r="F797" t="s">
        <v>86</v>
      </c>
      <c r="G797" t="s">
        <v>110</v>
      </c>
      <c r="H797">
        <v>1</v>
      </c>
      <c r="I797" s="21">
        <v>22546</v>
      </c>
      <c r="J797">
        <v>5</v>
      </c>
      <c r="K797" s="21">
        <v>1127.3</v>
      </c>
      <c r="L797" s="21">
        <v>21418.7</v>
      </c>
      <c r="M797" s="21">
        <v>12204.86</v>
      </c>
      <c r="N797" s="21">
        <v>9213.84</v>
      </c>
      <c r="O797" t="s">
        <v>39</v>
      </c>
      <c r="P797" s="21">
        <v>1590.11</v>
      </c>
      <c r="Q797" t="s">
        <v>30</v>
      </c>
      <c r="R797" t="s">
        <v>41</v>
      </c>
      <c r="S797">
        <v>2</v>
      </c>
      <c r="T797">
        <v>4</v>
      </c>
      <c r="U797" t="s">
        <v>56</v>
      </c>
      <c r="V797" t="s">
        <v>33</v>
      </c>
      <c r="W797">
        <v>1</v>
      </c>
    </row>
    <row r="798" spans="1:23" x14ac:dyDescent="0.25">
      <c r="A798" t="s">
        <v>1322</v>
      </c>
      <c r="B798" s="1">
        <v>45908</v>
      </c>
      <c r="C798" t="s">
        <v>903</v>
      </c>
      <c r="D798" t="s">
        <v>25</v>
      </c>
      <c r="E798" t="s">
        <v>46</v>
      </c>
      <c r="F798" t="s">
        <v>27</v>
      </c>
      <c r="G798" t="s">
        <v>113</v>
      </c>
      <c r="H798">
        <v>1</v>
      </c>
      <c r="I798" s="21">
        <v>28897</v>
      </c>
      <c r="J798">
        <v>20</v>
      </c>
      <c r="K798" s="21">
        <v>5779.4</v>
      </c>
      <c r="L798" s="21">
        <v>23117.599999999999</v>
      </c>
      <c r="M798" s="21">
        <v>18115.03</v>
      </c>
      <c r="N798" s="21">
        <v>5002.57</v>
      </c>
      <c r="O798" t="s">
        <v>55</v>
      </c>
      <c r="P798" s="21">
        <v>894.54</v>
      </c>
      <c r="Q798" t="s">
        <v>68</v>
      </c>
      <c r="R798" t="s">
        <v>31</v>
      </c>
      <c r="S798">
        <v>5</v>
      </c>
      <c r="T798">
        <v>5</v>
      </c>
      <c r="U798" t="s">
        <v>32</v>
      </c>
      <c r="V798" t="s">
        <v>50</v>
      </c>
      <c r="W798">
        <v>5</v>
      </c>
    </row>
    <row r="799" spans="1:23" x14ac:dyDescent="0.25">
      <c r="A799" t="s">
        <v>1323</v>
      </c>
      <c r="B799" s="1">
        <v>45712</v>
      </c>
      <c r="C799" t="s">
        <v>1324</v>
      </c>
      <c r="D799" t="s">
        <v>67</v>
      </c>
      <c r="E799" t="s">
        <v>26</v>
      </c>
      <c r="F799" t="s">
        <v>47</v>
      </c>
      <c r="G799" t="s">
        <v>138</v>
      </c>
      <c r="H799">
        <v>1</v>
      </c>
      <c r="I799" s="21">
        <v>31351</v>
      </c>
      <c r="J799">
        <v>15</v>
      </c>
      <c r="K799" s="21">
        <v>4702.6499999999996</v>
      </c>
      <c r="L799" s="21">
        <v>26648.35</v>
      </c>
      <c r="M799" s="21">
        <v>21561.1</v>
      </c>
      <c r="N799" s="21">
        <v>5087.25</v>
      </c>
      <c r="O799" t="s">
        <v>39</v>
      </c>
      <c r="P799" s="21">
        <v>2322.3200000000002</v>
      </c>
      <c r="Q799" t="s">
        <v>73</v>
      </c>
      <c r="R799" t="s">
        <v>31</v>
      </c>
      <c r="S799">
        <v>5</v>
      </c>
      <c r="T799">
        <v>6</v>
      </c>
      <c r="U799" t="s">
        <v>56</v>
      </c>
      <c r="V799" t="s">
        <v>33</v>
      </c>
      <c r="W799">
        <v>5</v>
      </c>
    </row>
    <row r="800" spans="1:23" x14ac:dyDescent="0.25">
      <c r="A800" t="s">
        <v>1325</v>
      </c>
      <c r="B800" s="1">
        <v>45879</v>
      </c>
      <c r="C800" t="s">
        <v>1326</v>
      </c>
      <c r="D800" t="s">
        <v>67</v>
      </c>
      <c r="E800" t="s">
        <v>36</v>
      </c>
      <c r="F800" t="s">
        <v>86</v>
      </c>
      <c r="G800" t="s">
        <v>180</v>
      </c>
      <c r="H800">
        <v>3</v>
      </c>
      <c r="I800" s="21">
        <v>44528</v>
      </c>
      <c r="J800">
        <v>25</v>
      </c>
      <c r="K800" s="21">
        <v>33396</v>
      </c>
      <c r="L800" s="21">
        <v>100188</v>
      </c>
      <c r="M800" s="21">
        <v>68009.539999999994</v>
      </c>
      <c r="N800" s="21">
        <v>32178.46</v>
      </c>
      <c r="O800" t="s">
        <v>60</v>
      </c>
      <c r="P800" s="21">
        <v>962.34</v>
      </c>
      <c r="Q800" t="s">
        <v>73</v>
      </c>
      <c r="R800" t="s">
        <v>31</v>
      </c>
      <c r="S800">
        <v>5</v>
      </c>
      <c r="T800">
        <v>5</v>
      </c>
      <c r="U800" t="s">
        <v>32</v>
      </c>
      <c r="V800" t="s">
        <v>33</v>
      </c>
      <c r="W800">
        <v>3</v>
      </c>
    </row>
    <row r="801" spans="1:23" x14ac:dyDescent="0.25">
      <c r="A801" t="s">
        <v>1327</v>
      </c>
      <c r="B801" s="1">
        <v>45843</v>
      </c>
      <c r="C801" t="s">
        <v>1328</v>
      </c>
      <c r="D801" t="s">
        <v>79</v>
      </c>
      <c r="E801" t="s">
        <v>26</v>
      </c>
      <c r="F801" t="s">
        <v>37</v>
      </c>
      <c r="G801" t="s">
        <v>161</v>
      </c>
      <c r="H801">
        <v>2</v>
      </c>
      <c r="I801" s="21">
        <v>38150</v>
      </c>
      <c r="J801">
        <v>10</v>
      </c>
      <c r="K801" s="21">
        <v>7630</v>
      </c>
      <c r="L801" s="21">
        <v>68670</v>
      </c>
      <c r="M801" s="21">
        <v>38216.07</v>
      </c>
      <c r="N801" s="21">
        <v>30453.93</v>
      </c>
      <c r="O801" t="s">
        <v>91</v>
      </c>
      <c r="P801" s="21">
        <v>1609.73</v>
      </c>
      <c r="Q801" t="s">
        <v>73</v>
      </c>
      <c r="R801" t="s">
        <v>41</v>
      </c>
      <c r="S801">
        <v>2</v>
      </c>
      <c r="T801">
        <v>2</v>
      </c>
      <c r="U801" t="s">
        <v>32</v>
      </c>
      <c r="V801" t="s">
        <v>33</v>
      </c>
      <c r="W801">
        <v>5</v>
      </c>
    </row>
    <row r="802" spans="1:23" x14ac:dyDescent="0.25">
      <c r="A802" t="s">
        <v>1329</v>
      </c>
      <c r="B802" s="1">
        <v>45983</v>
      </c>
      <c r="C802" t="s">
        <v>695</v>
      </c>
      <c r="D802" t="s">
        <v>25</v>
      </c>
      <c r="E802" t="s">
        <v>36</v>
      </c>
      <c r="F802" t="s">
        <v>37</v>
      </c>
      <c r="G802" t="s">
        <v>313</v>
      </c>
      <c r="H802">
        <v>2</v>
      </c>
      <c r="I802" s="21">
        <v>37683</v>
      </c>
      <c r="J802">
        <v>0</v>
      </c>
      <c r="K802" s="21">
        <v>0</v>
      </c>
      <c r="L802" s="21">
        <v>75366</v>
      </c>
      <c r="M802" s="21">
        <v>55010.13</v>
      </c>
      <c r="N802" s="21">
        <v>20355.87</v>
      </c>
      <c r="O802" t="s">
        <v>55</v>
      </c>
      <c r="P802" s="21">
        <v>2345.7800000000002</v>
      </c>
      <c r="Q802" t="s">
        <v>30</v>
      </c>
      <c r="R802" t="s">
        <v>31</v>
      </c>
      <c r="S802">
        <v>5</v>
      </c>
      <c r="T802">
        <v>1</v>
      </c>
      <c r="U802" t="s">
        <v>32</v>
      </c>
      <c r="V802" t="s">
        <v>42</v>
      </c>
    </row>
    <row r="803" spans="1:23" x14ac:dyDescent="0.25">
      <c r="A803" t="s">
        <v>1330</v>
      </c>
      <c r="B803" s="1">
        <v>45893</v>
      </c>
      <c r="C803" t="s">
        <v>237</v>
      </c>
      <c r="D803" t="s">
        <v>154</v>
      </c>
      <c r="E803" t="s">
        <v>26</v>
      </c>
      <c r="F803" t="s">
        <v>86</v>
      </c>
      <c r="G803" t="s">
        <v>127</v>
      </c>
      <c r="H803">
        <v>1</v>
      </c>
      <c r="I803" s="21">
        <v>42144</v>
      </c>
      <c r="J803">
        <v>0</v>
      </c>
      <c r="K803" s="21">
        <v>0</v>
      </c>
      <c r="L803" s="21">
        <v>42144</v>
      </c>
      <c r="M803" s="21">
        <v>23680.02</v>
      </c>
      <c r="N803" s="21">
        <v>18463.98</v>
      </c>
      <c r="O803" t="s">
        <v>91</v>
      </c>
      <c r="P803" s="21">
        <v>1162.26</v>
      </c>
      <c r="Q803" t="s">
        <v>68</v>
      </c>
      <c r="R803" t="s">
        <v>31</v>
      </c>
      <c r="S803">
        <v>5</v>
      </c>
      <c r="T803">
        <v>3</v>
      </c>
      <c r="U803" t="s">
        <v>32</v>
      </c>
      <c r="V803" t="s">
        <v>33</v>
      </c>
      <c r="W803">
        <v>2</v>
      </c>
    </row>
    <row r="804" spans="1:23" x14ac:dyDescent="0.25">
      <c r="A804" t="s">
        <v>1331</v>
      </c>
      <c r="B804" s="1">
        <v>46020</v>
      </c>
      <c r="C804" t="s">
        <v>1332</v>
      </c>
      <c r="D804" t="s">
        <v>97</v>
      </c>
      <c r="E804" t="s">
        <v>46</v>
      </c>
      <c r="F804" t="s">
        <v>27</v>
      </c>
      <c r="G804" t="s">
        <v>76</v>
      </c>
      <c r="H804">
        <v>3</v>
      </c>
      <c r="I804" s="21">
        <v>4727</v>
      </c>
      <c r="J804">
        <v>20</v>
      </c>
      <c r="K804" s="21">
        <v>2836.2</v>
      </c>
      <c r="L804" s="21">
        <v>11344.8</v>
      </c>
      <c r="M804" s="21">
        <v>8650.33</v>
      </c>
      <c r="N804" s="21">
        <v>2694.47</v>
      </c>
      <c r="O804" t="s">
        <v>29</v>
      </c>
      <c r="P804" s="21">
        <v>2327.09</v>
      </c>
      <c r="Q804" t="s">
        <v>30</v>
      </c>
      <c r="R804" t="s">
        <v>41</v>
      </c>
      <c r="S804">
        <v>2</v>
      </c>
      <c r="T804">
        <v>2</v>
      </c>
      <c r="U804" t="s">
        <v>32</v>
      </c>
      <c r="V804" t="s">
        <v>33</v>
      </c>
      <c r="W804">
        <v>2</v>
      </c>
    </row>
    <row r="805" spans="1:23" x14ac:dyDescent="0.25">
      <c r="A805" t="s">
        <v>1333</v>
      </c>
      <c r="B805" s="1">
        <v>45736</v>
      </c>
      <c r="C805" t="s">
        <v>140</v>
      </c>
      <c r="D805" t="s">
        <v>25</v>
      </c>
      <c r="E805" t="s">
        <v>26</v>
      </c>
      <c r="F805" t="s">
        <v>53</v>
      </c>
      <c r="G805" t="s">
        <v>151</v>
      </c>
      <c r="H805">
        <v>1</v>
      </c>
      <c r="I805" s="21">
        <v>70463</v>
      </c>
      <c r="J805">
        <v>10</v>
      </c>
      <c r="K805" s="21">
        <v>7046.3</v>
      </c>
      <c r="L805" s="21">
        <v>63416.7</v>
      </c>
      <c r="M805" s="21">
        <v>45692.47</v>
      </c>
      <c r="N805" s="21">
        <v>17724.23</v>
      </c>
      <c r="O805" t="s">
        <v>29</v>
      </c>
      <c r="P805" s="21">
        <v>1768.5</v>
      </c>
      <c r="Q805" t="s">
        <v>40</v>
      </c>
      <c r="R805" t="s">
        <v>31</v>
      </c>
      <c r="S805">
        <v>5</v>
      </c>
      <c r="T805">
        <v>4</v>
      </c>
      <c r="U805" t="s">
        <v>32</v>
      </c>
      <c r="V805" t="s">
        <v>33</v>
      </c>
      <c r="W805">
        <v>5</v>
      </c>
    </row>
    <row r="806" spans="1:23" x14ac:dyDescent="0.25">
      <c r="A806" t="s">
        <v>1334</v>
      </c>
      <c r="B806" s="1">
        <v>45880</v>
      </c>
      <c r="C806" t="s">
        <v>948</v>
      </c>
      <c r="D806" t="s">
        <v>124</v>
      </c>
      <c r="E806" t="s">
        <v>46</v>
      </c>
      <c r="F806" t="s">
        <v>37</v>
      </c>
      <c r="G806" t="s">
        <v>313</v>
      </c>
      <c r="H806">
        <v>1</v>
      </c>
      <c r="I806" s="21">
        <v>30523</v>
      </c>
      <c r="J806">
        <v>0</v>
      </c>
      <c r="K806" s="21">
        <v>0</v>
      </c>
      <c r="L806" s="21">
        <v>30523</v>
      </c>
      <c r="M806" s="21">
        <v>24634.11</v>
      </c>
      <c r="N806" s="21">
        <v>5888.89</v>
      </c>
      <c r="O806" t="s">
        <v>55</v>
      </c>
      <c r="P806" s="21">
        <v>2095.36</v>
      </c>
      <c r="Q806" t="s">
        <v>40</v>
      </c>
      <c r="R806" t="s">
        <v>41</v>
      </c>
      <c r="S806">
        <v>2</v>
      </c>
      <c r="T806">
        <v>1</v>
      </c>
      <c r="U806" t="s">
        <v>32</v>
      </c>
      <c r="V806" t="s">
        <v>33</v>
      </c>
      <c r="W806">
        <v>1</v>
      </c>
    </row>
    <row r="807" spans="1:23" x14ac:dyDescent="0.25">
      <c r="A807" t="s">
        <v>1335</v>
      </c>
      <c r="B807" s="1">
        <v>45748</v>
      </c>
      <c r="C807" t="s">
        <v>156</v>
      </c>
      <c r="D807" t="s">
        <v>67</v>
      </c>
      <c r="E807" t="s">
        <v>36</v>
      </c>
      <c r="F807" t="s">
        <v>47</v>
      </c>
      <c r="G807" t="s">
        <v>146</v>
      </c>
      <c r="H807">
        <v>2</v>
      </c>
      <c r="I807" s="21">
        <v>30789</v>
      </c>
      <c r="J807">
        <v>15</v>
      </c>
      <c r="K807" s="21">
        <v>9236.7000000000007</v>
      </c>
      <c r="L807" s="21">
        <v>52341.3</v>
      </c>
      <c r="M807" s="21">
        <v>36794.61</v>
      </c>
      <c r="N807" s="21">
        <v>15546.69</v>
      </c>
      <c r="O807" t="s">
        <v>91</v>
      </c>
      <c r="P807" s="21">
        <v>573.62</v>
      </c>
      <c r="Q807" t="s">
        <v>30</v>
      </c>
      <c r="R807" t="s">
        <v>31</v>
      </c>
      <c r="S807">
        <v>5</v>
      </c>
      <c r="T807">
        <v>4</v>
      </c>
      <c r="U807" t="s">
        <v>32</v>
      </c>
      <c r="V807" t="s">
        <v>33</v>
      </c>
      <c r="W807">
        <v>2</v>
      </c>
    </row>
    <row r="808" spans="1:23" x14ac:dyDescent="0.25">
      <c r="A808" t="s">
        <v>1336</v>
      </c>
      <c r="B808" s="1">
        <v>45925</v>
      </c>
      <c r="C808" t="s">
        <v>828</v>
      </c>
      <c r="D808" t="s">
        <v>71</v>
      </c>
      <c r="E808" t="s">
        <v>36</v>
      </c>
      <c r="F808" t="s">
        <v>53</v>
      </c>
      <c r="G808" t="s">
        <v>59</v>
      </c>
      <c r="H808">
        <v>1</v>
      </c>
      <c r="I808" s="21">
        <v>71019</v>
      </c>
      <c r="J808">
        <v>10</v>
      </c>
      <c r="K808" s="21">
        <v>7101.9</v>
      </c>
      <c r="L808" s="21">
        <v>63917.1</v>
      </c>
      <c r="M808" s="21">
        <v>39221.72</v>
      </c>
      <c r="N808" s="21">
        <v>24695.38</v>
      </c>
      <c r="O808" t="s">
        <v>60</v>
      </c>
      <c r="P808" s="21">
        <v>692.27</v>
      </c>
      <c r="Q808" t="s">
        <v>30</v>
      </c>
      <c r="R808" t="s">
        <v>41</v>
      </c>
      <c r="S808">
        <v>2</v>
      </c>
      <c r="T808">
        <v>2</v>
      </c>
      <c r="U808" t="s">
        <v>32</v>
      </c>
      <c r="V808" t="s">
        <v>33</v>
      </c>
      <c r="W808">
        <v>5</v>
      </c>
    </row>
    <row r="809" spans="1:23" x14ac:dyDescent="0.25">
      <c r="A809" t="s">
        <v>1337</v>
      </c>
      <c r="B809" s="1">
        <v>45991</v>
      </c>
      <c r="C809" t="s">
        <v>191</v>
      </c>
      <c r="D809" t="s">
        <v>45</v>
      </c>
      <c r="E809" t="s">
        <v>46</v>
      </c>
      <c r="F809" t="s">
        <v>47</v>
      </c>
      <c r="G809" t="s">
        <v>48</v>
      </c>
      <c r="H809">
        <v>2</v>
      </c>
      <c r="I809" s="21">
        <v>31697</v>
      </c>
      <c r="J809">
        <v>0</v>
      </c>
      <c r="K809" s="21">
        <v>0</v>
      </c>
      <c r="L809" s="21">
        <v>63394</v>
      </c>
      <c r="M809" s="21">
        <v>48494.66</v>
      </c>
      <c r="N809" s="21">
        <v>14899.34</v>
      </c>
      <c r="O809" t="s">
        <v>91</v>
      </c>
      <c r="P809" s="21">
        <v>1185.6500000000001</v>
      </c>
      <c r="Q809" t="s">
        <v>83</v>
      </c>
      <c r="R809" t="s">
        <v>31</v>
      </c>
      <c r="S809">
        <v>5</v>
      </c>
      <c r="T809">
        <v>4</v>
      </c>
      <c r="U809" t="s">
        <v>32</v>
      </c>
      <c r="V809" t="s">
        <v>33</v>
      </c>
      <c r="W809">
        <v>5</v>
      </c>
    </row>
    <row r="810" spans="1:23" x14ac:dyDescent="0.25">
      <c r="A810" t="s">
        <v>1338</v>
      </c>
      <c r="B810" s="1">
        <v>45796</v>
      </c>
      <c r="C810" t="s">
        <v>1339</v>
      </c>
      <c r="D810" t="s">
        <v>67</v>
      </c>
      <c r="E810" t="s">
        <v>46</v>
      </c>
      <c r="F810" t="s">
        <v>47</v>
      </c>
      <c r="G810" t="s">
        <v>138</v>
      </c>
      <c r="H810">
        <v>1</v>
      </c>
      <c r="I810" s="21">
        <v>31036</v>
      </c>
      <c r="J810">
        <v>0</v>
      </c>
      <c r="K810" s="21">
        <v>0</v>
      </c>
      <c r="L810" s="21">
        <v>31036</v>
      </c>
      <c r="M810" s="21">
        <v>18454.310000000001</v>
      </c>
      <c r="N810" s="21">
        <v>12581.69</v>
      </c>
      <c r="O810" t="s">
        <v>91</v>
      </c>
      <c r="P810" s="21">
        <v>289.57</v>
      </c>
      <c r="Q810" t="s">
        <v>40</v>
      </c>
      <c r="R810" t="s">
        <v>41</v>
      </c>
      <c r="S810">
        <v>2</v>
      </c>
      <c r="T810">
        <v>4</v>
      </c>
      <c r="U810" t="s">
        <v>56</v>
      </c>
      <c r="V810" t="s">
        <v>33</v>
      </c>
      <c r="W810">
        <v>1</v>
      </c>
    </row>
    <row r="811" spans="1:23" x14ac:dyDescent="0.25">
      <c r="A811" t="s">
        <v>1340</v>
      </c>
      <c r="B811" s="1">
        <v>45973</v>
      </c>
      <c r="C811" t="s">
        <v>360</v>
      </c>
      <c r="D811" t="s">
        <v>124</v>
      </c>
      <c r="E811" t="s">
        <v>36</v>
      </c>
      <c r="F811" t="s">
        <v>53</v>
      </c>
      <c r="G811" t="s">
        <v>151</v>
      </c>
      <c r="H811">
        <v>2</v>
      </c>
      <c r="I811" s="21">
        <v>73272</v>
      </c>
      <c r="J811">
        <v>25</v>
      </c>
      <c r="K811" s="21">
        <v>36636</v>
      </c>
      <c r="L811" s="21">
        <v>109908</v>
      </c>
      <c r="M811" s="21">
        <v>62576.61</v>
      </c>
      <c r="N811" s="21">
        <v>47331.39</v>
      </c>
      <c r="O811" t="s">
        <v>91</v>
      </c>
      <c r="P811" s="21">
        <v>349.37</v>
      </c>
      <c r="Q811" t="s">
        <v>40</v>
      </c>
      <c r="R811" t="s">
        <v>41</v>
      </c>
      <c r="S811">
        <v>2</v>
      </c>
      <c r="T811">
        <v>1</v>
      </c>
      <c r="U811" t="s">
        <v>32</v>
      </c>
      <c r="V811" t="s">
        <v>42</v>
      </c>
    </row>
    <row r="812" spans="1:23" x14ac:dyDescent="0.25">
      <c r="A812" t="s">
        <v>1341</v>
      </c>
      <c r="B812" s="1">
        <v>45933</v>
      </c>
      <c r="C812" t="s">
        <v>574</v>
      </c>
      <c r="D812" t="s">
        <v>79</v>
      </c>
      <c r="E812" t="s">
        <v>26</v>
      </c>
      <c r="F812" t="s">
        <v>86</v>
      </c>
      <c r="G812" t="s">
        <v>87</v>
      </c>
      <c r="H812">
        <v>2</v>
      </c>
      <c r="I812" s="21">
        <v>50388</v>
      </c>
      <c r="J812">
        <v>20</v>
      </c>
      <c r="K812" s="21">
        <v>20155.2</v>
      </c>
      <c r="L812" s="21">
        <v>80620.800000000003</v>
      </c>
      <c r="M812" s="21">
        <v>61979.1</v>
      </c>
      <c r="N812" s="21">
        <v>18641.7</v>
      </c>
      <c r="O812" t="s">
        <v>60</v>
      </c>
      <c r="P812" s="21">
        <v>1703.03</v>
      </c>
      <c r="Q812" t="s">
        <v>30</v>
      </c>
      <c r="R812" t="s">
        <v>41</v>
      </c>
      <c r="S812">
        <v>2</v>
      </c>
      <c r="T812">
        <v>1</v>
      </c>
      <c r="U812" t="s">
        <v>32</v>
      </c>
      <c r="V812" t="s">
        <v>33</v>
      </c>
      <c r="W812">
        <v>3</v>
      </c>
    </row>
    <row r="813" spans="1:23" x14ac:dyDescent="0.25">
      <c r="A813" t="s">
        <v>1342</v>
      </c>
      <c r="B813" s="1">
        <v>45905</v>
      </c>
      <c r="C813" t="s">
        <v>1343</v>
      </c>
      <c r="D813" t="s">
        <v>25</v>
      </c>
      <c r="E813" t="s">
        <v>46</v>
      </c>
      <c r="F813" t="s">
        <v>27</v>
      </c>
      <c r="G813" t="s">
        <v>76</v>
      </c>
      <c r="H813">
        <v>1</v>
      </c>
      <c r="I813" s="21">
        <v>5425</v>
      </c>
      <c r="J813">
        <v>0</v>
      </c>
      <c r="K813" s="21">
        <v>0</v>
      </c>
      <c r="L813" s="21">
        <v>5425</v>
      </c>
      <c r="M813" s="21">
        <v>3141.47</v>
      </c>
      <c r="N813" s="21">
        <v>2283.5300000000002</v>
      </c>
      <c r="O813" t="s">
        <v>91</v>
      </c>
      <c r="P813" s="21">
        <v>1862.37</v>
      </c>
      <c r="Q813" t="s">
        <v>73</v>
      </c>
      <c r="R813" t="s">
        <v>31</v>
      </c>
      <c r="S813">
        <v>5</v>
      </c>
      <c r="T813">
        <v>4</v>
      </c>
      <c r="U813" t="s">
        <v>32</v>
      </c>
      <c r="V813" t="s">
        <v>33</v>
      </c>
      <c r="W813">
        <v>2</v>
      </c>
    </row>
    <row r="814" spans="1:23" x14ac:dyDescent="0.25">
      <c r="A814" t="s">
        <v>1344</v>
      </c>
      <c r="B814" s="1">
        <v>45896</v>
      </c>
      <c r="C814" t="s">
        <v>633</v>
      </c>
      <c r="D814" t="s">
        <v>124</v>
      </c>
      <c r="E814" t="s">
        <v>26</v>
      </c>
      <c r="F814" t="s">
        <v>86</v>
      </c>
      <c r="G814" t="s">
        <v>94</v>
      </c>
      <c r="H814">
        <v>1</v>
      </c>
      <c r="I814" s="21">
        <v>78367</v>
      </c>
      <c r="J814">
        <v>5</v>
      </c>
      <c r="K814" s="21">
        <v>3918.35</v>
      </c>
      <c r="L814" s="21">
        <v>74448.649999999994</v>
      </c>
      <c r="M814" s="21">
        <v>58949.13</v>
      </c>
      <c r="N814" s="21">
        <v>15499.52</v>
      </c>
      <c r="O814" t="s">
        <v>49</v>
      </c>
      <c r="P814" s="21">
        <v>225.86</v>
      </c>
      <c r="Q814" t="s">
        <v>73</v>
      </c>
      <c r="R814" t="s">
        <v>31</v>
      </c>
      <c r="S814">
        <v>5</v>
      </c>
      <c r="T814">
        <v>2</v>
      </c>
      <c r="U814" t="s">
        <v>32</v>
      </c>
      <c r="V814" t="s">
        <v>50</v>
      </c>
      <c r="W814">
        <v>2</v>
      </c>
    </row>
    <row r="815" spans="1:23" x14ac:dyDescent="0.25">
      <c r="A815" t="s">
        <v>1345</v>
      </c>
      <c r="B815" s="1">
        <v>45881</v>
      </c>
      <c r="C815" t="s">
        <v>1346</v>
      </c>
      <c r="D815" t="s">
        <v>63</v>
      </c>
      <c r="E815" t="s">
        <v>46</v>
      </c>
      <c r="F815" t="s">
        <v>53</v>
      </c>
      <c r="G815" t="s">
        <v>151</v>
      </c>
      <c r="H815">
        <v>1</v>
      </c>
      <c r="I815" s="21">
        <v>95288</v>
      </c>
      <c r="J815">
        <v>10</v>
      </c>
      <c r="K815" s="21">
        <v>9528.7999999999993</v>
      </c>
      <c r="L815" s="21">
        <v>85759.2</v>
      </c>
      <c r="M815" s="21">
        <v>64424.54</v>
      </c>
      <c r="N815" s="21">
        <v>21334.66</v>
      </c>
      <c r="O815" t="s">
        <v>60</v>
      </c>
      <c r="P815" s="21">
        <v>2403.5500000000002</v>
      </c>
      <c r="Q815" t="s">
        <v>40</v>
      </c>
      <c r="R815" t="s">
        <v>41</v>
      </c>
      <c r="S815">
        <v>2</v>
      </c>
      <c r="T815">
        <v>5</v>
      </c>
      <c r="U815" t="s">
        <v>32</v>
      </c>
      <c r="V815" t="s">
        <v>50</v>
      </c>
      <c r="W815">
        <v>3</v>
      </c>
    </row>
    <row r="816" spans="1:23" x14ac:dyDescent="0.25">
      <c r="A816" t="s">
        <v>1347</v>
      </c>
      <c r="B816" s="1">
        <v>45961</v>
      </c>
      <c r="C816" t="s">
        <v>274</v>
      </c>
      <c r="D816" t="s">
        <v>63</v>
      </c>
      <c r="E816" t="s">
        <v>46</v>
      </c>
      <c r="F816" t="s">
        <v>47</v>
      </c>
      <c r="G816" t="s">
        <v>138</v>
      </c>
      <c r="H816">
        <v>3</v>
      </c>
      <c r="I816" s="21">
        <v>16710</v>
      </c>
      <c r="J816">
        <v>25</v>
      </c>
      <c r="K816" s="21">
        <v>12532.5</v>
      </c>
      <c r="L816" s="21">
        <v>37597.5</v>
      </c>
      <c r="M816" s="21">
        <v>26809.23</v>
      </c>
      <c r="N816" s="21">
        <v>10788.27</v>
      </c>
      <c r="O816" t="s">
        <v>60</v>
      </c>
      <c r="P816" s="21">
        <v>615.17999999999995</v>
      </c>
      <c r="Q816" t="s">
        <v>83</v>
      </c>
      <c r="R816" t="s">
        <v>31</v>
      </c>
      <c r="S816">
        <v>5</v>
      </c>
      <c r="T816">
        <v>7</v>
      </c>
      <c r="U816" t="s">
        <v>56</v>
      </c>
      <c r="V816" t="s">
        <v>33</v>
      </c>
      <c r="W816">
        <v>5</v>
      </c>
    </row>
    <row r="817" spans="1:23" x14ac:dyDescent="0.25">
      <c r="A817" t="s">
        <v>1348</v>
      </c>
      <c r="B817" s="1">
        <v>45795</v>
      </c>
      <c r="C817" t="s">
        <v>245</v>
      </c>
      <c r="D817" t="s">
        <v>45</v>
      </c>
      <c r="E817" t="s">
        <v>46</v>
      </c>
      <c r="F817" t="s">
        <v>53</v>
      </c>
      <c r="G817" t="s">
        <v>59</v>
      </c>
      <c r="H817">
        <v>1</v>
      </c>
      <c r="I817" s="21">
        <v>110130</v>
      </c>
      <c r="J817">
        <v>10</v>
      </c>
      <c r="K817" s="21">
        <v>11013</v>
      </c>
      <c r="L817" s="21">
        <v>99117</v>
      </c>
      <c r="M817" s="21">
        <v>72721.75</v>
      </c>
      <c r="N817" s="21">
        <v>26395.25</v>
      </c>
      <c r="O817" t="s">
        <v>39</v>
      </c>
      <c r="P817" s="21">
        <v>2246.0500000000002</v>
      </c>
      <c r="Q817" t="s">
        <v>40</v>
      </c>
      <c r="R817" t="s">
        <v>41</v>
      </c>
      <c r="S817">
        <v>2</v>
      </c>
      <c r="T817">
        <v>4</v>
      </c>
      <c r="U817" t="s">
        <v>32</v>
      </c>
      <c r="V817" t="s">
        <v>50</v>
      </c>
      <c r="W817">
        <v>4</v>
      </c>
    </row>
    <row r="818" spans="1:23" x14ac:dyDescent="0.25">
      <c r="A818" t="s">
        <v>1349</v>
      </c>
      <c r="B818" s="1">
        <v>45823</v>
      </c>
      <c r="C818" t="s">
        <v>1350</v>
      </c>
      <c r="D818" t="s">
        <v>71</v>
      </c>
      <c r="E818" t="s">
        <v>36</v>
      </c>
      <c r="F818" t="s">
        <v>37</v>
      </c>
      <c r="G818" t="s">
        <v>38</v>
      </c>
      <c r="H818">
        <v>1</v>
      </c>
      <c r="I818" s="21">
        <v>39310</v>
      </c>
      <c r="J818">
        <v>20</v>
      </c>
      <c r="K818" s="21">
        <v>7862</v>
      </c>
      <c r="L818" s="21">
        <v>31448</v>
      </c>
      <c r="M818" s="21">
        <v>17674.36</v>
      </c>
      <c r="N818" s="21">
        <v>13773.64</v>
      </c>
      <c r="O818" t="s">
        <v>49</v>
      </c>
      <c r="P818" s="21">
        <v>315.19</v>
      </c>
      <c r="Q818" t="s">
        <v>83</v>
      </c>
      <c r="R818" t="s">
        <v>31</v>
      </c>
      <c r="S818">
        <v>5</v>
      </c>
      <c r="T818">
        <v>5</v>
      </c>
      <c r="U818" t="s">
        <v>32</v>
      </c>
      <c r="V818" t="s">
        <v>33</v>
      </c>
      <c r="W818">
        <v>4</v>
      </c>
    </row>
    <row r="819" spans="1:23" x14ac:dyDescent="0.25">
      <c r="A819" t="s">
        <v>1351</v>
      </c>
      <c r="B819" s="1">
        <v>45783</v>
      </c>
      <c r="C819" t="s">
        <v>543</v>
      </c>
      <c r="D819" t="s">
        <v>45</v>
      </c>
      <c r="E819" t="s">
        <v>46</v>
      </c>
      <c r="F819" t="s">
        <v>27</v>
      </c>
      <c r="G819" t="s">
        <v>113</v>
      </c>
      <c r="H819">
        <v>1</v>
      </c>
      <c r="I819" s="21">
        <v>12173</v>
      </c>
      <c r="J819">
        <v>0</v>
      </c>
      <c r="K819" s="21">
        <v>0</v>
      </c>
      <c r="L819" s="21">
        <v>12173</v>
      </c>
      <c r="M819" s="21">
        <v>9379.5300000000007</v>
      </c>
      <c r="N819" s="21">
        <v>2793.47</v>
      </c>
      <c r="O819" t="s">
        <v>29</v>
      </c>
      <c r="P819" s="21">
        <v>209.86</v>
      </c>
      <c r="Q819" t="s">
        <v>68</v>
      </c>
      <c r="R819" t="s">
        <v>41</v>
      </c>
      <c r="S819">
        <v>2</v>
      </c>
      <c r="T819">
        <v>3</v>
      </c>
      <c r="U819" t="s">
        <v>32</v>
      </c>
      <c r="V819" t="s">
        <v>50</v>
      </c>
      <c r="W819">
        <v>3</v>
      </c>
    </row>
    <row r="820" spans="1:23" x14ac:dyDescent="0.25">
      <c r="A820" t="s">
        <v>1352</v>
      </c>
      <c r="B820" s="1">
        <v>45702</v>
      </c>
      <c r="C820" t="s">
        <v>1353</v>
      </c>
      <c r="D820" t="s">
        <v>124</v>
      </c>
      <c r="E820" t="s">
        <v>46</v>
      </c>
      <c r="F820" t="s">
        <v>53</v>
      </c>
      <c r="G820" t="s">
        <v>268</v>
      </c>
      <c r="H820">
        <v>1</v>
      </c>
      <c r="I820" s="21">
        <v>18975</v>
      </c>
      <c r="J820">
        <v>0</v>
      </c>
      <c r="K820" s="21">
        <v>0</v>
      </c>
      <c r="L820" s="21">
        <v>18975</v>
      </c>
      <c r="M820" s="21">
        <v>13006.85</v>
      </c>
      <c r="N820" s="21">
        <v>5968.15</v>
      </c>
      <c r="O820" t="s">
        <v>60</v>
      </c>
      <c r="P820" s="21">
        <v>1725.62</v>
      </c>
      <c r="Q820" t="s">
        <v>30</v>
      </c>
      <c r="R820" t="s">
        <v>41</v>
      </c>
      <c r="S820">
        <v>2</v>
      </c>
      <c r="T820">
        <v>6</v>
      </c>
      <c r="U820" t="s">
        <v>32</v>
      </c>
      <c r="V820" t="s">
        <v>50</v>
      </c>
      <c r="W820">
        <v>5</v>
      </c>
    </row>
    <row r="821" spans="1:23" x14ac:dyDescent="0.25">
      <c r="A821" t="s">
        <v>1354</v>
      </c>
      <c r="B821" s="1">
        <v>45800</v>
      </c>
      <c r="C821" t="s">
        <v>1355</v>
      </c>
      <c r="D821" t="s">
        <v>97</v>
      </c>
      <c r="E821" t="s">
        <v>26</v>
      </c>
      <c r="F821" t="s">
        <v>37</v>
      </c>
      <c r="G821" t="s">
        <v>161</v>
      </c>
      <c r="H821">
        <v>3</v>
      </c>
      <c r="I821" s="21">
        <v>39721</v>
      </c>
      <c r="J821">
        <v>5</v>
      </c>
      <c r="K821" s="21">
        <v>5958.15</v>
      </c>
      <c r="L821" s="21">
        <v>113204.85</v>
      </c>
      <c r="M821" s="21">
        <v>62697.04</v>
      </c>
      <c r="N821" s="21">
        <v>50507.81</v>
      </c>
      <c r="O821" t="s">
        <v>39</v>
      </c>
      <c r="P821" s="21">
        <v>1687.74</v>
      </c>
      <c r="Q821" t="s">
        <v>30</v>
      </c>
      <c r="R821" t="s">
        <v>31</v>
      </c>
      <c r="S821">
        <v>5</v>
      </c>
      <c r="T821">
        <v>7</v>
      </c>
      <c r="U821" t="s">
        <v>56</v>
      </c>
      <c r="V821" t="s">
        <v>33</v>
      </c>
      <c r="W821">
        <v>3</v>
      </c>
    </row>
    <row r="822" spans="1:23" x14ac:dyDescent="0.25">
      <c r="A822" t="s">
        <v>1356</v>
      </c>
      <c r="B822" s="1">
        <v>45888</v>
      </c>
      <c r="C822" t="s">
        <v>990</v>
      </c>
      <c r="D822" t="s">
        <v>63</v>
      </c>
      <c r="E822" t="s">
        <v>26</v>
      </c>
      <c r="F822" t="s">
        <v>53</v>
      </c>
      <c r="G822" t="s">
        <v>151</v>
      </c>
      <c r="H822">
        <v>2</v>
      </c>
      <c r="I822" s="21">
        <v>63470</v>
      </c>
      <c r="J822">
        <v>10</v>
      </c>
      <c r="K822" s="21">
        <v>12694</v>
      </c>
      <c r="L822" s="21">
        <v>114246</v>
      </c>
      <c r="M822" s="21">
        <v>65846.039999999994</v>
      </c>
      <c r="N822" s="21">
        <v>48399.96</v>
      </c>
      <c r="O822" t="s">
        <v>91</v>
      </c>
      <c r="P822" s="21">
        <v>1790.58</v>
      </c>
      <c r="Q822" t="s">
        <v>83</v>
      </c>
      <c r="R822" t="s">
        <v>41</v>
      </c>
      <c r="S822">
        <v>2</v>
      </c>
      <c r="T822">
        <v>1</v>
      </c>
      <c r="U822" t="s">
        <v>32</v>
      </c>
      <c r="V822" t="s">
        <v>33</v>
      </c>
      <c r="W822">
        <v>5</v>
      </c>
    </row>
    <row r="823" spans="1:23" x14ac:dyDescent="0.25">
      <c r="A823" t="s">
        <v>1357</v>
      </c>
      <c r="B823" s="1">
        <v>45782</v>
      </c>
      <c r="C823" t="s">
        <v>1358</v>
      </c>
      <c r="D823" t="s">
        <v>90</v>
      </c>
      <c r="E823" t="s">
        <v>46</v>
      </c>
      <c r="F823" t="s">
        <v>53</v>
      </c>
      <c r="G823" t="s">
        <v>268</v>
      </c>
      <c r="H823">
        <v>2</v>
      </c>
      <c r="I823" s="21">
        <v>108411</v>
      </c>
      <c r="J823">
        <v>10</v>
      </c>
      <c r="K823" s="21">
        <v>21682.2</v>
      </c>
      <c r="L823" s="21">
        <v>195139.8</v>
      </c>
      <c r="M823" s="21">
        <v>113725.24</v>
      </c>
      <c r="N823" s="21">
        <v>81414.559999999998</v>
      </c>
      <c r="O823" t="s">
        <v>91</v>
      </c>
      <c r="P823" s="21">
        <v>480.82</v>
      </c>
      <c r="Q823" t="s">
        <v>40</v>
      </c>
      <c r="R823" t="s">
        <v>41</v>
      </c>
      <c r="S823">
        <v>2</v>
      </c>
      <c r="T823">
        <v>4</v>
      </c>
      <c r="U823" t="s">
        <v>32</v>
      </c>
      <c r="V823" t="s">
        <v>42</v>
      </c>
    </row>
    <row r="824" spans="1:23" x14ac:dyDescent="0.25">
      <c r="A824" t="s">
        <v>1359</v>
      </c>
      <c r="B824" s="1">
        <v>45895</v>
      </c>
      <c r="C824" t="s">
        <v>1360</v>
      </c>
      <c r="D824" t="s">
        <v>79</v>
      </c>
      <c r="E824" t="s">
        <v>46</v>
      </c>
      <c r="F824" t="s">
        <v>86</v>
      </c>
      <c r="G824" t="s">
        <v>180</v>
      </c>
      <c r="H824">
        <v>2</v>
      </c>
      <c r="I824" s="21">
        <v>8389</v>
      </c>
      <c r="J824">
        <v>0</v>
      </c>
      <c r="K824" s="21">
        <v>0</v>
      </c>
      <c r="L824" s="21">
        <v>16778</v>
      </c>
      <c r="M824" s="21">
        <v>9963.09</v>
      </c>
      <c r="N824" s="21">
        <v>6814.91</v>
      </c>
      <c r="O824" t="s">
        <v>39</v>
      </c>
      <c r="P824" s="21">
        <v>2075</v>
      </c>
      <c r="Q824" t="s">
        <v>40</v>
      </c>
      <c r="R824" t="s">
        <v>31</v>
      </c>
      <c r="S824">
        <v>5</v>
      </c>
      <c r="T824">
        <v>9</v>
      </c>
      <c r="U824" t="s">
        <v>56</v>
      </c>
      <c r="V824" t="s">
        <v>33</v>
      </c>
      <c r="W824">
        <v>5</v>
      </c>
    </row>
    <row r="825" spans="1:23" x14ac:dyDescent="0.25">
      <c r="A825" t="s">
        <v>1361</v>
      </c>
      <c r="B825" s="1">
        <v>45949</v>
      </c>
      <c r="C825" t="s">
        <v>235</v>
      </c>
      <c r="D825" t="s">
        <v>90</v>
      </c>
      <c r="E825" t="s">
        <v>36</v>
      </c>
      <c r="F825" t="s">
        <v>47</v>
      </c>
      <c r="G825" t="s">
        <v>105</v>
      </c>
      <c r="H825">
        <v>2</v>
      </c>
      <c r="I825" s="21">
        <v>13787</v>
      </c>
      <c r="J825">
        <v>5</v>
      </c>
      <c r="K825" s="21">
        <v>1378.7</v>
      </c>
      <c r="L825" s="21">
        <v>26195.3</v>
      </c>
      <c r="M825" s="21">
        <v>15592.26</v>
      </c>
      <c r="N825" s="21">
        <v>10603.04</v>
      </c>
      <c r="O825" t="s">
        <v>39</v>
      </c>
      <c r="P825" s="21">
        <v>1548.62</v>
      </c>
      <c r="Q825" t="s">
        <v>83</v>
      </c>
      <c r="R825" t="s">
        <v>41</v>
      </c>
      <c r="S825">
        <v>2</v>
      </c>
      <c r="T825">
        <v>6</v>
      </c>
      <c r="U825" t="s">
        <v>32</v>
      </c>
      <c r="V825" t="s">
        <v>42</v>
      </c>
    </row>
    <row r="826" spans="1:23" x14ac:dyDescent="0.25">
      <c r="A826" t="s">
        <v>1362</v>
      </c>
      <c r="B826" s="1">
        <v>45970</v>
      </c>
      <c r="C826" t="s">
        <v>1363</v>
      </c>
      <c r="D826" t="s">
        <v>67</v>
      </c>
      <c r="E826" t="s">
        <v>46</v>
      </c>
      <c r="F826" t="s">
        <v>47</v>
      </c>
      <c r="G826" t="s">
        <v>105</v>
      </c>
      <c r="H826">
        <v>1</v>
      </c>
      <c r="I826" s="21">
        <v>9384</v>
      </c>
      <c r="J826">
        <v>10</v>
      </c>
      <c r="K826" s="21">
        <v>938.4</v>
      </c>
      <c r="L826" s="21">
        <v>8445.6</v>
      </c>
      <c r="M826" s="21">
        <v>4684.12</v>
      </c>
      <c r="N826" s="21">
        <v>3761.48</v>
      </c>
      <c r="O826" t="s">
        <v>60</v>
      </c>
      <c r="P826" s="21">
        <v>1155.73</v>
      </c>
      <c r="Q826" t="s">
        <v>83</v>
      </c>
      <c r="R826" t="s">
        <v>41</v>
      </c>
      <c r="S826">
        <v>2</v>
      </c>
      <c r="T826">
        <v>5</v>
      </c>
      <c r="U826" t="s">
        <v>32</v>
      </c>
      <c r="V826" t="s">
        <v>50</v>
      </c>
      <c r="W826">
        <v>3</v>
      </c>
    </row>
    <row r="827" spans="1:23" x14ac:dyDescent="0.25">
      <c r="A827" t="s">
        <v>1364</v>
      </c>
      <c r="B827" s="1">
        <v>46000</v>
      </c>
      <c r="C827" t="s">
        <v>758</v>
      </c>
      <c r="D827" t="s">
        <v>154</v>
      </c>
      <c r="E827" t="s">
        <v>26</v>
      </c>
      <c r="F827" t="s">
        <v>86</v>
      </c>
      <c r="G827" t="s">
        <v>127</v>
      </c>
      <c r="H827">
        <v>2</v>
      </c>
      <c r="I827" s="21">
        <v>23795</v>
      </c>
      <c r="J827">
        <v>25</v>
      </c>
      <c r="K827" s="21">
        <v>11897.5</v>
      </c>
      <c r="L827" s="21">
        <v>35692.5</v>
      </c>
      <c r="M827" s="21">
        <v>29230.61</v>
      </c>
      <c r="N827" s="21">
        <v>6461.89</v>
      </c>
      <c r="O827" t="s">
        <v>55</v>
      </c>
      <c r="P827" s="21">
        <v>2064.91</v>
      </c>
      <c r="Q827" t="s">
        <v>73</v>
      </c>
      <c r="R827" t="s">
        <v>41</v>
      </c>
      <c r="S827">
        <v>2</v>
      </c>
      <c r="T827">
        <v>0</v>
      </c>
      <c r="U827" t="s">
        <v>32</v>
      </c>
      <c r="V827" t="s">
        <v>50</v>
      </c>
      <c r="W827">
        <v>5</v>
      </c>
    </row>
    <row r="828" spans="1:23" x14ac:dyDescent="0.25">
      <c r="A828" t="s">
        <v>1365</v>
      </c>
      <c r="B828" s="1">
        <v>45852</v>
      </c>
      <c r="C828" t="s">
        <v>223</v>
      </c>
      <c r="D828" t="s">
        <v>71</v>
      </c>
      <c r="E828" t="s">
        <v>46</v>
      </c>
      <c r="F828" t="s">
        <v>47</v>
      </c>
      <c r="G828" t="s">
        <v>48</v>
      </c>
      <c r="H828">
        <v>1</v>
      </c>
      <c r="I828" s="21">
        <v>50569</v>
      </c>
      <c r="J828">
        <v>15</v>
      </c>
      <c r="K828" s="21">
        <v>7585.35</v>
      </c>
      <c r="L828" s="21">
        <v>42983.65</v>
      </c>
      <c r="M828" s="21">
        <v>35238.25</v>
      </c>
      <c r="N828" s="21">
        <v>7745.4</v>
      </c>
      <c r="O828" t="s">
        <v>39</v>
      </c>
      <c r="P828" s="21">
        <v>1147.67</v>
      </c>
      <c r="Q828" t="s">
        <v>83</v>
      </c>
      <c r="R828" t="s">
        <v>41</v>
      </c>
      <c r="S828">
        <v>2</v>
      </c>
      <c r="T828">
        <v>5</v>
      </c>
      <c r="U828" t="s">
        <v>56</v>
      </c>
      <c r="V828" t="s">
        <v>33</v>
      </c>
      <c r="W828">
        <v>5</v>
      </c>
    </row>
    <row r="829" spans="1:23" x14ac:dyDescent="0.25">
      <c r="A829" t="s">
        <v>1366</v>
      </c>
      <c r="B829" s="1">
        <v>45830</v>
      </c>
      <c r="C829" t="s">
        <v>958</v>
      </c>
      <c r="D829" t="s">
        <v>67</v>
      </c>
      <c r="E829" t="s">
        <v>26</v>
      </c>
      <c r="F829" t="s">
        <v>37</v>
      </c>
      <c r="G829" t="s">
        <v>313</v>
      </c>
      <c r="H829">
        <v>1</v>
      </c>
      <c r="I829" s="21">
        <v>10099</v>
      </c>
      <c r="J829">
        <v>0</v>
      </c>
      <c r="K829" s="21">
        <v>0</v>
      </c>
      <c r="L829" s="21">
        <v>10099</v>
      </c>
      <c r="M829" s="21">
        <v>8094.15</v>
      </c>
      <c r="N829" s="21">
        <v>2004.85</v>
      </c>
      <c r="O829" t="s">
        <v>39</v>
      </c>
      <c r="P829" s="21">
        <v>460.76</v>
      </c>
      <c r="Q829" t="s">
        <v>73</v>
      </c>
      <c r="R829" t="s">
        <v>31</v>
      </c>
      <c r="S829">
        <v>5</v>
      </c>
      <c r="T829">
        <v>2</v>
      </c>
      <c r="U829" t="s">
        <v>32</v>
      </c>
      <c r="V829" t="s">
        <v>42</v>
      </c>
    </row>
    <row r="830" spans="1:23" x14ac:dyDescent="0.25">
      <c r="A830" t="s">
        <v>1367</v>
      </c>
      <c r="B830" s="1">
        <v>45672</v>
      </c>
      <c r="C830" t="s">
        <v>1112</v>
      </c>
      <c r="D830" t="s">
        <v>154</v>
      </c>
      <c r="E830" t="s">
        <v>46</v>
      </c>
      <c r="F830" t="s">
        <v>86</v>
      </c>
      <c r="G830" t="s">
        <v>94</v>
      </c>
      <c r="H830">
        <v>2</v>
      </c>
      <c r="I830" s="21">
        <v>42243</v>
      </c>
      <c r="J830">
        <v>0</v>
      </c>
      <c r="K830" s="21">
        <v>0</v>
      </c>
      <c r="L830" s="21">
        <v>84486</v>
      </c>
      <c r="M830" s="21">
        <v>64980.36</v>
      </c>
      <c r="N830" s="21">
        <v>19505.64</v>
      </c>
      <c r="O830" t="s">
        <v>29</v>
      </c>
      <c r="P830" s="21">
        <v>1713.17</v>
      </c>
      <c r="Q830" t="s">
        <v>83</v>
      </c>
      <c r="R830" t="s">
        <v>41</v>
      </c>
      <c r="S830">
        <v>2</v>
      </c>
      <c r="T830">
        <v>4</v>
      </c>
      <c r="U830" t="s">
        <v>32</v>
      </c>
      <c r="V830" t="s">
        <v>42</v>
      </c>
    </row>
    <row r="831" spans="1:23" x14ac:dyDescent="0.25">
      <c r="A831" t="s">
        <v>1368</v>
      </c>
      <c r="B831" s="1">
        <v>45911</v>
      </c>
      <c r="C831" t="s">
        <v>555</v>
      </c>
      <c r="D831" t="s">
        <v>71</v>
      </c>
      <c r="E831" t="s">
        <v>26</v>
      </c>
      <c r="F831" t="s">
        <v>27</v>
      </c>
      <c r="G831" t="s">
        <v>164</v>
      </c>
      <c r="H831">
        <v>1</v>
      </c>
      <c r="I831" s="21">
        <v>6590</v>
      </c>
      <c r="J831">
        <v>0</v>
      </c>
      <c r="K831" s="21">
        <v>0</v>
      </c>
      <c r="L831" s="21">
        <v>6590</v>
      </c>
      <c r="M831" s="21">
        <v>5210.57</v>
      </c>
      <c r="N831" s="21">
        <v>1379.43</v>
      </c>
      <c r="O831" t="s">
        <v>55</v>
      </c>
      <c r="P831" s="21">
        <v>1030.5899999999999</v>
      </c>
      <c r="Q831" t="s">
        <v>40</v>
      </c>
      <c r="R831" t="s">
        <v>41</v>
      </c>
      <c r="S831">
        <v>2</v>
      </c>
      <c r="T831">
        <v>1</v>
      </c>
      <c r="U831" t="s">
        <v>32</v>
      </c>
      <c r="V831" t="s">
        <v>33</v>
      </c>
      <c r="W831">
        <v>5</v>
      </c>
    </row>
    <row r="832" spans="1:23" x14ac:dyDescent="0.25">
      <c r="A832" t="s">
        <v>1369</v>
      </c>
      <c r="B832" s="1">
        <v>45824</v>
      </c>
      <c r="C832" t="s">
        <v>35</v>
      </c>
      <c r="D832" t="s">
        <v>45</v>
      </c>
      <c r="E832" t="s">
        <v>36</v>
      </c>
      <c r="F832" t="s">
        <v>53</v>
      </c>
      <c r="G832" t="s">
        <v>59</v>
      </c>
      <c r="H832">
        <v>1</v>
      </c>
      <c r="I832" s="21">
        <v>52786</v>
      </c>
      <c r="J832">
        <v>0</v>
      </c>
      <c r="K832" s="21">
        <v>0</v>
      </c>
      <c r="L832" s="21">
        <v>52786</v>
      </c>
      <c r="M832" s="21">
        <v>35735.339999999997</v>
      </c>
      <c r="N832" s="21">
        <v>17050.66</v>
      </c>
      <c r="O832" t="s">
        <v>29</v>
      </c>
      <c r="P832" s="21">
        <v>2401.77</v>
      </c>
      <c r="Q832" t="s">
        <v>40</v>
      </c>
      <c r="R832" t="s">
        <v>31</v>
      </c>
      <c r="S832">
        <v>5</v>
      </c>
      <c r="T832">
        <v>1</v>
      </c>
      <c r="U832" t="s">
        <v>32</v>
      </c>
      <c r="V832" t="s">
        <v>50</v>
      </c>
      <c r="W832">
        <v>5</v>
      </c>
    </row>
    <row r="833" spans="1:23" x14ac:dyDescent="0.25">
      <c r="A833" t="s">
        <v>1370</v>
      </c>
      <c r="B833" s="1">
        <v>45751</v>
      </c>
      <c r="C833" t="s">
        <v>1060</v>
      </c>
      <c r="D833" t="s">
        <v>97</v>
      </c>
      <c r="E833" t="s">
        <v>26</v>
      </c>
      <c r="F833" t="s">
        <v>47</v>
      </c>
      <c r="G833" t="s">
        <v>105</v>
      </c>
      <c r="H833">
        <v>2</v>
      </c>
      <c r="I833" s="21">
        <v>19291</v>
      </c>
      <c r="J833">
        <v>0</v>
      </c>
      <c r="K833" s="21">
        <v>0</v>
      </c>
      <c r="L833" s="21">
        <v>38582</v>
      </c>
      <c r="M833" s="21">
        <v>25696.59</v>
      </c>
      <c r="N833" s="21">
        <v>12885.41</v>
      </c>
      <c r="O833" t="s">
        <v>39</v>
      </c>
      <c r="P833" s="21">
        <v>2097.56</v>
      </c>
      <c r="Q833" t="s">
        <v>73</v>
      </c>
      <c r="R833" t="s">
        <v>41</v>
      </c>
      <c r="S833">
        <v>2</v>
      </c>
      <c r="T833">
        <v>1</v>
      </c>
      <c r="U833" t="s">
        <v>32</v>
      </c>
      <c r="V833" t="s">
        <v>42</v>
      </c>
    </row>
    <row r="834" spans="1:23" x14ac:dyDescent="0.25">
      <c r="A834" t="s">
        <v>1371</v>
      </c>
      <c r="B834" s="1">
        <v>45907</v>
      </c>
      <c r="C834" t="s">
        <v>648</v>
      </c>
      <c r="D834" t="s">
        <v>45</v>
      </c>
      <c r="E834" t="s">
        <v>36</v>
      </c>
      <c r="F834" t="s">
        <v>86</v>
      </c>
      <c r="G834" t="s">
        <v>87</v>
      </c>
      <c r="H834">
        <v>1</v>
      </c>
      <c r="I834" s="21">
        <v>22337</v>
      </c>
      <c r="J834">
        <v>10</v>
      </c>
      <c r="K834" s="21">
        <v>2233.6999999999998</v>
      </c>
      <c r="L834" s="21">
        <v>20103.3</v>
      </c>
      <c r="M834" s="21">
        <v>14575.92</v>
      </c>
      <c r="N834" s="21">
        <v>5527.38</v>
      </c>
      <c r="O834" t="s">
        <v>60</v>
      </c>
      <c r="P834" s="21">
        <v>1132.75</v>
      </c>
      <c r="Q834" t="s">
        <v>68</v>
      </c>
      <c r="R834" t="s">
        <v>31</v>
      </c>
      <c r="S834">
        <v>5</v>
      </c>
      <c r="T834">
        <v>2</v>
      </c>
      <c r="U834" t="s">
        <v>32</v>
      </c>
      <c r="V834" t="s">
        <v>33</v>
      </c>
      <c r="W834">
        <v>1</v>
      </c>
    </row>
    <row r="835" spans="1:23" x14ac:dyDescent="0.25">
      <c r="A835" t="s">
        <v>1372</v>
      </c>
      <c r="B835" s="1">
        <v>45766</v>
      </c>
      <c r="C835" t="s">
        <v>709</v>
      </c>
      <c r="E835" t="s">
        <v>26</v>
      </c>
      <c r="F835" t="s">
        <v>86</v>
      </c>
      <c r="G835" t="s">
        <v>87</v>
      </c>
      <c r="H835">
        <v>3</v>
      </c>
      <c r="I835" s="21">
        <v>11269</v>
      </c>
      <c r="J835">
        <v>0</v>
      </c>
      <c r="K835" s="21">
        <v>0</v>
      </c>
      <c r="L835" s="21">
        <v>33807</v>
      </c>
      <c r="M835" s="21">
        <v>25268.639999999999</v>
      </c>
      <c r="N835" s="21">
        <v>8538.36</v>
      </c>
      <c r="O835" t="s">
        <v>49</v>
      </c>
      <c r="P835" s="21">
        <v>174.45</v>
      </c>
      <c r="Q835" t="s">
        <v>83</v>
      </c>
      <c r="R835" t="s">
        <v>41</v>
      </c>
      <c r="S835">
        <v>2</v>
      </c>
      <c r="T835">
        <v>1</v>
      </c>
      <c r="U835" t="s">
        <v>32</v>
      </c>
      <c r="V835" t="s">
        <v>50</v>
      </c>
      <c r="W835">
        <v>2</v>
      </c>
    </row>
    <row r="836" spans="1:23" x14ac:dyDescent="0.25">
      <c r="A836" t="s">
        <v>1373</v>
      </c>
      <c r="B836" s="1">
        <v>45839</v>
      </c>
      <c r="C836" t="s">
        <v>1374</v>
      </c>
      <c r="D836" t="s">
        <v>79</v>
      </c>
      <c r="E836" t="s">
        <v>46</v>
      </c>
      <c r="F836" t="s">
        <v>37</v>
      </c>
      <c r="G836" t="s">
        <v>224</v>
      </c>
      <c r="H836">
        <v>1</v>
      </c>
      <c r="I836" s="21">
        <v>12076</v>
      </c>
      <c r="J836">
        <v>10</v>
      </c>
      <c r="K836" s="21">
        <v>1207.5999999999999</v>
      </c>
      <c r="L836" s="21">
        <v>10868.4</v>
      </c>
      <c r="M836" s="21">
        <v>6931.65</v>
      </c>
      <c r="N836" s="21">
        <v>3936.75</v>
      </c>
      <c r="O836" t="s">
        <v>49</v>
      </c>
      <c r="P836" s="21">
        <v>283.49</v>
      </c>
      <c r="Q836" t="s">
        <v>73</v>
      </c>
      <c r="R836" t="s">
        <v>41</v>
      </c>
      <c r="S836">
        <v>2</v>
      </c>
      <c r="T836">
        <v>1</v>
      </c>
      <c r="U836" t="s">
        <v>32</v>
      </c>
      <c r="V836" t="s">
        <v>33</v>
      </c>
      <c r="W836">
        <v>5</v>
      </c>
    </row>
    <row r="837" spans="1:23" x14ac:dyDescent="0.25">
      <c r="A837" t="s">
        <v>1375</v>
      </c>
      <c r="B837" s="1">
        <v>45790</v>
      </c>
      <c r="C837" t="s">
        <v>372</v>
      </c>
      <c r="D837" t="s">
        <v>124</v>
      </c>
      <c r="E837" t="s">
        <v>46</v>
      </c>
      <c r="F837" t="s">
        <v>27</v>
      </c>
      <c r="G837" t="s">
        <v>76</v>
      </c>
      <c r="H837">
        <v>3</v>
      </c>
      <c r="I837" s="21">
        <v>19520</v>
      </c>
      <c r="J837">
        <v>15</v>
      </c>
      <c r="K837" s="21">
        <v>8784</v>
      </c>
      <c r="L837" s="21">
        <v>49776</v>
      </c>
      <c r="M837" s="21">
        <v>28034.44</v>
      </c>
      <c r="N837" s="21">
        <v>21741.56</v>
      </c>
      <c r="O837" t="s">
        <v>60</v>
      </c>
      <c r="P837" s="21">
        <v>564.79</v>
      </c>
      <c r="Q837" t="s">
        <v>83</v>
      </c>
      <c r="R837" t="s">
        <v>41</v>
      </c>
      <c r="S837">
        <v>2</v>
      </c>
      <c r="T837">
        <v>2</v>
      </c>
      <c r="U837" t="s">
        <v>32</v>
      </c>
      <c r="V837" t="s">
        <v>33</v>
      </c>
      <c r="W837">
        <v>4</v>
      </c>
    </row>
    <row r="838" spans="1:23" x14ac:dyDescent="0.25">
      <c r="A838" t="s">
        <v>1376</v>
      </c>
      <c r="B838" s="1">
        <v>45832</v>
      </c>
      <c r="C838" t="s">
        <v>174</v>
      </c>
      <c r="D838" t="s">
        <v>124</v>
      </c>
      <c r="E838" t="s">
        <v>46</v>
      </c>
      <c r="F838" t="s">
        <v>27</v>
      </c>
      <c r="G838" t="s">
        <v>28</v>
      </c>
      <c r="H838">
        <v>1</v>
      </c>
      <c r="I838" s="21">
        <v>17464</v>
      </c>
      <c r="J838">
        <v>20</v>
      </c>
      <c r="K838" s="21">
        <v>3492.8</v>
      </c>
      <c r="L838" s="21">
        <v>13971.2</v>
      </c>
      <c r="M838" s="21">
        <v>10647.98</v>
      </c>
      <c r="N838" s="21">
        <v>3323.22</v>
      </c>
      <c r="O838" t="s">
        <v>60</v>
      </c>
      <c r="P838" s="21">
        <v>1245.19</v>
      </c>
      <c r="Q838" t="s">
        <v>73</v>
      </c>
      <c r="R838" t="s">
        <v>31</v>
      </c>
      <c r="S838">
        <v>5</v>
      </c>
      <c r="T838">
        <v>4</v>
      </c>
      <c r="U838" t="s">
        <v>32</v>
      </c>
      <c r="V838" t="s">
        <v>42</v>
      </c>
    </row>
    <row r="839" spans="1:23" x14ac:dyDescent="0.25">
      <c r="A839" t="s">
        <v>1377</v>
      </c>
      <c r="B839" s="1">
        <v>45801</v>
      </c>
      <c r="C839" t="s">
        <v>1378</v>
      </c>
      <c r="D839" t="s">
        <v>63</v>
      </c>
      <c r="E839" t="s">
        <v>36</v>
      </c>
      <c r="F839" t="s">
        <v>47</v>
      </c>
      <c r="G839" t="s">
        <v>105</v>
      </c>
      <c r="H839">
        <v>1</v>
      </c>
      <c r="I839" s="21">
        <v>21454</v>
      </c>
      <c r="J839">
        <v>5</v>
      </c>
      <c r="K839" s="21">
        <v>1072.7</v>
      </c>
      <c r="L839" s="21">
        <v>20381.3</v>
      </c>
      <c r="M839" s="21">
        <v>14760.33</v>
      </c>
      <c r="N839" s="21">
        <v>5620.97</v>
      </c>
      <c r="O839" t="s">
        <v>60</v>
      </c>
      <c r="P839" s="21">
        <v>1372.3</v>
      </c>
      <c r="Q839" t="s">
        <v>68</v>
      </c>
      <c r="R839" t="s">
        <v>31</v>
      </c>
      <c r="S839">
        <v>5</v>
      </c>
      <c r="T839">
        <v>3</v>
      </c>
      <c r="U839" t="s">
        <v>32</v>
      </c>
      <c r="V839" t="s">
        <v>33</v>
      </c>
      <c r="W839">
        <v>5</v>
      </c>
    </row>
    <row r="840" spans="1:23" x14ac:dyDescent="0.25">
      <c r="A840" t="s">
        <v>1379</v>
      </c>
      <c r="B840" s="1">
        <v>45963</v>
      </c>
      <c r="C840" t="s">
        <v>121</v>
      </c>
      <c r="D840" t="s">
        <v>97</v>
      </c>
      <c r="E840" t="s">
        <v>26</v>
      </c>
      <c r="F840" t="s">
        <v>53</v>
      </c>
      <c r="G840" t="s">
        <v>59</v>
      </c>
      <c r="H840">
        <v>1</v>
      </c>
      <c r="I840" s="21">
        <v>95283</v>
      </c>
      <c r="J840">
        <v>0</v>
      </c>
      <c r="K840" s="21">
        <v>0</v>
      </c>
      <c r="L840" s="21">
        <v>95283</v>
      </c>
      <c r="M840" s="21">
        <v>54025.58</v>
      </c>
      <c r="N840" s="21">
        <v>41257.42</v>
      </c>
      <c r="O840" t="s">
        <v>39</v>
      </c>
      <c r="P840" s="21">
        <v>779.83</v>
      </c>
      <c r="Q840" t="s">
        <v>68</v>
      </c>
      <c r="R840" t="s">
        <v>31</v>
      </c>
      <c r="S840">
        <v>5</v>
      </c>
      <c r="T840">
        <v>6</v>
      </c>
      <c r="U840" t="s">
        <v>56</v>
      </c>
      <c r="V840" t="s">
        <v>33</v>
      </c>
      <c r="W840">
        <v>3</v>
      </c>
    </row>
    <row r="841" spans="1:23" x14ac:dyDescent="0.25">
      <c r="A841" t="s">
        <v>1380</v>
      </c>
      <c r="B841" s="1">
        <v>46017</v>
      </c>
      <c r="C841" t="s">
        <v>1381</v>
      </c>
      <c r="D841" t="s">
        <v>97</v>
      </c>
      <c r="E841" t="s">
        <v>26</v>
      </c>
      <c r="F841" t="s">
        <v>37</v>
      </c>
      <c r="G841" t="s">
        <v>38</v>
      </c>
      <c r="H841">
        <v>4</v>
      </c>
      <c r="I841" s="21">
        <v>31507</v>
      </c>
      <c r="J841">
        <v>10</v>
      </c>
      <c r="K841" s="21">
        <v>12602.8</v>
      </c>
      <c r="L841" s="21">
        <v>113425.2</v>
      </c>
      <c r="M841" s="21">
        <v>62428.59</v>
      </c>
      <c r="N841" s="21">
        <v>50996.61</v>
      </c>
      <c r="O841" t="s">
        <v>91</v>
      </c>
      <c r="P841" s="21">
        <v>1885.02</v>
      </c>
      <c r="Q841" t="s">
        <v>30</v>
      </c>
      <c r="R841" t="s">
        <v>31</v>
      </c>
      <c r="S841">
        <v>5</v>
      </c>
      <c r="T841">
        <v>4</v>
      </c>
      <c r="U841" t="s">
        <v>32</v>
      </c>
      <c r="V841" t="s">
        <v>33</v>
      </c>
      <c r="W841">
        <v>1</v>
      </c>
    </row>
    <row r="842" spans="1:23" x14ac:dyDescent="0.25">
      <c r="A842" t="s">
        <v>1382</v>
      </c>
      <c r="B842" s="1">
        <v>45799</v>
      </c>
      <c r="C842" t="s">
        <v>284</v>
      </c>
      <c r="D842" t="s">
        <v>71</v>
      </c>
      <c r="E842" t="s">
        <v>36</v>
      </c>
      <c r="F842" t="s">
        <v>86</v>
      </c>
      <c r="G842" t="s">
        <v>94</v>
      </c>
      <c r="H842">
        <v>2</v>
      </c>
      <c r="I842" s="21">
        <v>18594</v>
      </c>
      <c r="J842">
        <v>5</v>
      </c>
      <c r="K842" s="21">
        <v>1859.4</v>
      </c>
      <c r="L842" s="21">
        <v>35328.6</v>
      </c>
      <c r="M842" s="21">
        <v>27922.639999999999</v>
      </c>
      <c r="N842" s="21">
        <v>7405.96</v>
      </c>
      <c r="O842" t="s">
        <v>49</v>
      </c>
      <c r="P842" s="21">
        <v>201.27</v>
      </c>
      <c r="Q842" t="s">
        <v>30</v>
      </c>
      <c r="R842" t="s">
        <v>31</v>
      </c>
      <c r="S842">
        <v>5</v>
      </c>
      <c r="T842">
        <v>4</v>
      </c>
      <c r="U842" t="s">
        <v>32</v>
      </c>
      <c r="V842" t="s">
        <v>33</v>
      </c>
      <c r="W842">
        <v>5</v>
      </c>
    </row>
    <row r="843" spans="1:23" x14ac:dyDescent="0.25">
      <c r="A843" t="s">
        <v>1383</v>
      </c>
      <c r="B843" s="1">
        <v>45942</v>
      </c>
      <c r="C843" t="s">
        <v>814</v>
      </c>
      <c r="D843" t="s">
        <v>67</v>
      </c>
      <c r="E843" t="s">
        <v>46</v>
      </c>
      <c r="F843" t="s">
        <v>47</v>
      </c>
      <c r="G843" t="s">
        <v>64</v>
      </c>
      <c r="H843">
        <v>2</v>
      </c>
      <c r="I843" s="21">
        <v>11998</v>
      </c>
      <c r="J843">
        <v>5</v>
      </c>
      <c r="K843" s="21">
        <v>1199.8</v>
      </c>
      <c r="L843" s="21">
        <v>22796.2</v>
      </c>
      <c r="M843" s="21">
        <v>15065.98</v>
      </c>
      <c r="N843" s="21">
        <v>7730.22</v>
      </c>
      <c r="O843" t="s">
        <v>91</v>
      </c>
      <c r="P843" s="21">
        <v>1148.43</v>
      </c>
      <c r="Q843" t="s">
        <v>83</v>
      </c>
      <c r="R843" t="s">
        <v>31</v>
      </c>
      <c r="S843">
        <v>5</v>
      </c>
      <c r="T843">
        <v>6</v>
      </c>
      <c r="U843" t="s">
        <v>56</v>
      </c>
      <c r="V843" t="s">
        <v>33</v>
      </c>
      <c r="W843">
        <v>4</v>
      </c>
    </row>
    <row r="844" spans="1:23" x14ac:dyDescent="0.25">
      <c r="A844" t="s">
        <v>1384</v>
      </c>
      <c r="B844" s="1">
        <v>45663</v>
      </c>
      <c r="C844" t="s">
        <v>137</v>
      </c>
      <c r="D844" t="s">
        <v>154</v>
      </c>
      <c r="E844" t="s">
        <v>26</v>
      </c>
      <c r="F844" t="s">
        <v>53</v>
      </c>
      <c r="G844" t="s">
        <v>82</v>
      </c>
      <c r="H844">
        <v>1</v>
      </c>
      <c r="I844" s="21">
        <v>21695</v>
      </c>
      <c r="J844">
        <v>0</v>
      </c>
      <c r="K844" s="21">
        <v>0</v>
      </c>
      <c r="L844" s="21">
        <v>21695</v>
      </c>
      <c r="M844" s="21">
        <v>17739.03</v>
      </c>
      <c r="N844" s="21">
        <v>3955.97</v>
      </c>
      <c r="O844" t="s">
        <v>91</v>
      </c>
      <c r="P844" s="21">
        <v>983.87</v>
      </c>
      <c r="Q844" t="s">
        <v>68</v>
      </c>
      <c r="R844" t="s">
        <v>41</v>
      </c>
      <c r="S844">
        <v>2</v>
      </c>
      <c r="T844">
        <v>1</v>
      </c>
      <c r="U844" t="s">
        <v>32</v>
      </c>
      <c r="V844" t="s">
        <v>50</v>
      </c>
      <c r="W844">
        <v>1</v>
      </c>
    </row>
    <row r="845" spans="1:23" x14ac:dyDescent="0.25">
      <c r="A845" t="s">
        <v>1385</v>
      </c>
      <c r="B845" s="1">
        <v>45922</v>
      </c>
      <c r="C845" t="s">
        <v>1386</v>
      </c>
      <c r="D845" t="s">
        <v>63</v>
      </c>
      <c r="E845" t="s">
        <v>26</v>
      </c>
      <c r="F845" t="s">
        <v>37</v>
      </c>
      <c r="G845" t="s">
        <v>224</v>
      </c>
      <c r="H845">
        <v>2</v>
      </c>
      <c r="I845" s="21">
        <v>22158</v>
      </c>
      <c r="J845">
        <v>25</v>
      </c>
      <c r="K845" s="21">
        <v>11079</v>
      </c>
      <c r="L845" s="21">
        <v>33237</v>
      </c>
      <c r="M845" s="21">
        <v>19779.34</v>
      </c>
      <c r="N845" s="21">
        <v>13457.66</v>
      </c>
      <c r="O845" t="s">
        <v>29</v>
      </c>
      <c r="P845" s="21">
        <v>2079.25</v>
      </c>
      <c r="Q845" t="s">
        <v>68</v>
      </c>
      <c r="R845" t="s">
        <v>31</v>
      </c>
      <c r="S845">
        <v>5</v>
      </c>
      <c r="T845">
        <v>6</v>
      </c>
      <c r="U845" t="s">
        <v>32</v>
      </c>
      <c r="V845" t="s">
        <v>50</v>
      </c>
      <c r="W845">
        <v>4</v>
      </c>
    </row>
    <row r="846" spans="1:23" x14ac:dyDescent="0.25">
      <c r="A846" t="s">
        <v>1387</v>
      </c>
      <c r="B846" s="1">
        <v>45755</v>
      </c>
      <c r="C846" t="s">
        <v>1131</v>
      </c>
      <c r="D846" t="s">
        <v>79</v>
      </c>
      <c r="E846" t="s">
        <v>26</v>
      </c>
      <c r="F846" t="s">
        <v>27</v>
      </c>
      <c r="G846" t="s">
        <v>72</v>
      </c>
      <c r="H846">
        <v>3</v>
      </c>
      <c r="I846" s="21">
        <v>26318</v>
      </c>
      <c r="J846">
        <v>10</v>
      </c>
      <c r="K846" s="21">
        <v>7895.4</v>
      </c>
      <c r="L846" s="21">
        <v>71058.600000000006</v>
      </c>
      <c r="M846" s="21">
        <v>53535.44</v>
      </c>
      <c r="N846" s="21">
        <v>17523.16</v>
      </c>
      <c r="O846" t="s">
        <v>29</v>
      </c>
      <c r="P846" s="21">
        <v>1899.47</v>
      </c>
      <c r="Q846" t="s">
        <v>40</v>
      </c>
      <c r="R846" t="s">
        <v>31</v>
      </c>
      <c r="S846">
        <v>5</v>
      </c>
      <c r="T846">
        <v>0</v>
      </c>
      <c r="U846" t="s">
        <v>32</v>
      </c>
      <c r="V846" t="s">
        <v>42</v>
      </c>
    </row>
    <row r="847" spans="1:23" x14ac:dyDescent="0.25">
      <c r="A847" t="s">
        <v>1388</v>
      </c>
      <c r="B847" s="1">
        <v>45701</v>
      </c>
      <c r="C847" t="s">
        <v>533</v>
      </c>
      <c r="D847" t="s">
        <v>154</v>
      </c>
      <c r="E847" t="s">
        <v>46</v>
      </c>
      <c r="F847" t="s">
        <v>53</v>
      </c>
      <c r="G847" t="s">
        <v>59</v>
      </c>
      <c r="H847">
        <v>1</v>
      </c>
      <c r="I847" s="21">
        <v>32513</v>
      </c>
      <c r="J847">
        <v>10</v>
      </c>
      <c r="K847" s="21">
        <v>3251.3</v>
      </c>
      <c r="L847" s="21">
        <v>29261.7</v>
      </c>
      <c r="M847" s="21">
        <v>19734.990000000002</v>
      </c>
      <c r="N847" s="21">
        <v>9526.7099999999991</v>
      </c>
      <c r="O847" t="s">
        <v>91</v>
      </c>
      <c r="P847" s="21">
        <v>509.38</v>
      </c>
      <c r="Q847" t="s">
        <v>83</v>
      </c>
      <c r="R847" t="s">
        <v>41</v>
      </c>
      <c r="S847">
        <v>2</v>
      </c>
      <c r="T847">
        <v>1</v>
      </c>
      <c r="U847" t="s">
        <v>32</v>
      </c>
      <c r="V847" t="s">
        <v>50</v>
      </c>
      <c r="W847">
        <v>5</v>
      </c>
    </row>
    <row r="848" spans="1:23" x14ac:dyDescent="0.25">
      <c r="A848" t="s">
        <v>1389</v>
      </c>
      <c r="B848" s="1">
        <v>45781</v>
      </c>
      <c r="C848" t="s">
        <v>903</v>
      </c>
      <c r="D848" t="s">
        <v>71</v>
      </c>
      <c r="E848" t="s">
        <v>26</v>
      </c>
      <c r="F848" t="s">
        <v>47</v>
      </c>
      <c r="G848" t="s">
        <v>48</v>
      </c>
      <c r="H848">
        <v>2</v>
      </c>
      <c r="I848" s="21">
        <v>38046</v>
      </c>
      <c r="J848">
        <v>10</v>
      </c>
      <c r="K848" s="21">
        <v>7609.2</v>
      </c>
      <c r="L848" s="21">
        <v>68482.8</v>
      </c>
      <c r="M848" s="21">
        <v>38315.1</v>
      </c>
      <c r="N848" s="21">
        <v>30167.7</v>
      </c>
      <c r="O848" t="s">
        <v>91</v>
      </c>
      <c r="P848" s="21">
        <v>395.1</v>
      </c>
      <c r="Q848" t="s">
        <v>68</v>
      </c>
      <c r="R848" t="s">
        <v>41</v>
      </c>
      <c r="S848">
        <v>2</v>
      </c>
      <c r="T848">
        <v>2</v>
      </c>
      <c r="U848" t="s">
        <v>32</v>
      </c>
      <c r="V848" t="s">
        <v>33</v>
      </c>
      <c r="W848">
        <v>1</v>
      </c>
    </row>
    <row r="849" spans="1:23" x14ac:dyDescent="0.25">
      <c r="A849" t="s">
        <v>1390</v>
      </c>
      <c r="B849" s="1">
        <v>45866</v>
      </c>
      <c r="C849" t="s">
        <v>864</v>
      </c>
      <c r="D849" t="s">
        <v>71</v>
      </c>
      <c r="E849" t="s">
        <v>46</v>
      </c>
      <c r="F849" t="s">
        <v>47</v>
      </c>
      <c r="G849" t="s">
        <v>138</v>
      </c>
      <c r="H849">
        <v>2</v>
      </c>
      <c r="I849" s="21">
        <v>24441</v>
      </c>
      <c r="J849">
        <v>10</v>
      </c>
      <c r="K849" s="21">
        <v>4888.2</v>
      </c>
      <c r="L849" s="21">
        <v>43993.8</v>
      </c>
      <c r="M849" s="21">
        <v>34725.4</v>
      </c>
      <c r="N849" s="21">
        <v>9268.4</v>
      </c>
      <c r="O849" t="s">
        <v>55</v>
      </c>
      <c r="P849" s="21">
        <v>1177.24</v>
      </c>
      <c r="Q849" t="s">
        <v>40</v>
      </c>
      <c r="R849" t="s">
        <v>31</v>
      </c>
      <c r="S849">
        <v>5</v>
      </c>
      <c r="T849">
        <v>9</v>
      </c>
      <c r="U849" t="s">
        <v>56</v>
      </c>
      <c r="V849" t="s">
        <v>33</v>
      </c>
      <c r="W849">
        <v>4</v>
      </c>
    </row>
    <row r="850" spans="1:23" x14ac:dyDescent="0.25">
      <c r="A850" t="s">
        <v>1391</v>
      </c>
      <c r="B850" s="1">
        <v>45908</v>
      </c>
      <c r="C850" t="s">
        <v>1392</v>
      </c>
      <c r="D850" t="s">
        <v>63</v>
      </c>
      <c r="E850" t="s">
        <v>46</v>
      </c>
      <c r="F850" t="s">
        <v>27</v>
      </c>
      <c r="G850" t="s">
        <v>72</v>
      </c>
      <c r="H850">
        <v>2</v>
      </c>
      <c r="I850" s="21">
        <v>16797</v>
      </c>
      <c r="J850">
        <v>15</v>
      </c>
      <c r="K850" s="21">
        <v>5039.1000000000004</v>
      </c>
      <c r="L850" s="21">
        <v>28554.9</v>
      </c>
      <c r="M850" s="21">
        <v>21661.48</v>
      </c>
      <c r="N850" s="21">
        <v>6893.42</v>
      </c>
      <c r="O850" t="s">
        <v>29</v>
      </c>
      <c r="P850" s="21">
        <v>1537.23</v>
      </c>
      <c r="Q850" t="s">
        <v>68</v>
      </c>
      <c r="R850" t="s">
        <v>31</v>
      </c>
      <c r="S850">
        <v>5</v>
      </c>
      <c r="T850">
        <v>3</v>
      </c>
      <c r="U850" t="s">
        <v>32</v>
      </c>
      <c r="V850" t="s">
        <v>33</v>
      </c>
      <c r="W850">
        <v>5</v>
      </c>
    </row>
    <row r="851" spans="1:23" x14ac:dyDescent="0.25">
      <c r="A851" t="s">
        <v>1393</v>
      </c>
      <c r="B851" s="1">
        <v>45942</v>
      </c>
      <c r="C851" t="s">
        <v>1355</v>
      </c>
      <c r="D851" t="s">
        <v>79</v>
      </c>
      <c r="E851" t="s">
        <v>26</v>
      </c>
      <c r="F851" t="s">
        <v>53</v>
      </c>
      <c r="G851" t="s">
        <v>268</v>
      </c>
      <c r="H851">
        <v>3</v>
      </c>
      <c r="I851" s="21">
        <v>85108</v>
      </c>
      <c r="J851">
        <v>0</v>
      </c>
      <c r="K851" s="21">
        <v>0</v>
      </c>
      <c r="L851" s="21">
        <v>255324</v>
      </c>
      <c r="M851" s="21">
        <v>177587.25</v>
      </c>
      <c r="N851" s="21">
        <v>77736.75</v>
      </c>
      <c r="O851" t="s">
        <v>29</v>
      </c>
      <c r="P851" s="21">
        <v>2288.4</v>
      </c>
      <c r="Q851" t="s">
        <v>40</v>
      </c>
      <c r="R851" t="s">
        <v>31</v>
      </c>
      <c r="S851">
        <v>5</v>
      </c>
      <c r="T851">
        <v>3</v>
      </c>
      <c r="U851" t="s">
        <v>32</v>
      </c>
      <c r="V851" t="s">
        <v>33</v>
      </c>
      <c r="W851">
        <v>2</v>
      </c>
    </row>
    <row r="852" spans="1:23" x14ac:dyDescent="0.25">
      <c r="A852" t="s">
        <v>1394</v>
      </c>
      <c r="B852" s="1">
        <v>45781</v>
      </c>
      <c r="C852" t="s">
        <v>1217</v>
      </c>
      <c r="D852" t="s">
        <v>124</v>
      </c>
      <c r="E852" t="s">
        <v>26</v>
      </c>
      <c r="F852" t="s">
        <v>37</v>
      </c>
      <c r="G852" t="s">
        <v>38</v>
      </c>
      <c r="H852">
        <v>1</v>
      </c>
      <c r="I852" s="21">
        <v>25762</v>
      </c>
      <c r="J852">
        <v>25</v>
      </c>
      <c r="K852" s="21">
        <v>6440.5</v>
      </c>
      <c r="L852" s="21">
        <v>19321.5</v>
      </c>
      <c r="M852" s="21">
        <v>11337.25</v>
      </c>
      <c r="N852" s="21">
        <v>7984.25</v>
      </c>
      <c r="O852" t="s">
        <v>29</v>
      </c>
      <c r="P852" s="21">
        <v>1328.17</v>
      </c>
      <c r="Q852" t="s">
        <v>68</v>
      </c>
      <c r="R852" t="s">
        <v>31</v>
      </c>
      <c r="S852">
        <v>5</v>
      </c>
      <c r="T852">
        <v>3</v>
      </c>
      <c r="U852" t="s">
        <v>32</v>
      </c>
      <c r="V852" t="s">
        <v>33</v>
      </c>
      <c r="W852">
        <v>4</v>
      </c>
    </row>
    <row r="853" spans="1:23" x14ac:dyDescent="0.25">
      <c r="A853" t="s">
        <v>1395</v>
      </c>
      <c r="B853" s="1">
        <v>46011</v>
      </c>
      <c r="C853" t="s">
        <v>1396</v>
      </c>
      <c r="D853" t="s">
        <v>97</v>
      </c>
      <c r="E853" t="s">
        <v>26</v>
      </c>
      <c r="F853" t="s">
        <v>47</v>
      </c>
      <c r="G853" t="s">
        <v>146</v>
      </c>
      <c r="H853">
        <v>1</v>
      </c>
      <c r="I853" s="21">
        <v>48540</v>
      </c>
      <c r="J853">
        <v>20</v>
      </c>
      <c r="K853" s="21">
        <v>9708</v>
      </c>
      <c r="L853" s="21">
        <v>38832</v>
      </c>
      <c r="M853" s="21">
        <v>23083.73</v>
      </c>
      <c r="N853" s="21">
        <v>15748.27</v>
      </c>
      <c r="O853" t="s">
        <v>91</v>
      </c>
      <c r="P853" s="21">
        <v>276.14</v>
      </c>
      <c r="Q853" t="s">
        <v>83</v>
      </c>
      <c r="R853" t="s">
        <v>41</v>
      </c>
      <c r="S853">
        <v>2</v>
      </c>
      <c r="T853">
        <v>1</v>
      </c>
      <c r="U853" t="s">
        <v>32</v>
      </c>
      <c r="V853" t="s">
        <v>33</v>
      </c>
      <c r="W853">
        <v>1</v>
      </c>
    </row>
    <row r="854" spans="1:23" x14ac:dyDescent="0.25">
      <c r="A854" t="s">
        <v>1397</v>
      </c>
      <c r="B854" s="1">
        <v>45901</v>
      </c>
      <c r="C854" t="s">
        <v>322</v>
      </c>
      <c r="D854" t="s">
        <v>79</v>
      </c>
      <c r="E854" t="s">
        <v>46</v>
      </c>
      <c r="F854" t="s">
        <v>53</v>
      </c>
      <c r="G854" t="s">
        <v>151</v>
      </c>
      <c r="H854">
        <v>2</v>
      </c>
      <c r="I854" s="21">
        <v>92498</v>
      </c>
      <c r="J854">
        <v>20</v>
      </c>
      <c r="K854" s="21">
        <v>36999.199999999997</v>
      </c>
      <c r="L854" s="21">
        <v>147996.79999999999</v>
      </c>
      <c r="M854" s="21">
        <v>119482.84</v>
      </c>
      <c r="N854" s="21">
        <v>28513.96</v>
      </c>
      <c r="O854" t="s">
        <v>39</v>
      </c>
      <c r="P854" s="21">
        <v>2256.88</v>
      </c>
      <c r="Q854" t="s">
        <v>73</v>
      </c>
      <c r="R854" t="s">
        <v>41</v>
      </c>
      <c r="S854">
        <v>2</v>
      </c>
      <c r="T854">
        <v>1</v>
      </c>
      <c r="U854" t="s">
        <v>32</v>
      </c>
      <c r="V854" t="s">
        <v>33</v>
      </c>
      <c r="W854">
        <v>5</v>
      </c>
    </row>
    <row r="855" spans="1:23" x14ac:dyDescent="0.25">
      <c r="A855" t="s">
        <v>1398</v>
      </c>
      <c r="B855" s="1">
        <v>45988</v>
      </c>
      <c r="C855" t="s">
        <v>286</v>
      </c>
      <c r="D855" t="s">
        <v>154</v>
      </c>
      <c r="E855" t="s">
        <v>46</v>
      </c>
      <c r="F855" t="s">
        <v>53</v>
      </c>
      <c r="G855" t="s">
        <v>82</v>
      </c>
      <c r="H855">
        <v>2</v>
      </c>
      <c r="I855" s="21">
        <v>113161</v>
      </c>
      <c r="J855">
        <v>10</v>
      </c>
      <c r="K855" s="21">
        <v>22632.2</v>
      </c>
      <c r="L855" s="21">
        <v>203689.8</v>
      </c>
      <c r="M855" s="21">
        <v>120788.89</v>
      </c>
      <c r="N855" s="21">
        <v>82900.91</v>
      </c>
      <c r="O855" t="s">
        <v>39</v>
      </c>
      <c r="P855" s="21">
        <v>1736.73</v>
      </c>
      <c r="Q855" t="s">
        <v>40</v>
      </c>
      <c r="R855" t="s">
        <v>31</v>
      </c>
      <c r="S855">
        <v>5</v>
      </c>
      <c r="T855">
        <v>4</v>
      </c>
      <c r="U855" t="s">
        <v>32</v>
      </c>
      <c r="V855" t="s">
        <v>42</v>
      </c>
    </row>
    <row r="856" spans="1:23" x14ac:dyDescent="0.25">
      <c r="A856" t="s">
        <v>1399</v>
      </c>
      <c r="B856" s="1">
        <v>46022</v>
      </c>
      <c r="C856" t="s">
        <v>969</v>
      </c>
      <c r="D856" t="s">
        <v>97</v>
      </c>
      <c r="E856" t="s">
        <v>46</v>
      </c>
      <c r="F856" t="s">
        <v>27</v>
      </c>
      <c r="G856" t="s">
        <v>72</v>
      </c>
      <c r="H856">
        <v>2</v>
      </c>
      <c r="I856" s="21">
        <v>13792</v>
      </c>
      <c r="J856">
        <v>20</v>
      </c>
      <c r="K856" s="21">
        <v>5516.8</v>
      </c>
      <c r="L856" s="21">
        <v>22067.200000000001</v>
      </c>
      <c r="M856" s="21">
        <v>12377.57</v>
      </c>
      <c r="N856" s="21">
        <v>9689.6299999999992</v>
      </c>
      <c r="O856" t="s">
        <v>55</v>
      </c>
      <c r="P856" s="21">
        <v>301.54000000000002</v>
      </c>
      <c r="Q856" t="s">
        <v>83</v>
      </c>
      <c r="R856" t="s">
        <v>41</v>
      </c>
      <c r="S856">
        <v>2</v>
      </c>
      <c r="T856">
        <v>4</v>
      </c>
      <c r="U856" t="s">
        <v>56</v>
      </c>
      <c r="V856" t="s">
        <v>33</v>
      </c>
      <c r="W856">
        <v>1</v>
      </c>
    </row>
    <row r="857" spans="1:23" x14ac:dyDescent="0.25">
      <c r="A857" t="s">
        <v>1400</v>
      </c>
      <c r="B857" s="1">
        <v>45909</v>
      </c>
      <c r="C857" t="s">
        <v>948</v>
      </c>
      <c r="D857" t="s">
        <v>71</v>
      </c>
      <c r="E857" t="s">
        <v>26</v>
      </c>
      <c r="F857" t="s">
        <v>53</v>
      </c>
      <c r="G857" t="s">
        <v>59</v>
      </c>
      <c r="H857">
        <v>1</v>
      </c>
      <c r="I857" s="21">
        <v>103882</v>
      </c>
      <c r="J857">
        <v>15</v>
      </c>
      <c r="K857" s="21">
        <v>15582.3</v>
      </c>
      <c r="L857" s="21">
        <v>88299.7</v>
      </c>
      <c r="M857" s="21">
        <v>57570.05</v>
      </c>
      <c r="N857" s="21">
        <v>30729.65</v>
      </c>
      <c r="O857" t="s">
        <v>39</v>
      </c>
      <c r="P857" s="21">
        <v>543.33000000000004</v>
      </c>
      <c r="Q857" t="s">
        <v>73</v>
      </c>
      <c r="R857" t="s">
        <v>31</v>
      </c>
      <c r="S857">
        <v>5</v>
      </c>
      <c r="T857">
        <v>3</v>
      </c>
      <c r="U857" t="s">
        <v>32</v>
      </c>
      <c r="V857" t="s">
        <v>33</v>
      </c>
      <c r="W857">
        <v>4</v>
      </c>
    </row>
    <row r="858" spans="1:23" x14ac:dyDescent="0.25">
      <c r="A858" t="s">
        <v>1401</v>
      </c>
      <c r="B858" s="1">
        <v>45887</v>
      </c>
      <c r="C858" t="s">
        <v>337</v>
      </c>
      <c r="D858" t="s">
        <v>25</v>
      </c>
      <c r="E858" t="s">
        <v>46</v>
      </c>
      <c r="F858" t="s">
        <v>37</v>
      </c>
      <c r="G858" t="s">
        <v>161</v>
      </c>
      <c r="H858">
        <v>1</v>
      </c>
      <c r="I858" s="21">
        <v>6744</v>
      </c>
      <c r="J858">
        <v>25</v>
      </c>
      <c r="K858" s="21">
        <v>1686</v>
      </c>
      <c r="L858" s="21">
        <v>5058</v>
      </c>
      <c r="M858" s="21">
        <v>3757.37</v>
      </c>
      <c r="N858" s="21">
        <v>1300.6300000000001</v>
      </c>
      <c r="O858" t="s">
        <v>49</v>
      </c>
      <c r="P858" s="21">
        <v>143.56</v>
      </c>
      <c r="Q858" t="s">
        <v>30</v>
      </c>
      <c r="R858" t="s">
        <v>41</v>
      </c>
      <c r="S858">
        <v>2</v>
      </c>
      <c r="T858">
        <v>0</v>
      </c>
      <c r="U858" t="s">
        <v>32</v>
      </c>
      <c r="V858" t="s">
        <v>50</v>
      </c>
      <c r="W858">
        <v>4</v>
      </c>
    </row>
    <row r="859" spans="1:23" x14ac:dyDescent="0.25">
      <c r="A859" t="s">
        <v>1402</v>
      </c>
      <c r="B859" s="1">
        <v>45666</v>
      </c>
      <c r="C859" t="s">
        <v>472</v>
      </c>
      <c r="D859" t="s">
        <v>67</v>
      </c>
      <c r="E859" t="s">
        <v>46</v>
      </c>
      <c r="F859" t="s">
        <v>37</v>
      </c>
      <c r="G859" t="s">
        <v>38</v>
      </c>
      <c r="H859">
        <v>4</v>
      </c>
      <c r="I859" s="21">
        <v>12242</v>
      </c>
      <c r="J859">
        <v>0</v>
      </c>
      <c r="K859" s="21">
        <v>0</v>
      </c>
      <c r="L859" s="21">
        <v>48968</v>
      </c>
      <c r="M859" s="21">
        <v>27735.09</v>
      </c>
      <c r="N859" s="21">
        <v>21232.91</v>
      </c>
      <c r="O859" t="s">
        <v>29</v>
      </c>
      <c r="P859" s="21">
        <v>1100.8599999999999</v>
      </c>
      <c r="Q859" t="s">
        <v>40</v>
      </c>
      <c r="R859" t="s">
        <v>31</v>
      </c>
      <c r="S859">
        <v>5</v>
      </c>
      <c r="T859">
        <v>5</v>
      </c>
      <c r="U859" t="s">
        <v>32</v>
      </c>
      <c r="V859" t="s">
        <v>33</v>
      </c>
      <c r="W859">
        <v>5</v>
      </c>
    </row>
    <row r="860" spans="1:23" x14ac:dyDescent="0.25">
      <c r="A860" t="s">
        <v>1403</v>
      </c>
      <c r="B860" s="1">
        <v>45705</v>
      </c>
      <c r="C860" t="s">
        <v>640</v>
      </c>
      <c r="D860" t="s">
        <v>90</v>
      </c>
      <c r="E860" t="s">
        <v>26</v>
      </c>
      <c r="F860" t="s">
        <v>53</v>
      </c>
      <c r="G860" t="s">
        <v>82</v>
      </c>
      <c r="H860">
        <v>1</v>
      </c>
      <c r="I860" s="21">
        <v>93381</v>
      </c>
      <c r="J860">
        <v>5</v>
      </c>
      <c r="K860" s="21">
        <v>4669.05</v>
      </c>
      <c r="L860" s="21">
        <v>88711.95</v>
      </c>
      <c r="M860" s="21">
        <v>61142.86</v>
      </c>
      <c r="N860" s="21">
        <v>27569.09</v>
      </c>
      <c r="O860" t="s">
        <v>39</v>
      </c>
      <c r="P860" s="21">
        <v>1689.81</v>
      </c>
      <c r="Q860" t="s">
        <v>30</v>
      </c>
      <c r="R860" t="s">
        <v>31</v>
      </c>
      <c r="S860">
        <v>5</v>
      </c>
      <c r="T860">
        <v>3</v>
      </c>
      <c r="U860" t="s">
        <v>32</v>
      </c>
      <c r="V860" t="s">
        <v>33</v>
      </c>
      <c r="W860">
        <v>5</v>
      </c>
    </row>
    <row r="861" spans="1:23" x14ac:dyDescent="0.25">
      <c r="A861" t="s">
        <v>1404</v>
      </c>
      <c r="B861" s="1">
        <v>45808</v>
      </c>
      <c r="C861" t="s">
        <v>1405</v>
      </c>
      <c r="D861" t="s">
        <v>79</v>
      </c>
      <c r="E861" t="s">
        <v>26</v>
      </c>
      <c r="F861" t="s">
        <v>86</v>
      </c>
      <c r="G861" t="s">
        <v>87</v>
      </c>
      <c r="H861">
        <v>2</v>
      </c>
      <c r="I861" s="21">
        <v>28396</v>
      </c>
      <c r="J861">
        <v>15</v>
      </c>
      <c r="K861" s="21">
        <v>8518.7999999999993</v>
      </c>
      <c r="L861" s="21">
        <v>48273.2</v>
      </c>
      <c r="M861" s="21">
        <v>30428.94</v>
      </c>
      <c r="N861" s="21">
        <v>17844.259999999998</v>
      </c>
      <c r="O861" t="s">
        <v>91</v>
      </c>
      <c r="P861" s="21">
        <v>1939.9</v>
      </c>
      <c r="Q861" t="s">
        <v>68</v>
      </c>
      <c r="R861" t="s">
        <v>31</v>
      </c>
      <c r="S861">
        <v>5</v>
      </c>
      <c r="T861">
        <v>6</v>
      </c>
      <c r="U861" t="s">
        <v>56</v>
      </c>
      <c r="V861" t="s">
        <v>33</v>
      </c>
      <c r="W861">
        <v>4</v>
      </c>
    </row>
    <row r="862" spans="1:23" x14ac:dyDescent="0.25">
      <c r="A862" t="s">
        <v>1406</v>
      </c>
      <c r="B862" s="1">
        <v>45771</v>
      </c>
      <c r="C862" t="s">
        <v>914</v>
      </c>
      <c r="D862" t="s">
        <v>124</v>
      </c>
      <c r="E862" t="s">
        <v>46</v>
      </c>
      <c r="F862" t="s">
        <v>86</v>
      </c>
      <c r="G862" t="s">
        <v>110</v>
      </c>
      <c r="H862">
        <v>2</v>
      </c>
      <c r="I862" s="21">
        <v>11344</v>
      </c>
      <c r="J862">
        <v>15</v>
      </c>
      <c r="K862" s="21">
        <v>3403.2</v>
      </c>
      <c r="L862" s="21">
        <v>19284.8</v>
      </c>
      <c r="M862" s="21">
        <v>11422.41</v>
      </c>
      <c r="N862" s="21">
        <v>7862.39</v>
      </c>
      <c r="O862" t="s">
        <v>55</v>
      </c>
      <c r="P862" s="21">
        <v>2208.9699999999998</v>
      </c>
      <c r="Q862" t="s">
        <v>68</v>
      </c>
      <c r="R862" t="s">
        <v>41</v>
      </c>
      <c r="S862">
        <v>2</v>
      </c>
      <c r="T862">
        <v>2</v>
      </c>
      <c r="U862" t="s">
        <v>32</v>
      </c>
      <c r="V862" t="s">
        <v>33</v>
      </c>
      <c r="W862">
        <v>5</v>
      </c>
    </row>
    <row r="863" spans="1:23" x14ac:dyDescent="0.25">
      <c r="A863" t="s">
        <v>1407</v>
      </c>
      <c r="B863" s="1">
        <v>45865</v>
      </c>
      <c r="C863" t="s">
        <v>470</v>
      </c>
      <c r="D863" t="s">
        <v>25</v>
      </c>
      <c r="E863" t="s">
        <v>26</v>
      </c>
      <c r="F863" t="s">
        <v>27</v>
      </c>
      <c r="G863" t="s">
        <v>76</v>
      </c>
      <c r="H863">
        <v>1</v>
      </c>
      <c r="I863" s="21">
        <v>18895</v>
      </c>
      <c r="J863">
        <v>10</v>
      </c>
      <c r="K863" s="21">
        <v>1889.5</v>
      </c>
      <c r="L863" s="21">
        <v>17005.5</v>
      </c>
      <c r="M863" s="21">
        <v>11241.01</v>
      </c>
      <c r="N863" s="21">
        <v>5764.49</v>
      </c>
      <c r="O863" t="s">
        <v>29</v>
      </c>
      <c r="P863" s="21">
        <v>1524.13</v>
      </c>
      <c r="Q863" t="s">
        <v>40</v>
      </c>
      <c r="R863" t="s">
        <v>41</v>
      </c>
      <c r="S863">
        <v>2</v>
      </c>
      <c r="T863">
        <v>1</v>
      </c>
      <c r="U863" t="s">
        <v>32</v>
      </c>
      <c r="V863" t="s">
        <v>33</v>
      </c>
      <c r="W863">
        <v>5</v>
      </c>
    </row>
    <row r="864" spans="1:23" x14ac:dyDescent="0.25">
      <c r="A864" t="s">
        <v>1408</v>
      </c>
      <c r="B864" s="1">
        <v>46012</v>
      </c>
      <c r="C864" t="s">
        <v>661</v>
      </c>
      <c r="D864" t="s">
        <v>79</v>
      </c>
      <c r="E864" t="s">
        <v>46</v>
      </c>
      <c r="F864" t="s">
        <v>37</v>
      </c>
      <c r="G864" t="s">
        <v>224</v>
      </c>
      <c r="H864">
        <v>2</v>
      </c>
      <c r="I864" s="21">
        <v>12798</v>
      </c>
      <c r="J864">
        <v>20</v>
      </c>
      <c r="K864" s="21">
        <v>5119.2</v>
      </c>
      <c r="L864" s="21">
        <v>20476.8</v>
      </c>
      <c r="M864" s="21">
        <v>14635.3</v>
      </c>
      <c r="N864" s="21">
        <v>5841.5</v>
      </c>
      <c r="O864" t="s">
        <v>39</v>
      </c>
      <c r="P864" s="21">
        <v>981.84</v>
      </c>
      <c r="Q864" t="s">
        <v>73</v>
      </c>
      <c r="R864" t="s">
        <v>31</v>
      </c>
      <c r="S864">
        <v>5</v>
      </c>
      <c r="T864">
        <v>5</v>
      </c>
      <c r="U864" t="s">
        <v>32</v>
      </c>
      <c r="V864" t="s">
        <v>50</v>
      </c>
      <c r="W864">
        <v>5</v>
      </c>
    </row>
    <row r="865" spans="1:23" x14ac:dyDescent="0.25">
      <c r="A865" t="s">
        <v>1409</v>
      </c>
      <c r="B865" s="1">
        <v>45782</v>
      </c>
      <c r="C865" t="s">
        <v>62</v>
      </c>
      <c r="D865" t="s">
        <v>124</v>
      </c>
      <c r="E865" t="s">
        <v>46</v>
      </c>
      <c r="F865" t="s">
        <v>53</v>
      </c>
      <c r="G865" t="s">
        <v>59</v>
      </c>
      <c r="H865">
        <v>2</v>
      </c>
      <c r="I865" s="21">
        <v>55538</v>
      </c>
      <c r="J865">
        <v>0</v>
      </c>
      <c r="K865" s="21">
        <v>0</v>
      </c>
      <c r="L865" s="21">
        <v>111076</v>
      </c>
      <c r="M865" s="21">
        <v>72929.66</v>
      </c>
      <c r="N865" s="21">
        <v>38146.339999999997</v>
      </c>
      <c r="O865" t="s">
        <v>91</v>
      </c>
      <c r="P865" s="21">
        <v>435</v>
      </c>
      <c r="Q865" t="s">
        <v>83</v>
      </c>
      <c r="R865" t="s">
        <v>31</v>
      </c>
      <c r="S865">
        <v>5</v>
      </c>
      <c r="T865">
        <v>8</v>
      </c>
      <c r="U865" t="s">
        <v>56</v>
      </c>
      <c r="V865" t="s">
        <v>33</v>
      </c>
      <c r="W865">
        <v>5</v>
      </c>
    </row>
    <row r="866" spans="1:23" x14ac:dyDescent="0.25">
      <c r="A866" t="s">
        <v>1410</v>
      </c>
      <c r="B866" s="1">
        <v>45814</v>
      </c>
      <c r="C866" t="s">
        <v>1411</v>
      </c>
      <c r="D866" t="s">
        <v>67</v>
      </c>
      <c r="E866" t="s">
        <v>36</v>
      </c>
      <c r="F866" t="s">
        <v>37</v>
      </c>
      <c r="G866" t="s">
        <v>100</v>
      </c>
      <c r="H866">
        <v>1</v>
      </c>
      <c r="I866" s="21">
        <v>9991</v>
      </c>
      <c r="J866">
        <v>5</v>
      </c>
      <c r="K866" s="21">
        <v>499.55</v>
      </c>
      <c r="L866" s="21">
        <v>9491.4500000000007</v>
      </c>
      <c r="M866" s="21">
        <v>6482.63</v>
      </c>
      <c r="N866" s="21">
        <v>3008.82</v>
      </c>
      <c r="O866" t="s">
        <v>49</v>
      </c>
      <c r="P866" s="21">
        <v>195.36</v>
      </c>
      <c r="Q866" t="s">
        <v>68</v>
      </c>
      <c r="R866" t="s">
        <v>41</v>
      </c>
      <c r="S866">
        <v>2</v>
      </c>
      <c r="T866">
        <v>1</v>
      </c>
      <c r="U866" t="s">
        <v>32</v>
      </c>
      <c r="V866" t="s">
        <v>33</v>
      </c>
      <c r="W866">
        <v>5</v>
      </c>
    </row>
    <row r="867" spans="1:23" x14ac:dyDescent="0.25">
      <c r="A867" t="s">
        <v>1412</v>
      </c>
      <c r="B867" s="1">
        <v>45997</v>
      </c>
      <c r="C867" t="s">
        <v>572</v>
      </c>
      <c r="D867" t="s">
        <v>79</v>
      </c>
      <c r="E867" t="s">
        <v>36</v>
      </c>
      <c r="F867" t="s">
        <v>53</v>
      </c>
      <c r="G867" t="s">
        <v>54</v>
      </c>
      <c r="H867">
        <v>2</v>
      </c>
      <c r="I867" s="21">
        <v>75176</v>
      </c>
      <c r="J867">
        <v>20</v>
      </c>
      <c r="K867" s="21">
        <v>30070.400000000001</v>
      </c>
      <c r="L867" s="21">
        <v>120281.60000000001</v>
      </c>
      <c r="M867" s="21">
        <v>97355.9</v>
      </c>
      <c r="N867" s="21">
        <v>22925.7</v>
      </c>
      <c r="O867" t="s">
        <v>55</v>
      </c>
      <c r="P867" s="21">
        <v>2296.48</v>
      </c>
      <c r="Q867" t="s">
        <v>68</v>
      </c>
      <c r="R867" t="s">
        <v>31</v>
      </c>
      <c r="S867">
        <v>5</v>
      </c>
      <c r="T867">
        <v>4</v>
      </c>
      <c r="U867" t="s">
        <v>32</v>
      </c>
      <c r="V867" t="s">
        <v>33</v>
      </c>
      <c r="W867">
        <v>1</v>
      </c>
    </row>
    <row r="868" spans="1:23" x14ac:dyDescent="0.25">
      <c r="A868" t="s">
        <v>1413</v>
      </c>
      <c r="B868" s="1">
        <v>45955</v>
      </c>
      <c r="C868" t="s">
        <v>364</v>
      </c>
      <c r="D868" t="s">
        <v>25</v>
      </c>
      <c r="E868" t="s">
        <v>46</v>
      </c>
      <c r="F868" t="s">
        <v>53</v>
      </c>
      <c r="G868" t="s">
        <v>151</v>
      </c>
      <c r="H868">
        <v>1</v>
      </c>
      <c r="I868" s="21">
        <v>87275</v>
      </c>
      <c r="J868">
        <v>10</v>
      </c>
      <c r="K868" s="21">
        <v>8727.5</v>
      </c>
      <c r="L868" s="21">
        <v>78547.5</v>
      </c>
      <c r="M868" s="21">
        <v>53217.01</v>
      </c>
      <c r="N868" s="21">
        <v>25330.49</v>
      </c>
      <c r="O868" t="s">
        <v>60</v>
      </c>
      <c r="P868" s="21">
        <v>852.39</v>
      </c>
      <c r="Q868" t="s">
        <v>40</v>
      </c>
      <c r="R868" t="s">
        <v>41</v>
      </c>
      <c r="S868">
        <v>2</v>
      </c>
      <c r="T868">
        <v>2</v>
      </c>
      <c r="U868" t="s">
        <v>32</v>
      </c>
      <c r="V868" t="s">
        <v>50</v>
      </c>
      <c r="W868">
        <v>5</v>
      </c>
    </row>
    <row r="869" spans="1:23" x14ac:dyDescent="0.25">
      <c r="A869" t="s">
        <v>1414</v>
      </c>
      <c r="B869" s="1">
        <v>45846</v>
      </c>
      <c r="C869" t="s">
        <v>166</v>
      </c>
      <c r="D869" t="s">
        <v>45</v>
      </c>
      <c r="E869" t="s">
        <v>46</v>
      </c>
      <c r="F869" t="s">
        <v>53</v>
      </c>
      <c r="G869" t="s">
        <v>54</v>
      </c>
      <c r="H869">
        <v>1</v>
      </c>
      <c r="I869" s="21">
        <v>112819</v>
      </c>
      <c r="J869">
        <v>10</v>
      </c>
      <c r="K869" s="21">
        <v>11281.9</v>
      </c>
      <c r="L869" s="21">
        <v>101537.1</v>
      </c>
      <c r="M869" s="21">
        <v>72395.62</v>
      </c>
      <c r="N869" s="21">
        <v>29141.48</v>
      </c>
      <c r="O869" t="s">
        <v>49</v>
      </c>
      <c r="P869" s="21">
        <v>292.64999999999998</v>
      </c>
      <c r="Q869" t="s">
        <v>68</v>
      </c>
      <c r="R869" t="s">
        <v>41</v>
      </c>
      <c r="S869">
        <v>2</v>
      </c>
      <c r="T869">
        <v>2</v>
      </c>
      <c r="U869" t="s">
        <v>32</v>
      </c>
      <c r="V869" t="s">
        <v>33</v>
      </c>
      <c r="W869">
        <v>1</v>
      </c>
    </row>
    <row r="870" spans="1:23" x14ac:dyDescent="0.25">
      <c r="A870" t="s">
        <v>1415</v>
      </c>
      <c r="B870" s="1">
        <v>45900</v>
      </c>
      <c r="C870" t="s">
        <v>563</v>
      </c>
      <c r="D870" t="s">
        <v>67</v>
      </c>
      <c r="E870" t="s">
        <v>36</v>
      </c>
      <c r="F870" t="s">
        <v>47</v>
      </c>
      <c r="G870" t="s">
        <v>105</v>
      </c>
      <c r="H870">
        <v>2</v>
      </c>
      <c r="I870" s="21">
        <v>33691</v>
      </c>
      <c r="J870">
        <v>5</v>
      </c>
      <c r="K870" s="21">
        <v>3369.1</v>
      </c>
      <c r="L870" s="21">
        <v>64012.9</v>
      </c>
      <c r="M870" s="21">
        <v>45690.71</v>
      </c>
      <c r="N870" s="21">
        <v>18322.189999999999</v>
      </c>
      <c r="O870" t="s">
        <v>39</v>
      </c>
      <c r="P870" s="21">
        <v>752.33</v>
      </c>
      <c r="Q870" t="s">
        <v>73</v>
      </c>
      <c r="R870" t="s">
        <v>31</v>
      </c>
      <c r="S870">
        <v>5</v>
      </c>
      <c r="T870">
        <v>0</v>
      </c>
      <c r="U870" t="s">
        <v>32</v>
      </c>
      <c r="V870" t="s">
        <v>42</v>
      </c>
    </row>
    <row r="871" spans="1:23" x14ac:dyDescent="0.25">
      <c r="A871" t="s">
        <v>1416</v>
      </c>
      <c r="B871" s="1">
        <v>45941</v>
      </c>
      <c r="C871" t="s">
        <v>1026</v>
      </c>
      <c r="D871" t="s">
        <v>79</v>
      </c>
      <c r="E871" t="s">
        <v>46</v>
      </c>
      <c r="F871" t="s">
        <v>86</v>
      </c>
      <c r="G871" t="s">
        <v>94</v>
      </c>
      <c r="H871">
        <v>1</v>
      </c>
      <c r="I871" s="21">
        <v>44528</v>
      </c>
      <c r="J871">
        <v>25</v>
      </c>
      <c r="K871" s="21">
        <v>11132</v>
      </c>
      <c r="L871" s="21">
        <v>33396</v>
      </c>
      <c r="M871" s="21">
        <v>22039.919999999998</v>
      </c>
      <c r="N871" s="21">
        <v>11356.08</v>
      </c>
      <c r="O871" t="s">
        <v>55</v>
      </c>
      <c r="P871" s="21">
        <v>1650.1</v>
      </c>
      <c r="Q871" t="s">
        <v>73</v>
      </c>
      <c r="R871" t="s">
        <v>31</v>
      </c>
      <c r="S871">
        <v>5</v>
      </c>
      <c r="T871">
        <v>6</v>
      </c>
      <c r="U871" t="s">
        <v>32</v>
      </c>
      <c r="V871" t="s">
        <v>50</v>
      </c>
      <c r="W871">
        <v>3</v>
      </c>
    </row>
    <row r="872" spans="1:23" x14ac:dyDescent="0.25">
      <c r="A872" t="s">
        <v>1417</v>
      </c>
      <c r="B872" s="1">
        <v>45929</v>
      </c>
      <c r="C872" t="s">
        <v>702</v>
      </c>
      <c r="D872" t="s">
        <v>71</v>
      </c>
      <c r="E872" t="s">
        <v>36</v>
      </c>
      <c r="F872" t="s">
        <v>47</v>
      </c>
      <c r="G872" t="s">
        <v>105</v>
      </c>
      <c r="H872">
        <v>2</v>
      </c>
      <c r="I872" s="21">
        <v>52461</v>
      </c>
      <c r="J872">
        <v>15</v>
      </c>
      <c r="K872" s="21">
        <v>15738.3</v>
      </c>
      <c r="L872" s="21">
        <v>89183.7</v>
      </c>
      <c r="M872" s="21">
        <v>67840.509999999995</v>
      </c>
      <c r="N872" s="21">
        <v>21343.19</v>
      </c>
      <c r="O872" t="s">
        <v>60</v>
      </c>
      <c r="P872" s="21">
        <v>2212.11</v>
      </c>
      <c r="Q872" t="s">
        <v>83</v>
      </c>
      <c r="R872" t="s">
        <v>31</v>
      </c>
      <c r="S872">
        <v>5</v>
      </c>
      <c r="T872">
        <v>4</v>
      </c>
      <c r="U872" t="s">
        <v>32</v>
      </c>
      <c r="V872" t="s">
        <v>33</v>
      </c>
      <c r="W872">
        <v>2</v>
      </c>
    </row>
    <row r="873" spans="1:23" x14ac:dyDescent="0.25">
      <c r="A873" t="s">
        <v>1418</v>
      </c>
      <c r="B873" s="1">
        <v>45834</v>
      </c>
      <c r="C873" t="s">
        <v>81</v>
      </c>
      <c r="D873" t="s">
        <v>71</v>
      </c>
      <c r="E873" t="s">
        <v>36</v>
      </c>
      <c r="F873" t="s">
        <v>37</v>
      </c>
      <c r="G873" t="s">
        <v>161</v>
      </c>
      <c r="H873">
        <v>1</v>
      </c>
      <c r="I873" s="21">
        <v>33860</v>
      </c>
      <c r="J873">
        <v>0</v>
      </c>
      <c r="K873" s="21">
        <v>0</v>
      </c>
      <c r="L873" s="21">
        <v>33860</v>
      </c>
      <c r="M873" s="21">
        <v>21551.96</v>
      </c>
      <c r="N873" s="21">
        <v>12308.04</v>
      </c>
      <c r="O873" t="s">
        <v>60</v>
      </c>
      <c r="P873" s="21">
        <v>1965.47</v>
      </c>
      <c r="Q873" t="s">
        <v>73</v>
      </c>
      <c r="R873" t="s">
        <v>31</v>
      </c>
      <c r="S873">
        <v>5</v>
      </c>
      <c r="T873">
        <v>0</v>
      </c>
      <c r="U873" t="s">
        <v>32</v>
      </c>
      <c r="V873" t="s">
        <v>50</v>
      </c>
      <c r="W873">
        <v>2</v>
      </c>
    </row>
    <row r="874" spans="1:23" x14ac:dyDescent="0.25">
      <c r="A874" t="s">
        <v>1419</v>
      </c>
      <c r="B874" s="1">
        <v>45875</v>
      </c>
      <c r="C874" t="s">
        <v>66</v>
      </c>
      <c r="D874" t="s">
        <v>71</v>
      </c>
      <c r="E874" t="s">
        <v>26</v>
      </c>
      <c r="F874" t="s">
        <v>86</v>
      </c>
      <c r="G874" t="s">
        <v>94</v>
      </c>
      <c r="H874">
        <v>1</v>
      </c>
      <c r="I874" s="21">
        <v>69605</v>
      </c>
      <c r="J874">
        <v>5</v>
      </c>
      <c r="K874" s="21">
        <v>3480.25</v>
      </c>
      <c r="L874" s="21">
        <v>66124.75</v>
      </c>
      <c r="M874" s="21">
        <v>53935.21</v>
      </c>
      <c r="N874" s="21">
        <v>12189.54</v>
      </c>
      <c r="O874" t="s">
        <v>29</v>
      </c>
      <c r="P874" s="21">
        <v>2415.1999999999998</v>
      </c>
      <c r="Q874" t="s">
        <v>83</v>
      </c>
      <c r="R874" t="s">
        <v>41</v>
      </c>
      <c r="S874">
        <v>2</v>
      </c>
      <c r="T874">
        <v>1</v>
      </c>
      <c r="U874" t="s">
        <v>32</v>
      </c>
      <c r="V874" t="s">
        <v>33</v>
      </c>
      <c r="W874">
        <v>5</v>
      </c>
    </row>
    <row r="875" spans="1:23" x14ac:dyDescent="0.25">
      <c r="A875" t="s">
        <v>1420</v>
      </c>
      <c r="B875" s="1">
        <v>45939</v>
      </c>
      <c r="C875" t="s">
        <v>1421</v>
      </c>
      <c r="D875" t="s">
        <v>90</v>
      </c>
      <c r="E875" t="s">
        <v>36</v>
      </c>
      <c r="F875" t="s">
        <v>47</v>
      </c>
      <c r="G875" t="s">
        <v>48</v>
      </c>
      <c r="H875">
        <v>2</v>
      </c>
      <c r="I875" s="21">
        <v>26558</v>
      </c>
      <c r="J875">
        <v>0</v>
      </c>
      <c r="K875" s="21">
        <v>0</v>
      </c>
      <c r="L875" s="21">
        <v>53116</v>
      </c>
      <c r="M875" s="21">
        <v>35057.269999999997</v>
      </c>
      <c r="N875" s="21">
        <v>18058.73</v>
      </c>
      <c r="O875" t="s">
        <v>29</v>
      </c>
      <c r="P875" s="21">
        <v>1060.9000000000001</v>
      </c>
      <c r="Q875" t="s">
        <v>83</v>
      </c>
      <c r="R875" t="s">
        <v>31</v>
      </c>
      <c r="S875">
        <v>5</v>
      </c>
      <c r="T875">
        <v>3</v>
      </c>
      <c r="U875" t="s">
        <v>32</v>
      </c>
      <c r="V875" t="s">
        <v>33</v>
      </c>
      <c r="W875">
        <v>5</v>
      </c>
    </row>
    <row r="876" spans="1:23" x14ac:dyDescent="0.25">
      <c r="A876" t="s">
        <v>1422</v>
      </c>
      <c r="B876" s="1">
        <v>45827</v>
      </c>
      <c r="C876" t="s">
        <v>121</v>
      </c>
      <c r="D876" t="s">
        <v>67</v>
      </c>
      <c r="E876" t="s">
        <v>26</v>
      </c>
      <c r="F876" t="s">
        <v>53</v>
      </c>
      <c r="G876" t="s">
        <v>151</v>
      </c>
      <c r="H876">
        <v>2</v>
      </c>
      <c r="I876" s="21">
        <v>15224</v>
      </c>
      <c r="J876">
        <v>10</v>
      </c>
      <c r="K876" s="21">
        <v>3044.8</v>
      </c>
      <c r="L876" s="21">
        <v>27403.200000000001</v>
      </c>
      <c r="M876" s="21">
        <v>17186.09</v>
      </c>
      <c r="N876" s="21">
        <v>10217.11</v>
      </c>
      <c r="O876" t="s">
        <v>49</v>
      </c>
      <c r="P876" s="21">
        <v>497.91</v>
      </c>
      <c r="Q876" t="s">
        <v>73</v>
      </c>
      <c r="R876" t="s">
        <v>31</v>
      </c>
      <c r="S876">
        <v>5</v>
      </c>
      <c r="T876">
        <v>4</v>
      </c>
      <c r="U876" t="s">
        <v>32</v>
      </c>
      <c r="V876" t="s">
        <v>33</v>
      </c>
      <c r="W876">
        <v>5</v>
      </c>
    </row>
    <row r="877" spans="1:23" x14ac:dyDescent="0.25">
      <c r="A877" t="s">
        <v>1423</v>
      </c>
      <c r="B877" s="1">
        <v>45838</v>
      </c>
      <c r="C877" t="s">
        <v>1424</v>
      </c>
      <c r="D877" t="s">
        <v>45</v>
      </c>
      <c r="E877" t="s">
        <v>26</v>
      </c>
      <c r="F877" t="s">
        <v>37</v>
      </c>
      <c r="G877" t="s">
        <v>161</v>
      </c>
      <c r="H877">
        <v>3</v>
      </c>
      <c r="I877" s="21">
        <v>28632</v>
      </c>
      <c r="J877">
        <v>10</v>
      </c>
      <c r="K877" s="21">
        <v>8589.6</v>
      </c>
      <c r="L877" s="21">
        <v>77306.399999999994</v>
      </c>
      <c r="M877" s="21">
        <v>59848.77</v>
      </c>
      <c r="N877" s="21">
        <v>17457.63</v>
      </c>
      <c r="O877" t="s">
        <v>49</v>
      </c>
      <c r="P877" s="21">
        <v>183</v>
      </c>
      <c r="Q877" t="s">
        <v>40</v>
      </c>
      <c r="R877" t="s">
        <v>41</v>
      </c>
      <c r="S877">
        <v>2</v>
      </c>
      <c r="T877">
        <v>0</v>
      </c>
      <c r="U877" t="s">
        <v>32</v>
      </c>
      <c r="V877" t="s">
        <v>50</v>
      </c>
      <c r="W877">
        <v>5</v>
      </c>
    </row>
    <row r="878" spans="1:23" x14ac:dyDescent="0.25">
      <c r="A878" t="s">
        <v>1425</v>
      </c>
      <c r="B878" s="1">
        <v>46017</v>
      </c>
      <c r="C878" t="s">
        <v>249</v>
      </c>
      <c r="D878" t="s">
        <v>45</v>
      </c>
      <c r="E878" t="s">
        <v>46</v>
      </c>
      <c r="F878" t="s">
        <v>86</v>
      </c>
      <c r="G878" t="s">
        <v>110</v>
      </c>
      <c r="H878">
        <v>2</v>
      </c>
      <c r="I878" s="21">
        <v>71593</v>
      </c>
      <c r="J878">
        <v>0</v>
      </c>
      <c r="K878" s="21">
        <v>0</v>
      </c>
      <c r="L878" s="21">
        <v>143186</v>
      </c>
      <c r="M878" s="21">
        <v>113180.76</v>
      </c>
      <c r="N878" s="21">
        <v>30005.24</v>
      </c>
      <c r="O878" t="s">
        <v>91</v>
      </c>
      <c r="P878" s="21">
        <v>1994.77</v>
      </c>
      <c r="Q878" t="s">
        <v>68</v>
      </c>
      <c r="R878" t="s">
        <v>31</v>
      </c>
      <c r="S878">
        <v>5</v>
      </c>
      <c r="T878">
        <v>3</v>
      </c>
      <c r="U878" t="s">
        <v>32</v>
      </c>
      <c r="V878" t="s">
        <v>33</v>
      </c>
      <c r="W878">
        <v>5</v>
      </c>
    </row>
    <row r="879" spans="1:23" x14ac:dyDescent="0.25">
      <c r="A879" t="s">
        <v>1426</v>
      </c>
      <c r="B879" s="1">
        <v>45890</v>
      </c>
      <c r="C879" t="s">
        <v>1001</v>
      </c>
      <c r="D879" t="s">
        <v>71</v>
      </c>
      <c r="E879" t="s">
        <v>26</v>
      </c>
      <c r="F879" t="s">
        <v>86</v>
      </c>
      <c r="G879" t="s">
        <v>87</v>
      </c>
      <c r="H879">
        <v>3</v>
      </c>
      <c r="I879" s="21">
        <v>9009</v>
      </c>
      <c r="J879">
        <v>0</v>
      </c>
      <c r="K879" s="21">
        <v>0</v>
      </c>
      <c r="L879" s="21">
        <v>27027</v>
      </c>
      <c r="M879" s="21">
        <v>17769.13</v>
      </c>
      <c r="N879" s="21">
        <v>9257.8700000000008</v>
      </c>
      <c r="O879" t="s">
        <v>29</v>
      </c>
      <c r="P879" s="21">
        <v>1160.72</v>
      </c>
      <c r="Q879" t="s">
        <v>83</v>
      </c>
      <c r="R879" t="s">
        <v>41</v>
      </c>
      <c r="S879">
        <v>2</v>
      </c>
      <c r="T879">
        <v>2</v>
      </c>
      <c r="U879" t="s">
        <v>32</v>
      </c>
      <c r="V879" t="s">
        <v>33</v>
      </c>
      <c r="W879">
        <v>5</v>
      </c>
    </row>
    <row r="880" spans="1:23" x14ac:dyDescent="0.25">
      <c r="A880" t="s">
        <v>1427</v>
      </c>
      <c r="B880" s="1">
        <v>45796</v>
      </c>
      <c r="C880" t="s">
        <v>927</v>
      </c>
      <c r="D880" t="s">
        <v>63</v>
      </c>
      <c r="E880" t="s">
        <v>36</v>
      </c>
      <c r="F880" t="s">
        <v>27</v>
      </c>
      <c r="G880" t="s">
        <v>76</v>
      </c>
      <c r="H880">
        <v>2</v>
      </c>
      <c r="I880" s="21">
        <v>14175</v>
      </c>
      <c r="J880">
        <v>5</v>
      </c>
      <c r="K880" s="21">
        <v>1417.5</v>
      </c>
      <c r="L880" s="21">
        <v>26932.5</v>
      </c>
      <c r="M880" s="21">
        <v>21346.720000000001</v>
      </c>
      <c r="N880" s="21">
        <v>5585.78</v>
      </c>
      <c r="O880" t="s">
        <v>29</v>
      </c>
      <c r="P880" s="21">
        <v>2263.25</v>
      </c>
      <c r="Q880" t="s">
        <v>83</v>
      </c>
      <c r="R880" t="s">
        <v>31</v>
      </c>
      <c r="S880">
        <v>5</v>
      </c>
      <c r="T880">
        <v>5</v>
      </c>
      <c r="U880" t="s">
        <v>32</v>
      </c>
      <c r="V880" t="s">
        <v>42</v>
      </c>
    </row>
    <row r="881" spans="1:23" x14ac:dyDescent="0.25">
      <c r="A881" t="s">
        <v>1428</v>
      </c>
      <c r="B881" s="1">
        <v>45814</v>
      </c>
      <c r="C881" t="s">
        <v>390</v>
      </c>
      <c r="D881" t="s">
        <v>71</v>
      </c>
      <c r="E881" t="s">
        <v>46</v>
      </c>
      <c r="F881" t="s">
        <v>86</v>
      </c>
      <c r="G881" t="s">
        <v>180</v>
      </c>
      <c r="H881">
        <v>1</v>
      </c>
      <c r="I881" s="21">
        <v>62904</v>
      </c>
      <c r="J881">
        <v>25</v>
      </c>
      <c r="K881" s="21">
        <v>15726</v>
      </c>
      <c r="L881" s="21">
        <v>47178</v>
      </c>
      <c r="M881" s="21">
        <v>36196.76</v>
      </c>
      <c r="N881" s="21">
        <v>10981.24</v>
      </c>
      <c r="O881" t="s">
        <v>49</v>
      </c>
      <c r="P881" s="21">
        <v>393.4</v>
      </c>
      <c r="Q881" t="s">
        <v>40</v>
      </c>
      <c r="R881" t="s">
        <v>41</v>
      </c>
      <c r="S881">
        <v>2</v>
      </c>
      <c r="T881">
        <v>4</v>
      </c>
      <c r="U881" t="s">
        <v>56</v>
      </c>
      <c r="V881" t="s">
        <v>33</v>
      </c>
      <c r="W881">
        <v>5</v>
      </c>
    </row>
    <row r="882" spans="1:23" x14ac:dyDescent="0.25">
      <c r="A882" t="s">
        <v>1429</v>
      </c>
      <c r="B882" s="1">
        <v>45786</v>
      </c>
      <c r="C882" t="s">
        <v>1291</v>
      </c>
      <c r="D882" t="s">
        <v>79</v>
      </c>
      <c r="E882" t="s">
        <v>46</v>
      </c>
      <c r="F882" t="s">
        <v>47</v>
      </c>
      <c r="G882" t="s">
        <v>105</v>
      </c>
      <c r="H882">
        <v>1</v>
      </c>
      <c r="I882" s="21">
        <v>48310</v>
      </c>
      <c r="J882">
        <v>25</v>
      </c>
      <c r="K882" s="21">
        <v>12077.5</v>
      </c>
      <c r="L882" s="21">
        <v>36232.5</v>
      </c>
      <c r="M882" s="21">
        <v>24642.48</v>
      </c>
      <c r="N882" s="21">
        <v>11590.02</v>
      </c>
      <c r="O882" t="s">
        <v>29</v>
      </c>
      <c r="P882" s="21">
        <v>2110.41</v>
      </c>
      <c r="Q882" t="s">
        <v>68</v>
      </c>
      <c r="R882" t="s">
        <v>31</v>
      </c>
      <c r="S882">
        <v>5</v>
      </c>
      <c r="T882">
        <v>10</v>
      </c>
      <c r="U882" t="s">
        <v>56</v>
      </c>
      <c r="V882" t="s">
        <v>33</v>
      </c>
      <c r="W882">
        <v>5</v>
      </c>
    </row>
    <row r="883" spans="1:23" x14ac:dyDescent="0.25">
      <c r="A883" t="s">
        <v>1430</v>
      </c>
      <c r="B883" s="1">
        <v>45776</v>
      </c>
      <c r="C883" t="s">
        <v>368</v>
      </c>
      <c r="D883" t="s">
        <v>45</v>
      </c>
      <c r="E883" t="s">
        <v>36</v>
      </c>
      <c r="F883" t="s">
        <v>47</v>
      </c>
      <c r="G883" t="s">
        <v>64</v>
      </c>
      <c r="H883">
        <v>2</v>
      </c>
      <c r="I883" s="21">
        <v>19585</v>
      </c>
      <c r="J883">
        <v>0</v>
      </c>
      <c r="K883" s="21">
        <v>0</v>
      </c>
      <c r="L883" s="21">
        <v>39170</v>
      </c>
      <c r="M883" s="21">
        <v>24088.07</v>
      </c>
      <c r="N883" s="21">
        <v>15081.93</v>
      </c>
      <c r="O883" t="s">
        <v>39</v>
      </c>
      <c r="P883" s="21">
        <v>2267.69</v>
      </c>
      <c r="Q883" t="s">
        <v>83</v>
      </c>
      <c r="R883" t="s">
        <v>41</v>
      </c>
      <c r="S883">
        <v>2</v>
      </c>
      <c r="T883">
        <v>1</v>
      </c>
      <c r="U883" t="s">
        <v>32</v>
      </c>
      <c r="V883" t="s">
        <v>33</v>
      </c>
      <c r="W883">
        <v>5</v>
      </c>
    </row>
    <row r="884" spans="1:23" x14ac:dyDescent="0.25">
      <c r="A884" t="s">
        <v>1431</v>
      </c>
      <c r="B884" s="1">
        <v>45719</v>
      </c>
      <c r="C884" t="s">
        <v>538</v>
      </c>
      <c r="D884" t="s">
        <v>90</v>
      </c>
      <c r="E884" t="s">
        <v>26</v>
      </c>
      <c r="F884" t="s">
        <v>47</v>
      </c>
      <c r="G884" t="s">
        <v>105</v>
      </c>
      <c r="H884">
        <v>1</v>
      </c>
      <c r="I884" s="21">
        <v>32603</v>
      </c>
      <c r="J884">
        <v>0</v>
      </c>
      <c r="K884" s="21">
        <v>0</v>
      </c>
      <c r="L884" s="21">
        <v>32603</v>
      </c>
      <c r="M884" s="21">
        <v>25270.639999999999</v>
      </c>
      <c r="N884" s="21">
        <v>7332.36</v>
      </c>
      <c r="O884" t="s">
        <v>55</v>
      </c>
      <c r="P884" s="21">
        <v>386.79</v>
      </c>
      <c r="Q884" t="s">
        <v>68</v>
      </c>
      <c r="R884" t="s">
        <v>31</v>
      </c>
      <c r="S884">
        <v>5</v>
      </c>
      <c r="T884">
        <v>4</v>
      </c>
      <c r="U884" t="s">
        <v>32</v>
      </c>
      <c r="V884" t="s">
        <v>33</v>
      </c>
      <c r="W884">
        <v>1</v>
      </c>
    </row>
    <row r="885" spans="1:23" x14ac:dyDescent="0.25">
      <c r="A885" t="s">
        <v>1432</v>
      </c>
      <c r="B885" s="1">
        <v>45756</v>
      </c>
      <c r="C885" t="s">
        <v>286</v>
      </c>
      <c r="D885" t="s">
        <v>90</v>
      </c>
      <c r="E885" t="s">
        <v>46</v>
      </c>
      <c r="F885" t="s">
        <v>37</v>
      </c>
      <c r="G885" t="s">
        <v>313</v>
      </c>
      <c r="H885">
        <v>1</v>
      </c>
      <c r="I885" s="21">
        <v>8794</v>
      </c>
      <c r="J885">
        <v>10</v>
      </c>
      <c r="K885" s="21">
        <v>879.4</v>
      </c>
      <c r="L885" s="21">
        <v>7914.6</v>
      </c>
      <c r="M885" s="21">
        <v>4469.12</v>
      </c>
      <c r="N885" s="21">
        <v>3445.48</v>
      </c>
      <c r="O885" t="s">
        <v>55</v>
      </c>
      <c r="P885" s="21">
        <v>1647.94</v>
      </c>
      <c r="Q885" t="s">
        <v>68</v>
      </c>
      <c r="R885" t="s">
        <v>31</v>
      </c>
      <c r="S885">
        <v>5</v>
      </c>
      <c r="T885">
        <v>7</v>
      </c>
      <c r="U885" t="s">
        <v>56</v>
      </c>
      <c r="V885" t="s">
        <v>33</v>
      </c>
      <c r="W885">
        <v>5</v>
      </c>
    </row>
    <row r="886" spans="1:23" x14ac:dyDescent="0.25">
      <c r="A886" t="s">
        <v>1433</v>
      </c>
      <c r="B886" s="1">
        <v>45819</v>
      </c>
      <c r="C886" t="s">
        <v>1046</v>
      </c>
      <c r="D886" t="s">
        <v>154</v>
      </c>
      <c r="E886" t="s">
        <v>26</v>
      </c>
      <c r="F886" t="s">
        <v>37</v>
      </c>
      <c r="G886" t="s">
        <v>100</v>
      </c>
      <c r="H886">
        <v>1</v>
      </c>
      <c r="I886" s="21">
        <v>32878</v>
      </c>
      <c r="J886">
        <v>20</v>
      </c>
      <c r="K886" s="21">
        <v>6575.6</v>
      </c>
      <c r="L886" s="21">
        <v>26302.400000000001</v>
      </c>
      <c r="M886" s="21">
        <v>18719.04</v>
      </c>
      <c r="N886" s="21">
        <v>7583.36</v>
      </c>
      <c r="O886" t="s">
        <v>55</v>
      </c>
      <c r="P886" s="21">
        <v>1842.93</v>
      </c>
      <c r="Q886" t="s">
        <v>30</v>
      </c>
      <c r="R886" t="s">
        <v>31</v>
      </c>
      <c r="S886">
        <v>5</v>
      </c>
      <c r="T886">
        <v>6</v>
      </c>
      <c r="U886" t="s">
        <v>56</v>
      </c>
      <c r="V886" t="s">
        <v>33</v>
      </c>
      <c r="W886">
        <v>1</v>
      </c>
    </row>
    <row r="887" spans="1:23" x14ac:dyDescent="0.25">
      <c r="A887" t="s">
        <v>1434</v>
      </c>
      <c r="B887" s="1">
        <v>45719</v>
      </c>
      <c r="C887" t="s">
        <v>1046</v>
      </c>
      <c r="D887" t="s">
        <v>154</v>
      </c>
      <c r="E887" t="s">
        <v>46</v>
      </c>
      <c r="F887" t="s">
        <v>47</v>
      </c>
      <c r="G887" t="s">
        <v>105</v>
      </c>
      <c r="H887">
        <v>1</v>
      </c>
      <c r="I887" s="21">
        <v>13033</v>
      </c>
      <c r="J887">
        <v>15</v>
      </c>
      <c r="K887" s="21">
        <v>1954.95</v>
      </c>
      <c r="L887" s="21">
        <v>11078.05</v>
      </c>
      <c r="M887" s="21">
        <v>8853.9599999999991</v>
      </c>
      <c r="N887" s="21">
        <v>2224.09</v>
      </c>
      <c r="O887" t="s">
        <v>29</v>
      </c>
      <c r="P887" s="21">
        <v>1988.8</v>
      </c>
      <c r="Q887" t="s">
        <v>83</v>
      </c>
      <c r="R887" t="s">
        <v>31</v>
      </c>
      <c r="S887">
        <v>5</v>
      </c>
      <c r="T887">
        <v>8</v>
      </c>
      <c r="U887" t="s">
        <v>56</v>
      </c>
      <c r="V887" t="s">
        <v>33</v>
      </c>
      <c r="W887">
        <v>5</v>
      </c>
    </row>
    <row r="888" spans="1:23" x14ac:dyDescent="0.25">
      <c r="A888" t="s">
        <v>1435</v>
      </c>
      <c r="B888" s="1">
        <v>45932</v>
      </c>
      <c r="C888" t="s">
        <v>1355</v>
      </c>
      <c r="D888" t="s">
        <v>63</v>
      </c>
      <c r="E888" t="s">
        <v>36</v>
      </c>
      <c r="F888" t="s">
        <v>27</v>
      </c>
      <c r="G888" t="s">
        <v>28</v>
      </c>
      <c r="H888">
        <v>1</v>
      </c>
      <c r="I888" s="21">
        <v>7847</v>
      </c>
      <c r="J888">
        <v>10</v>
      </c>
      <c r="K888" s="21">
        <v>784.7</v>
      </c>
      <c r="L888" s="21">
        <v>7062.3</v>
      </c>
      <c r="M888" s="21">
        <v>5247.49</v>
      </c>
      <c r="N888" s="21">
        <v>1814.81</v>
      </c>
      <c r="O888" t="s">
        <v>55</v>
      </c>
      <c r="P888" s="21">
        <v>2306.38</v>
      </c>
      <c r="Q888" t="s">
        <v>30</v>
      </c>
      <c r="R888" t="s">
        <v>31</v>
      </c>
      <c r="S888">
        <v>5</v>
      </c>
      <c r="T888">
        <v>6</v>
      </c>
      <c r="U888" t="s">
        <v>56</v>
      </c>
      <c r="V888" t="s">
        <v>33</v>
      </c>
      <c r="W888">
        <v>3</v>
      </c>
    </row>
    <row r="889" spans="1:23" x14ac:dyDescent="0.25">
      <c r="A889" t="s">
        <v>1436</v>
      </c>
      <c r="B889" s="1">
        <v>46011</v>
      </c>
      <c r="C889" t="s">
        <v>170</v>
      </c>
      <c r="D889" t="s">
        <v>79</v>
      </c>
      <c r="E889" t="s">
        <v>46</v>
      </c>
      <c r="F889" t="s">
        <v>53</v>
      </c>
      <c r="G889" t="s">
        <v>54</v>
      </c>
      <c r="H889">
        <v>2</v>
      </c>
      <c r="I889" s="21">
        <v>30531</v>
      </c>
      <c r="J889">
        <v>0</v>
      </c>
      <c r="K889" s="21">
        <v>0</v>
      </c>
      <c r="L889" s="21">
        <v>61062</v>
      </c>
      <c r="M889" s="21">
        <v>39846.25</v>
      </c>
      <c r="N889" s="21">
        <v>21215.75</v>
      </c>
      <c r="O889" t="s">
        <v>60</v>
      </c>
      <c r="P889" s="21">
        <v>2097.88</v>
      </c>
      <c r="Q889" t="s">
        <v>73</v>
      </c>
      <c r="R889" t="s">
        <v>41</v>
      </c>
      <c r="S889">
        <v>2</v>
      </c>
      <c r="T889">
        <v>1</v>
      </c>
      <c r="U889" t="s">
        <v>32</v>
      </c>
      <c r="V889" t="s">
        <v>33</v>
      </c>
      <c r="W889">
        <v>2</v>
      </c>
    </row>
    <row r="890" spans="1:23" x14ac:dyDescent="0.25">
      <c r="A890" t="s">
        <v>1437</v>
      </c>
      <c r="B890" s="1">
        <v>45752</v>
      </c>
      <c r="C890" t="s">
        <v>1438</v>
      </c>
      <c r="D890" t="s">
        <v>97</v>
      </c>
      <c r="E890" t="s">
        <v>36</v>
      </c>
      <c r="F890" t="s">
        <v>47</v>
      </c>
      <c r="G890" t="s">
        <v>105</v>
      </c>
      <c r="H890">
        <v>1</v>
      </c>
      <c r="I890" s="21">
        <v>21303</v>
      </c>
      <c r="J890">
        <v>10</v>
      </c>
      <c r="K890" s="21">
        <v>2130.3000000000002</v>
      </c>
      <c r="L890" s="21">
        <v>19172.7</v>
      </c>
      <c r="M890" s="21">
        <v>12134.72</v>
      </c>
      <c r="N890" s="21">
        <v>7037.98</v>
      </c>
      <c r="O890" t="s">
        <v>29</v>
      </c>
      <c r="P890" s="21">
        <v>2410.85</v>
      </c>
      <c r="Q890" t="s">
        <v>40</v>
      </c>
      <c r="R890" t="s">
        <v>31</v>
      </c>
      <c r="S890">
        <v>5</v>
      </c>
      <c r="T890">
        <v>5</v>
      </c>
      <c r="U890" t="s">
        <v>32</v>
      </c>
      <c r="V890" t="s">
        <v>42</v>
      </c>
    </row>
    <row r="891" spans="1:23" x14ac:dyDescent="0.25">
      <c r="A891" t="s">
        <v>1439</v>
      </c>
      <c r="B891" s="1">
        <v>45756</v>
      </c>
      <c r="C891" t="s">
        <v>535</v>
      </c>
      <c r="D891" t="s">
        <v>71</v>
      </c>
      <c r="E891" t="s">
        <v>26</v>
      </c>
      <c r="F891" t="s">
        <v>86</v>
      </c>
      <c r="G891" t="s">
        <v>180</v>
      </c>
      <c r="H891">
        <v>4</v>
      </c>
      <c r="I891" s="21">
        <v>42096</v>
      </c>
      <c r="J891">
        <v>5</v>
      </c>
      <c r="K891" s="21">
        <v>8419.2000000000007</v>
      </c>
      <c r="L891" s="21">
        <v>159964.79999999999</v>
      </c>
      <c r="M891" s="21">
        <v>107491.46</v>
      </c>
      <c r="N891" s="21">
        <v>52473.34</v>
      </c>
      <c r="O891" t="s">
        <v>39</v>
      </c>
      <c r="P891" s="21">
        <v>1116.23</v>
      </c>
      <c r="Q891" t="s">
        <v>40</v>
      </c>
      <c r="R891" t="s">
        <v>41</v>
      </c>
      <c r="S891">
        <v>2</v>
      </c>
      <c r="T891">
        <v>6</v>
      </c>
      <c r="U891" t="s">
        <v>32</v>
      </c>
      <c r="V891" t="s">
        <v>50</v>
      </c>
      <c r="W891">
        <v>1</v>
      </c>
    </row>
    <row r="892" spans="1:23" x14ac:dyDescent="0.25">
      <c r="A892" t="s">
        <v>1440</v>
      </c>
      <c r="B892" s="1">
        <v>45768</v>
      </c>
      <c r="C892" t="s">
        <v>543</v>
      </c>
      <c r="D892" t="s">
        <v>67</v>
      </c>
      <c r="E892" t="s">
        <v>26</v>
      </c>
      <c r="F892" t="s">
        <v>53</v>
      </c>
      <c r="G892" t="s">
        <v>268</v>
      </c>
      <c r="H892">
        <v>3</v>
      </c>
      <c r="I892" s="21">
        <v>18853</v>
      </c>
      <c r="J892">
        <v>20</v>
      </c>
      <c r="K892" s="21">
        <v>11311.8</v>
      </c>
      <c r="L892" s="21">
        <v>45247.199999999997</v>
      </c>
      <c r="M892" s="21">
        <v>35810.980000000003</v>
      </c>
      <c r="N892" s="21">
        <v>9436.2199999999993</v>
      </c>
      <c r="O892" t="s">
        <v>49</v>
      </c>
      <c r="P892" s="21">
        <v>332.72</v>
      </c>
      <c r="Q892" t="s">
        <v>73</v>
      </c>
      <c r="R892" t="s">
        <v>31</v>
      </c>
      <c r="S892">
        <v>5</v>
      </c>
      <c r="T892">
        <v>0</v>
      </c>
      <c r="U892" t="s">
        <v>32</v>
      </c>
      <c r="V892" t="s">
        <v>42</v>
      </c>
    </row>
    <row r="893" spans="1:23" x14ac:dyDescent="0.25">
      <c r="A893" t="s">
        <v>1441</v>
      </c>
      <c r="B893" s="1">
        <v>45905</v>
      </c>
      <c r="C893" t="s">
        <v>597</v>
      </c>
      <c r="D893" t="s">
        <v>45</v>
      </c>
      <c r="E893" t="s">
        <v>46</v>
      </c>
      <c r="F893" t="s">
        <v>37</v>
      </c>
      <c r="G893" t="s">
        <v>100</v>
      </c>
      <c r="H893">
        <v>2</v>
      </c>
      <c r="I893" s="21">
        <v>31919</v>
      </c>
      <c r="J893">
        <v>5</v>
      </c>
      <c r="K893" s="21">
        <v>3191.9</v>
      </c>
      <c r="L893" s="21">
        <v>60646.1</v>
      </c>
      <c r="M893" s="21">
        <v>47678.63</v>
      </c>
      <c r="N893" s="21">
        <v>12967.47</v>
      </c>
      <c r="O893" t="s">
        <v>29</v>
      </c>
      <c r="P893" s="21">
        <v>2150.5700000000002</v>
      </c>
      <c r="Q893" t="s">
        <v>68</v>
      </c>
      <c r="R893" t="s">
        <v>31</v>
      </c>
      <c r="S893">
        <v>5</v>
      </c>
      <c r="T893">
        <v>0</v>
      </c>
      <c r="U893" t="s">
        <v>32</v>
      </c>
      <c r="V893" t="s">
        <v>42</v>
      </c>
    </row>
    <row r="894" spans="1:23" x14ac:dyDescent="0.25">
      <c r="A894" t="s">
        <v>1442</v>
      </c>
      <c r="B894" s="1">
        <v>45799</v>
      </c>
      <c r="C894" t="s">
        <v>1443</v>
      </c>
      <c r="D894" t="s">
        <v>90</v>
      </c>
      <c r="E894" t="s">
        <v>46</v>
      </c>
      <c r="F894" t="s">
        <v>37</v>
      </c>
      <c r="G894" t="s">
        <v>313</v>
      </c>
      <c r="H894">
        <v>2</v>
      </c>
      <c r="I894" s="21">
        <v>39690</v>
      </c>
      <c r="J894">
        <v>15</v>
      </c>
      <c r="K894" s="21">
        <v>11907</v>
      </c>
      <c r="L894" s="21">
        <v>67473</v>
      </c>
      <c r="M894" s="21">
        <v>44447.9</v>
      </c>
      <c r="N894" s="21">
        <v>23025.1</v>
      </c>
      <c r="O894" t="s">
        <v>39</v>
      </c>
      <c r="P894" s="21">
        <v>1810.26</v>
      </c>
      <c r="Q894" t="s">
        <v>30</v>
      </c>
      <c r="R894" t="s">
        <v>41</v>
      </c>
      <c r="S894">
        <v>2</v>
      </c>
      <c r="T894">
        <v>4</v>
      </c>
      <c r="U894" t="s">
        <v>56</v>
      </c>
      <c r="V894" t="s">
        <v>33</v>
      </c>
      <c r="W894">
        <v>4</v>
      </c>
    </row>
    <row r="895" spans="1:23" x14ac:dyDescent="0.25">
      <c r="A895" t="s">
        <v>1444</v>
      </c>
      <c r="B895" s="1">
        <v>45959</v>
      </c>
      <c r="C895" t="s">
        <v>648</v>
      </c>
      <c r="D895" t="s">
        <v>97</v>
      </c>
      <c r="E895" t="s">
        <v>36</v>
      </c>
      <c r="F895" t="s">
        <v>27</v>
      </c>
      <c r="G895" t="s">
        <v>76</v>
      </c>
      <c r="H895">
        <v>1</v>
      </c>
      <c r="I895" s="21">
        <v>21215</v>
      </c>
      <c r="J895">
        <v>0</v>
      </c>
      <c r="K895" s="21">
        <v>0</v>
      </c>
      <c r="L895" s="21">
        <v>21215</v>
      </c>
      <c r="M895" s="21">
        <v>15442.52</v>
      </c>
      <c r="N895" s="21">
        <v>5772.48</v>
      </c>
      <c r="O895" t="s">
        <v>91</v>
      </c>
      <c r="P895" s="21">
        <v>1647.1</v>
      </c>
      <c r="Q895" t="s">
        <v>73</v>
      </c>
      <c r="R895" t="s">
        <v>31</v>
      </c>
      <c r="S895">
        <v>5</v>
      </c>
      <c r="T895">
        <v>7</v>
      </c>
      <c r="U895" t="s">
        <v>56</v>
      </c>
      <c r="V895" t="s">
        <v>33</v>
      </c>
      <c r="W895">
        <v>2</v>
      </c>
    </row>
    <row r="896" spans="1:23" x14ac:dyDescent="0.25">
      <c r="A896" t="s">
        <v>1445</v>
      </c>
      <c r="B896" s="1">
        <v>45926</v>
      </c>
      <c r="C896" t="s">
        <v>484</v>
      </c>
      <c r="D896" t="s">
        <v>25</v>
      </c>
      <c r="E896" t="s">
        <v>26</v>
      </c>
      <c r="F896" t="s">
        <v>47</v>
      </c>
      <c r="G896" t="s">
        <v>138</v>
      </c>
      <c r="H896">
        <v>1</v>
      </c>
      <c r="I896" s="21">
        <v>13874</v>
      </c>
      <c r="J896">
        <v>0</v>
      </c>
      <c r="K896" s="21">
        <v>0</v>
      </c>
      <c r="L896" s="21">
        <v>13874</v>
      </c>
      <c r="M896" s="21">
        <v>9589.24</v>
      </c>
      <c r="N896" s="21">
        <v>4284.76</v>
      </c>
      <c r="O896" t="s">
        <v>55</v>
      </c>
      <c r="P896" s="21">
        <v>519.11</v>
      </c>
      <c r="Q896" t="s">
        <v>40</v>
      </c>
      <c r="R896" t="s">
        <v>31</v>
      </c>
      <c r="S896">
        <v>5</v>
      </c>
      <c r="T896">
        <v>7</v>
      </c>
      <c r="U896" t="s">
        <v>56</v>
      </c>
      <c r="V896" t="s">
        <v>33</v>
      </c>
      <c r="W896">
        <v>5</v>
      </c>
    </row>
    <row r="897" spans="1:23" x14ac:dyDescent="0.25">
      <c r="A897" t="s">
        <v>1446</v>
      </c>
      <c r="B897" s="1">
        <v>45963</v>
      </c>
      <c r="C897" t="s">
        <v>1037</v>
      </c>
      <c r="D897" t="s">
        <v>97</v>
      </c>
      <c r="E897" t="s">
        <v>26</v>
      </c>
      <c r="F897" t="s">
        <v>27</v>
      </c>
      <c r="G897" t="s">
        <v>113</v>
      </c>
      <c r="H897">
        <v>2</v>
      </c>
      <c r="I897" s="21">
        <v>12963</v>
      </c>
      <c r="J897">
        <v>0</v>
      </c>
      <c r="K897" s="21">
        <v>0</v>
      </c>
      <c r="L897" s="21">
        <v>25926</v>
      </c>
      <c r="M897" s="21">
        <v>20930.93</v>
      </c>
      <c r="N897" s="21">
        <v>4995.07</v>
      </c>
      <c r="O897" t="s">
        <v>29</v>
      </c>
      <c r="P897" s="21">
        <v>961.03</v>
      </c>
      <c r="Q897" t="s">
        <v>83</v>
      </c>
      <c r="R897" t="s">
        <v>31</v>
      </c>
      <c r="S897">
        <v>5</v>
      </c>
      <c r="T897">
        <v>6</v>
      </c>
      <c r="U897" t="s">
        <v>56</v>
      </c>
      <c r="V897" t="s">
        <v>33</v>
      </c>
      <c r="W897">
        <v>5</v>
      </c>
    </row>
    <row r="898" spans="1:23" x14ac:dyDescent="0.25">
      <c r="A898" t="s">
        <v>1447</v>
      </c>
      <c r="B898" s="1">
        <v>45802</v>
      </c>
      <c r="C898" t="s">
        <v>290</v>
      </c>
      <c r="D898" t="s">
        <v>71</v>
      </c>
      <c r="E898" t="s">
        <v>26</v>
      </c>
      <c r="F898" t="s">
        <v>37</v>
      </c>
      <c r="G898" t="s">
        <v>161</v>
      </c>
      <c r="H898">
        <v>2</v>
      </c>
      <c r="I898" s="21">
        <v>26132</v>
      </c>
      <c r="J898">
        <v>25</v>
      </c>
      <c r="K898" s="21">
        <v>13066</v>
      </c>
      <c r="L898" s="21">
        <v>39198</v>
      </c>
      <c r="M898" s="21">
        <v>27417.279999999999</v>
      </c>
      <c r="N898" s="21">
        <v>11780.72</v>
      </c>
      <c r="O898" t="s">
        <v>49</v>
      </c>
      <c r="P898" s="21">
        <v>206.05</v>
      </c>
      <c r="Q898" t="s">
        <v>40</v>
      </c>
      <c r="R898" t="s">
        <v>31</v>
      </c>
      <c r="S898">
        <v>5</v>
      </c>
      <c r="T898">
        <v>4</v>
      </c>
      <c r="U898" t="s">
        <v>32</v>
      </c>
      <c r="V898" t="s">
        <v>33</v>
      </c>
      <c r="W898">
        <v>3</v>
      </c>
    </row>
    <row r="899" spans="1:23" x14ac:dyDescent="0.25">
      <c r="A899" t="s">
        <v>1448</v>
      </c>
      <c r="B899" s="1">
        <v>45709</v>
      </c>
      <c r="C899" t="s">
        <v>1449</v>
      </c>
      <c r="D899" t="s">
        <v>67</v>
      </c>
      <c r="E899" t="s">
        <v>46</v>
      </c>
      <c r="F899" t="s">
        <v>37</v>
      </c>
      <c r="G899" t="s">
        <v>100</v>
      </c>
      <c r="H899">
        <v>1</v>
      </c>
      <c r="I899" s="21">
        <v>35300</v>
      </c>
      <c r="J899">
        <v>5</v>
      </c>
      <c r="K899" s="21">
        <v>1765</v>
      </c>
      <c r="L899" s="21">
        <v>33535</v>
      </c>
      <c r="M899" s="21">
        <v>23327.040000000001</v>
      </c>
      <c r="N899" s="21">
        <v>10207.959999999999</v>
      </c>
      <c r="O899" t="s">
        <v>55</v>
      </c>
      <c r="P899" s="21">
        <v>1239.6099999999999</v>
      </c>
      <c r="Q899" t="s">
        <v>30</v>
      </c>
      <c r="R899" t="s">
        <v>31</v>
      </c>
      <c r="S899">
        <v>5</v>
      </c>
      <c r="T899">
        <v>0</v>
      </c>
      <c r="U899" t="s">
        <v>32</v>
      </c>
      <c r="V899" t="s">
        <v>50</v>
      </c>
      <c r="W899">
        <v>5</v>
      </c>
    </row>
    <row r="900" spans="1:23" x14ac:dyDescent="0.25">
      <c r="A900" t="s">
        <v>1450</v>
      </c>
      <c r="B900" s="1">
        <v>45757</v>
      </c>
      <c r="C900" t="s">
        <v>1451</v>
      </c>
      <c r="D900" t="s">
        <v>67</v>
      </c>
      <c r="E900" t="s">
        <v>26</v>
      </c>
      <c r="F900" t="s">
        <v>53</v>
      </c>
      <c r="G900" t="s">
        <v>82</v>
      </c>
      <c r="H900">
        <v>1</v>
      </c>
      <c r="I900" s="21">
        <v>80037</v>
      </c>
      <c r="J900">
        <v>20</v>
      </c>
      <c r="K900" s="21">
        <v>16007.4</v>
      </c>
      <c r="L900" s="21">
        <v>64029.599999999999</v>
      </c>
      <c r="M900" s="21">
        <v>47638.39</v>
      </c>
      <c r="N900" s="21">
        <v>16391.21</v>
      </c>
      <c r="O900" t="s">
        <v>60</v>
      </c>
      <c r="P900" s="21">
        <v>1387.07</v>
      </c>
      <c r="Q900" t="s">
        <v>68</v>
      </c>
      <c r="R900" t="s">
        <v>31</v>
      </c>
      <c r="S900">
        <v>5</v>
      </c>
      <c r="T900">
        <v>7</v>
      </c>
      <c r="U900" t="s">
        <v>56</v>
      </c>
      <c r="V900" t="s">
        <v>33</v>
      </c>
      <c r="W900">
        <v>3</v>
      </c>
    </row>
    <row r="901" spans="1:23" x14ac:dyDescent="0.25">
      <c r="A901" t="s">
        <v>1452</v>
      </c>
      <c r="B901" s="1">
        <v>45809</v>
      </c>
      <c r="C901" t="s">
        <v>494</v>
      </c>
      <c r="D901" t="s">
        <v>25</v>
      </c>
      <c r="E901" t="s">
        <v>26</v>
      </c>
      <c r="F901" t="s">
        <v>27</v>
      </c>
      <c r="G901" t="s">
        <v>164</v>
      </c>
      <c r="H901">
        <v>1</v>
      </c>
      <c r="I901" s="21">
        <v>15580</v>
      </c>
      <c r="J901">
        <v>10</v>
      </c>
      <c r="K901" s="21">
        <v>1558</v>
      </c>
      <c r="L901" s="21">
        <v>14022</v>
      </c>
      <c r="M901" s="21">
        <v>11055.16</v>
      </c>
      <c r="N901" s="21">
        <v>2966.84</v>
      </c>
      <c r="O901" t="s">
        <v>49</v>
      </c>
      <c r="P901" s="21">
        <v>221.42</v>
      </c>
      <c r="Q901" t="s">
        <v>40</v>
      </c>
      <c r="R901" t="s">
        <v>41</v>
      </c>
      <c r="S901">
        <v>2</v>
      </c>
      <c r="T901">
        <v>6</v>
      </c>
      <c r="U901" t="s">
        <v>32</v>
      </c>
      <c r="V901" t="s">
        <v>50</v>
      </c>
      <c r="W901">
        <v>4</v>
      </c>
    </row>
    <row r="902" spans="1:23" x14ac:dyDescent="0.25">
      <c r="A902" t="s">
        <v>1453</v>
      </c>
      <c r="B902" s="1">
        <v>45774</v>
      </c>
      <c r="C902" t="s">
        <v>804</v>
      </c>
      <c r="D902" t="s">
        <v>90</v>
      </c>
      <c r="E902" t="s">
        <v>26</v>
      </c>
      <c r="F902" t="s">
        <v>86</v>
      </c>
      <c r="G902" t="s">
        <v>127</v>
      </c>
      <c r="H902">
        <v>1</v>
      </c>
      <c r="I902" s="21">
        <v>50909</v>
      </c>
      <c r="J902">
        <v>10</v>
      </c>
      <c r="K902" s="21">
        <v>5090.8999999999996</v>
      </c>
      <c r="L902" s="21">
        <v>45818.1</v>
      </c>
      <c r="M902" s="21">
        <v>27458.34</v>
      </c>
      <c r="N902" s="21">
        <v>18359.759999999998</v>
      </c>
      <c r="O902" t="s">
        <v>55</v>
      </c>
      <c r="P902" s="21">
        <v>1565.27</v>
      </c>
      <c r="Q902" t="s">
        <v>68</v>
      </c>
      <c r="R902" t="s">
        <v>41</v>
      </c>
      <c r="S902">
        <v>2</v>
      </c>
      <c r="T902">
        <v>3</v>
      </c>
      <c r="U902" t="s">
        <v>32</v>
      </c>
      <c r="V902" t="s">
        <v>42</v>
      </c>
    </row>
    <row r="903" spans="1:23" x14ac:dyDescent="0.25">
      <c r="A903" t="s">
        <v>1454</v>
      </c>
      <c r="B903" s="1">
        <v>45842</v>
      </c>
      <c r="C903" t="s">
        <v>305</v>
      </c>
      <c r="D903" t="s">
        <v>154</v>
      </c>
      <c r="E903" t="s">
        <v>46</v>
      </c>
      <c r="F903" t="s">
        <v>47</v>
      </c>
      <c r="G903" t="s">
        <v>48</v>
      </c>
      <c r="H903">
        <v>3</v>
      </c>
      <c r="I903" s="21">
        <v>41911</v>
      </c>
      <c r="J903">
        <v>5</v>
      </c>
      <c r="K903" s="21">
        <v>6286.65</v>
      </c>
      <c r="L903" s="21">
        <v>119446.35</v>
      </c>
      <c r="M903" s="21">
        <v>93633.86</v>
      </c>
      <c r="N903" s="21">
        <v>25812.49</v>
      </c>
      <c r="O903" t="s">
        <v>49</v>
      </c>
      <c r="P903" s="21">
        <v>232.21</v>
      </c>
      <c r="Q903" t="s">
        <v>73</v>
      </c>
      <c r="R903" t="s">
        <v>31</v>
      </c>
      <c r="S903">
        <v>5</v>
      </c>
      <c r="T903">
        <v>4</v>
      </c>
      <c r="U903" t="s">
        <v>32</v>
      </c>
      <c r="V903" t="s">
        <v>33</v>
      </c>
      <c r="W903">
        <v>3</v>
      </c>
    </row>
    <row r="904" spans="1:23" x14ac:dyDescent="0.25">
      <c r="A904" t="s">
        <v>1455</v>
      </c>
      <c r="B904" s="1">
        <v>45749</v>
      </c>
      <c r="C904" t="s">
        <v>937</v>
      </c>
      <c r="D904" t="s">
        <v>97</v>
      </c>
      <c r="E904" t="s">
        <v>26</v>
      </c>
      <c r="F904" t="s">
        <v>53</v>
      </c>
      <c r="G904" t="s">
        <v>59</v>
      </c>
      <c r="H904">
        <v>3</v>
      </c>
      <c r="I904" s="21">
        <v>32317</v>
      </c>
      <c r="J904">
        <v>15</v>
      </c>
      <c r="K904" s="21">
        <v>14542.65</v>
      </c>
      <c r="L904" s="21">
        <v>82408.350000000006</v>
      </c>
      <c r="M904" s="21">
        <v>66374.77</v>
      </c>
      <c r="N904" s="21">
        <v>16033.58</v>
      </c>
      <c r="O904" t="s">
        <v>39</v>
      </c>
      <c r="P904" s="21">
        <v>1418.4</v>
      </c>
      <c r="Q904" t="s">
        <v>73</v>
      </c>
      <c r="R904" t="s">
        <v>31</v>
      </c>
      <c r="S904">
        <v>5</v>
      </c>
      <c r="T904">
        <v>5</v>
      </c>
      <c r="U904" t="s">
        <v>32</v>
      </c>
      <c r="V904" t="s">
        <v>33</v>
      </c>
      <c r="W904">
        <v>3</v>
      </c>
    </row>
    <row r="905" spans="1:23" x14ac:dyDescent="0.25">
      <c r="A905" t="s">
        <v>1456</v>
      </c>
      <c r="B905" s="1">
        <v>45812</v>
      </c>
      <c r="C905" t="s">
        <v>341</v>
      </c>
      <c r="D905" t="s">
        <v>79</v>
      </c>
      <c r="E905" t="s">
        <v>26</v>
      </c>
      <c r="F905" t="s">
        <v>53</v>
      </c>
      <c r="G905" t="s">
        <v>268</v>
      </c>
      <c r="H905">
        <v>1</v>
      </c>
      <c r="I905" s="21">
        <v>12363</v>
      </c>
      <c r="J905">
        <v>15</v>
      </c>
      <c r="K905" s="21">
        <v>1854.45</v>
      </c>
      <c r="L905" s="21">
        <v>10508.55</v>
      </c>
      <c r="M905" s="21">
        <v>8473.9500000000007</v>
      </c>
      <c r="N905" s="21">
        <v>2034.6</v>
      </c>
      <c r="O905" t="s">
        <v>29</v>
      </c>
      <c r="P905" s="21">
        <v>1602.73</v>
      </c>
      <c r="Q905" t="s">
        <v>30</v>
      </c>
      <c r="R905" t="s">
        <v>41</v>
      </c>
      <c r="S905">
        <v>2</v>
      </c>
      <c r="T905">
        <v>0</v>
      </c>
      <c r="U905" t="s">
        <v>32</v>
      </c>
      <c r="V905" t="s">
        <v>42</v>
      </c>
    </row>
    <row r="906" spans="1:23" x14ac:dyDescent="0.25">
      <c r="A906" t="s">
        <v>1457</v>
      </c>
      <c r="B906" s="1">
        <v>45665</v>
      </c>
      <c r="C906" t="s">
        <v>538</v>
      </c>
      <c r="D906" t="s">
        <v>90</v>
      </c>
      <c r="E906" t="s">
        <v>46</v>
      </c>
      <c r="F906" t="s">
        <v>86</v>
      </c>
      <c r="G906" t="s">
        <v>94</v>
      </c>
      <c r="H906">
        <v>2</v>
      </c>
      <c r="I906" s="21">
        <v>81623</v>
      </c>
      <c r="J906">
        <v>20</v>
      </c>
      <c r="K906" s="21">
        <v>32649.200000000001</v>
      </c>
      <c r="L906" s="21">
        <v>130596.8</v>
      </c>
      <c r="M906" s="21">
        <v>92949.7</v>
      </c>
      <c r="N906" s="21">
        <v>37647.1</v>
      </c>
      <c r="O906" t="s">
        <v>91</v>
      </c>
      <c r="P906" s="21">
        <v>1399.55</v>
      </c>
      <c r="Q906" t="s">
        <v>73</v>
      </c>
      <c r="R906" t="s">
        <v>31</v>
      </c>
      <c r="S906">
        <v>5</v>
      </c>
      <c r="T906">
        <v>5</v>
      </c>
      <c r="U906" t="s">
        <v>32</v>
      </c>
      <c r="V906" t="s">
        <v>33</v>
      </c>
      <c r="W906">
        <v>2</v>
      </c>
    </row>
    <row r="907" spans="1:23" x14ac:dyDescent="0.25">
      <c r="A907" t="s">
        <v>1458</v>
      </c>
      <c r="B907" s="1">
        <v>46020</v>
      </c>
      <c r="C907" t="s">
        <v>318</v>
      </c>
      <c r="D907" t="s">
        <v>90</v>
      </c>
      <c r="E907" t="s">
        <v>36</v>
      </c>
      <c r="F907" t="s">
        <v>37</v>
      </c>
      <c r="G907" t="s">
        <v>161</v>
      </c>
      <c r="H907">
        <v>1</v>
      </c>
      <c r="I907" s="21">
        <v>33732</v>
      </c>
      <c r="J907">
        <v>0</v>
      </c>
      <c r="K907" s="21">
        <v>0</v>
      </c>
      <c r="L907" s="21">
        <v>33732</v>
      </c>
      <c r="M907" s="21">
        <v>21528.68</v>
      </c>
      <c r="N907" s="21">
        <v>12203.32</v>
      </c>
      <c r="O907" t="s">
        <v>55</v>
      </c>
      <c r="P907" s="21">
        <v>698.17</v>
      </c>
      <c r="Q907" t="s">
        <v>68</v>
      </c>
      <c r="R907" t="s">
        <v>31</v>
      </c>
      <c r="S907">
        <v>5</v>
      </c>
      <c r="T907">
        <v>5</v>
      </c>
      <c r="U907" t="s">
        <v>32</v>
      </c>
      <c r="V907" t="s">
        <v>33</v>
      </c>
      <c r="W907">
        <v>1</v>
      </c>
    </row>
    <row r="908" spans="1:23" x14ac:dyDescent="0.25">
      <c r="A908" t="s">
        <v>1459</v>
      </c>
      <c r="B908" s="1">
        <v>45931</v>
      </c>
      <c r="C908" t="s">
        <v>324</v>
      </c>
      <c r="D908" t="s">
        <v>71</v>
      </c>
      <c r="E908" t="s">
        <v>26</v>
      </c>
      <c r="F908" t="s">
        <v>86</v>
      </c>
      <c r="G908" t="s">
        <v>110</v>
      </c>
      <c r="H908">
        <v>3</v>
      </c>
      <c r="I908" s="21">
        <v>61869</v>
      </c>
      <c r="J908">
        <v>0</v>
      </c>
      <c r="K908" s="21">
        <v>0</v>
      </c>
      <c r="L908" s="21">
        <v>185607</v>
      </c>
      <c r="M908" s="21">
        <v>102888.52</v>
      </c>
      <c r="N908" s="21">
        <v>82718.48</v>
      </c>
      <c r="O908" t="s">
        <v>60</v>
      </c>
      <c r="P908" s="21">
        <v>544.28</v>
      </c>
      <c r="Q908" t="s">
        <v>83</v>
      </c>
      <c r="R908" t="s">
        <v>41</v>
      </c>
      <c r="S908">
        <v>2</v>
      </c>
      <c r="T908">
        <v>6</v>
      </c>
      <c r="U908" t="s">
        <v>32</v>
      </c>
      <c r="V908" t="s">
        <v>42</v>
      </c>
    </row>
    <row r="909" spans="1:23" x14ac:dyDescent="0.25">
      <c r="A909" t="s">
        <v>1460</v>
      </c>
      <c r="B909" s="1">
        <v>45722</v>
      </c>
      <c r="C909" t="s">
        <v>1449</v>
      </c>
      <c r="D909" t="s">
        <v>25</v>
      </c>
      <c r="E909" t="s">
        <v>26</v>
      </c>
      <c r="F909" t="s">
        <v>86</v>
      </c>
      <c r="G909" t="s">
        <v>180</v>
      </c>
      <c r="H909">
        <v>2</v>
      </c>
      <c r="I909" s="21">
        <v>83559</v>
      </c>
      <c r="J909">
        <v>25</v>
      </c>
      <c r="K909" s="21">
        <v>41779.5</v>
      </c>
      <c r="L909" s="21">
        <v>125338.5</v>
      </c>
      <c r="M909" s="21">
        <v>70971.48</v>
      </c>
      <c r="N909" s="21">
        <v>54367.02</v>
      </c>
      <c r="O909" t="s">
        <v>91</v>
      </c>
      <c r="P909" s="21">
        <v>215.47</v>
      </c>
      <c r="Q909" t="s">
        <v>73</v>
      </c>
      <c r="R909" t="s">
        <v>31</v>
      </c>
      <c r="S909">
        <v>5</v>
      </c>
      <c r="T909">
        <v>6</v>
      </c>
      <c r="U909" t="s">
        <v>32</v>
      </c>
      <c r="V909" t="s">
        <v>50</v>
      </c>
      <c r="W909">
        <v>4</v>
      </c>
    </row>
    <row r="910" spans="1:23" x14ac:dyDescent="0.25">
      <c r="A910" t="s">
        <v>1461</v>
      </c>
      <c r="B910" s="1">
        <v>45798</v>
      </c>
      <c r="C910" t="s">
        <v>1462</v>
      </c>
      <c r="D910" t="s">
        <v>97</v>
      </c>
      <c r="E910" t="s">
        <v>36</v>
      </c>
      <c r="F910" t="s">
        <v>47</v>
      </c>
      <c r="G910" t="s">
        <v>146</v>
      </c>
      <c r="H910">
        <v>1</v>
      </c>
      <c r="I910" s="21">
        <v>15968</v>
      </c>
      <c r="J910">
        <v>15</v>
      </c>
      <c r="K910" s="21">
        <v>2395.1999999999998</v>
      </c>
      <c r="L910" s="21">
        <v>13572.8</v>
      </c>
      <c r="M910" s="21">
        <v>7678.94</v>
      </c>
      <c r="N910" s="21">
        <v>5893.86</v>
      </c>
      <c r="O910" t="s">
        <v>29</v>
      </c>
      <c r="P910" s="21">
        <v>1934.87</v>
      </c>
      <c r="Q910" t="s">
        <v>40</v>
      </c>
      <c r="R910" t="s">
        <v>41</v>
      </c>
      <c r="S910">
        <v>2</v>
      </c>
      <c r="T910">
        <v>3</v>
      </c>
      <c r="U910" t="s">
        <v>56</v>
      </c>
      <c r="V910" t="s">
        <v>33</v>
      </c>
      <c r="W910">
        <v>5</v>
      </c>
    </row>
    <row r="911" spans="1:23" x14ac:dyDescent="0.25">
      <c r="A911" t="s">
        <v>1463</v>
      </c>
      <c r="B911" s="1">
        <v>45681</v>
      </c>
      <c r="C911" t="s">
        <v>150</v>
      </c>
      <c r="D911" t="s">
        <v>154</v>
      </c>
      <c r="E911" t="s">
        <v>26</v>
      </c>
      <c r="F911" t="s">
        <v>27</v>
      </c>
      <c r="G911" t="s">
        <v>72</v>
      </c>
      <c r="H911">
        <v>1</v>
      </c>
      <c r="I911" s="21">
        <v>21238</v>
      </c>
      <c r="J911">
        <v>15</v>
      </c>
      <c r="K911" s="21">
        <v>3185.7</v>
      </c>
      <c r="L911" s="21">
        <v>18052.3</v>
      </c>
      <c r="M911" s="21">
        <v>14630.03</v>
      </c>
      <c r="N911" s="21">
        <v>3422.27</v>
      </c>
      <c r="O911" t="s">
        <v>91</v>
      </c>
      <c r="P911" s="21">
        <v>1354.67</v>
      </c>
      <c r="Q911" t="s">
        <v>73</v>
      </c>
      <c r="R911" t="s">
        <v>41</v>
      </c>
      <c r="S911">
        <v>2</v>
      </c>
      <c r="T911">
        <v>6</v>
      </c>
      <c r="U911" t="s">
        <v>56</v>
      </c>
      <c r="V911" t="s">
        <v>33</v>
      </c>
      <c r="W911">
        <v>2</v>
      </c>
    </row>
    <row r="912" spans="1:23" x14ac:dyDescent="0.25">
      <c r="A912" t="s">
        <v>1464</v>
      </c>
      <c r="B912" s="1">
        <v>45685</v>
      </c>
      <c r="C912" t="s">
        <v>1076</v>
      </c>
      <c r="D912" t="s">
        <v>71</v>
      </c>
      <c r="E912" t="s">
        <v>46</v>
      </c>
      <c r="F912" t="s">
        <v>37</v>
      </c>
      <c r="G912" t="s">
        <v>224</v>
      </c>
      <c r="H912">
        <v>3</v>
      </c>
      <c r="I912" s="21">
        <v>24109</v>
      </c>
      <c r="J912">
        <v>10</v>
      </c>
      <c r="K912" s="21">
        <v>7232.7</v>
      </c>
      <c r="L912" s="21">
        <v>65094.3</v>
      </c>
      <c r="M912" s="21">
        <v>47035.49</v>
      </c>
      <c r="N912" s="21">
        <v>18058.810000000001</v>
      </c>
      <c r="O912" t="s">
        <v>39</v>
      </c>
      <c r="P912" s="21">
        <v>2404.46</v>
      </c>
      <c r="Q912" t="s">
        <v>68</v>
      </c>
      <c r="R912" t="s">
        <v>31</v>
      </c>
      <c r="S912">
        <v>5</v>
      </c>
      <c r="T912">
        <v>0</v>
      </c>
      <c r="U912" t="s">
        <v>32</v>
      </c>
      <c r="V912" t="s">
        <v>42</v>
      </c>
    </row>
    <row r="913" spans="1:23" x14ac:dyDescent="0.25">
      <c r="A913" t="s">
        <v>1465</v>
      </c>
      <c r="B913" s="1">
        <v>45941</v>
      </c>
      <c r="C913" t="s">
        <v>294</v>
      </c>
      <c r="D913" t="s">
        <v>79</v>
      </c>
      <c r="E913" t="s">
        <v>46</v>
      </c>
      <c r="F913" t="s">
        <v>53</v>
      </c>
      <c r="G913" t="s">
        <v>59</v>
      </c>
      <c r="H913">
        <v>1</v>
      </c>
      <c r="I913" s="21">
        <v>13428</v>
      </c>
      <c r="J913">
        <v>25</v>
      </c>
      <c r="K913" s="21">
        <v>3357</v>
      </c>
      <c r="L913" s="21">
        <v>10071</v>
      </c>
      <c r="M913" s="21">
        <v>7546.22</v>
      </c>
      <c r="N913" s="21">
        <v>2524.7800000000002</v>
      </c>
      <c r="O913" t="s">
        <v>91</v>
      </c>
      <c r="P913" s="21">
        <v>854.03</v>
      </c>
      <c r="Q913" t="s">
        <v>40</v>
      </c>
      <c r="R913" t="s">
        <v>31</v>
      </c>
      <c r="S913">
        <v>5</v>
      </c>
      <c r="T913">
        <v>2</v>
      </c>
      <c r="U913" t="s">
        <v>32</v>
      </c>
      <c r="V913" t="s">
        <v>50</v>
      </c>
      <c r="W913">
        <v>3</v>
      </c>
    </row>
    <row r="914" spans="1:23" x14ac:dyDescent="0.25">
      <c r="A914" t="s">
        <v>1466</v>
      </c>
      <c r="B914" s="1">
        <v>45807</v>
      </c>
      <c r="C914" t="s">
        <v>606</v>
      </c>
      <c r="D914" t="s">
        <v>71</v>
      </c>
      <c r="E914" t="s">
        <v>26</v>
      </c>
      <c r="F914" t="s">
        <v>37</v>
      </c>
      <c r="G914" t="s">
        <v>38</v>
      </c>
      <c r="H914">
        <v>2</v>
      </c>
      <c r="I914" s="21">
        <v>33425</v>
      </c>
      <c r="J914">
        <v>20</v>
      </c>
      <c r="K914" s="21">
        <v>13370</v>
      </c>
      <c r="L914" s="21">
        <v>53480</v>
      </c>
      <c r="M914" s="21">
        <v>39801.279999999999</v>
      </c>
      <c r="N914" s="21">
        <v>13678.72</v>
      </c>
      <c r="O914" t="s">
        <v>29</v>
      </c>
      <c r="P914" s="21">
        <v>1917.87</v>
      </c>
      <c r="Q914" t="s">
        <v>68</v>
      </c>
      <c r="R914" t="s">
        <v>41</v>
      </c>
      <c r="S914">
        <v>2</v>
      </c>
      <c r="T914">
        <v>2</v>
      </c>
      <c r="U914" t="s">
        <v>32</v>
      </c>
      <c r="V914" t="s">
        <v>33</v>
      </c>
      <c r="W914">
        <v>2</v>
      </c>
    </row>
    <row r="915" spans="1:23" x14ac:dyDescent="0.25">
      <c r="A915" t="s">
        <v>1467</v>
      </c>
      <c r="B915" s="1">
        <v>46015</v>
      </c>
      <c r="C915" t="s">
        <v>1468</v>
      </c>
      <c r="D915" t="s">
        <v>25</v>
      </c>
      <c r="E915" t="s">
        <v>46</v>
      </c>
      <c r="F915" t="s">
        <v>86</v>
      </c>
      <c r="G915" t="s">
        <v>110</v>
      </c>
      <c r="H915">
        <v>3</v>
      </c>
      <c r="I915" s="21">
        <v>28658</v>
      </c>
      <c r="J915">
        <v>0</v>
      </c>
      <c r="K915" s="21">
        <v>0</v>
      </c>
      <c r="L915" s="21">
        <v>85974</v>
      </c>
      <c r="M915" s="21">
        <v>64394.74</v>
      </c>
      <c r="N915" s="21">
        <v>21579.26</v>
      </c>
      <c r="O915" t="s">
        <v>39</v>
      </c>
      <c r="P915" s="21">
        <v>660.42</v>
      </c>
      <c r="Q915" t="s">
        <v>68</v>
      </c>
      <c r="R915" t="s">
        <v>31</v>
      </c>
      <c r="S915">
        <v>5</v>
      </c>
      <c r="T915">
        <v>8</v>
      </c>
      <c r="U915" t="s">
        <v>56</v>
      </c>
      <c r="V915" t="s">
        <v>33</v>
      </c>
      <c r="W915">
        <v>2</v>
      </c>
    </row>
    <row r="916" spans="1:23" x14ac:dyDescent="0.25">
      <c r="A916" t="s">
        <v>1469</v>
      </c>
      <c r="B916" s="1">
        <v>45722</v>
      </c>
      <c r="C916" t="s">
        <v>819</v>
      </c>
      <c r="D916" t="s">
        <v>90</v>
      </c>
      <c r="E916" t="s">
        <v>26</v>
      </c>
      <c r="F916" t="s">
        <v>53</v>
      </c>
      <c r="G916" t="s">
        <v>59</v>
      </c>
      <c r="H916">
        <v>3</v>
      </c>
      <c r="I916" s="21">
        <v>77103</v>
      </c>
      <c r="J916">
        <v>0</v>
      </c>
      <c r="K916" s="21">
        <v>0</v>
      </c>
      <c r="L916" s="21">
        <v>231309</v>
      </c>
      <c r="M916" s="21">
        <v>139957.76999999999</v>
      </c>
      <c r="N916" s="21">
        <v>91351.23</v>
      </c>
      <c r="O916" t="s">
        <v>60</v>
      </c>
      <c r="P916" s="21">
        <v>255.72</v>
      </c>
      <c r="Q916" t="s">
        <v>68</v>
      </c>
      <c r="R916" t="s">
        <v>41</v>
      </c>
      <c r="S916">
        <v>2</v>
      </c>
      <c r="T916">
        <v>2</v>
      </c>
      <c r="U916" t="s">
        <v>32</v>
      </c>
      <c r="V916" t="s">
        <v>42</v>
      </c>
    </row>
    <row r="917" spans="1:23" x14ac:dyDescent="0.25">
      <c r="A917" t="s">
        <v>1470</v>
      </c>
      <c r="B917" s="1">
        <v>45984</v>
      </c>
      <c r="C917" t="s">
        <v>506</v>
      </c>
      <c r="D917" t="s">
        <v>79</v>
      </c>
      <c r="E917" t="s">
        <v>26</v>
      </c>
      <c r="F917" t="s">
        <v>27</v>
      </c>
      <c r="G917" t="s">
        <v>113</v>
      </c>
      <c r="H917">
        <v>2</v>
      </c>
      <c r="I917" s="21">
        <v>14013</v>
      </c>
      <c r="J917">
        <v>10</v>
      </c>
      <c r="K917" s="21">
        <v>2802.6</v>
      </c>
      <c r="L917" s="21">
        <v>25223.4</v>
      </c>
      <c r="M917" s="21">
        <v>17700.55</v>
      </c>
      <c r="N917" s="21">
        <v>7522.85</v>
      </c>
      <c r="O917" t="s">
        <v>49</v>
      </c>
      <c r="P917" s="21">
        <v>220.51</v>
      </c>
      <c r="Q917" t="s">
        <v>40</v>
      </c>
      <c r="R917" t="s">
        <v>41</v>
      </c>
      <c r="S917">
        <v>2</v>
      </c>
      <c r="T917">
        <v>2</v>
      </c>
      <c r="U917" t="s">
        <v>32</v>
      </c>
      <c r="V917" t="s">
        <v>33</v>
      </c>
      <c r="W917">
        <v>2</v>
      </c>
    </row>
    <row r="918" spans="1:23" x14ac:dyDescent="0.25">
      <c r="A918" t="s">
        <v>1471</v>
      </c>
      <c r="B918" s="1">
        <v>45909</v>
      </c>
      <c r="C918" t="s">
        <v>1009</v>
      </c>
      <c r="D918" t="s">
        <v>45</v>
      </c>
      <c r="E918" t="s">
        <v>26</v>
      </c>
      <c r="F918" t="s">
        <v>53</v>
      </c>
      <c r="G918" t="s">
        <v>59</v>
      </c>
      <c r="H918">
        <v>2</v>
      </c>
      <c r="I918" s="21">
        <v>96789</v>
      </c>
      <c r="J918">
        <v>0</v>
      </c>
      <c r="K918" s="21">
        <v>0</v>
      </c>
      <c r="L918" s="21">
        <v>193578</v>
      </c>
      <c r="M918" s="21">
        <v>126982.1</v>
      </c>
      <c r="N918" s="21">
        <v>66595.899999999994</v>
      </c>
      <c r="O918" t="s">
        <v>55</v>
      </c>
      <c r="P918" s="21">
        <v>1210.93</v>
      </c>
      <c r="Q918" t="s">
        <v>83</v>
      </c>
      <c r="R918" t="s">
        <v>31</v>
      </c>
      <c r="S918">
        <v>5</v>
      </c>
      <c r="T918">
        <v>5</v>
      </c>
      <c r="U918" t="s">
        <v>32</v>
      </c>
      <c r="V918" t="s">
        <v>42</v>
      </c>
    </row>
    <row r="919" spans="1:23" x14ac:dyDescent="0.25">
      <c r="A919" t="s">
        <v>1472</v>
      </c>
      <c r="B919" s="1">
        <v>45710</v>
      </c>
      <c r="C919" t="s">
        <v>241</v>
      </c>
      <c r="D919" t="s">
        <v>67</v>
      </c>
      <c r="E919" t="s">
        <v>46</v>
      </c>
      <c r="F919" t="s">
        <v>27</v>
      </c>
      <c r="G919" t="s">
        <v>76</v>
      </c>
      <c r="H919">
        <v>1</v>
      </c>
      <c r="I919" s="21">
        <v>21997</v>
      </c>
      <c r="J919">
        <v>0</v>
      </c>
      <c r="K919" s="21">
        <v>0</v>
      </c>
      <c r="L919" s="21">
        <v>21997</v>
      </c>
      <c r="M919" s="21">
        <v>14033.47</v>
      </c>
      <c r="N919" s="21">
        <v>7963.53</v>
      </c>
      <c r="O919" t="s">
        <v>49</v>
      </c>
      <c r="P919" s="21">
        <v>479.84</v>
      </c>
      <c r="Q919" t="s">
        <v>40</v>
      </c>
      <c r="R919" t="s">
        <v>31</v>
      </c>
      <c r="S919">
        <v>5</v>
      </c>
      <c r="T919">
        <v>5</v>
      </c>
      <c r="U919" t="s">
        <v>32</v>
      </c>
      <c r="V919" t="s">
        <v>33</v>
      </c>
      <c r="W919">
        <v>5</v>
      </c>
    </row>
    <row r="920" spans="1:23" x14ac:dyDescent="0.25">
      <c r="A920" t="s">
        <v>1473</v>
      </c>
      <c r="B920" s="1">
        <v>45664</v>
      </c>
      <c r="C920" t="s">
        <v>597</v>
      </c>
      <c r="D920" t="s">
        <v>79</v>
      </c>
      <c r="E920" t="s">
        <v>46</v>
      </c>
      <c r="F920" t="s">
        <v>47</v>
      </c>
      <c r="G920" t="s">
        <v>105</v>
      </c>
      <c r="H920">
        <v>1</v>
      </c>
      <c r="I920" s="21">
        <v>11938</v>
      </c>
      <c r="J920">
        <v>5</v>
      </c>
      <c r="K920" s="21">
        <v>596.9</v>
      </c>
      <c r="L920" s="21">
        <v>11341.1</v>
      </c>
      <c r="M920" s="21">
        <v>8983.41</v>
      </c>
      <c r="N920" s="21">
        <v>2357.69</v>
      </c>
      <c r="O920" t="s">
        <v>49</v>
      </c>
      <c r="P920" s="21">
        <v>483.87</v>
      </c>
      <c r="Q920" t="s">
        <v>40</v>
      </c>
      <c r="R920" t="s">
        <v>41</v>
      </c>
      <c r="S920">
        <v>2</v>
      </c>
      <c r="T920">
        <v>1</v>
      </c>
      <c r="U920" t="s">
        <v>32</v>
      </c>
      <c r="V920" t="s">
        <v>33</v>
      </c>
      <c r="W920">
        <v>5</v>
      </c>
    </row>
    <row r="921" spans="1:23" x14ac:dyDescent="0.25">
      <c r="A921" t="s">
        <v>1474</v>
      </c>
      <c r="B921" s="1">
        <v>45951</v>
      </c>
      <c r="C921" t="s">
        <v>312</v>
      </c>
      <c r="D921" t="s">
        <v>97</v>
      </c>
      <c r="E921" t="s">
        <v>46</v>
      </c>
      <c r="F921" t="s">
        <v>37</v>
      </c>
      <c r="G921" t="s">
        <v>161</v>
      </c>
      <c r="H921">
        <v>1</v>
      </c>
      <c r="I921" s="21">
        <v>36315</v>
      </c>
      <c r="J921">
        <v>5</v>
      </c>
      <c r="K921" s="21">
        <v>1815.75</v>
      </c>
      <c r="L921" s="21">
        <v>34499.25</v>
      </c>
      <c r="M921" s="21">
        <v>20479.5</v>
      </c>
      <c r="N921" s="21">
        <v>14019.75</v>
      </c>
      <c r="O921" t="s">
        <v>39</v>
      </c>
      <c r="P921" s="21">
        <v>2366.37</v>
      </c>
      <c r="Q921" t="s">
        <v>40</v>
      </c>
      <c r="R921" t="s">
        <v>41</v>
      </c>
      <c r="S921">
        <v>2</v>
      </c>
      <c r="T921">
        <v>2</v>
      </c>
      <c r="U921" t="s">
        <v>32</v>
      </c>
      <c r="V921" t="s">
        <v>33</v>
      </c>
      <c r="W921">
        <v>2</v>
      </c>
    </row>
    <row r="922" spans="1:23" x14ac:dyDescent="0.25">
      <c r="A922" t="s">
        <v>1475</v>
      </c>
      <c r="B922" s="1">
        <v>45803</v>
      </c>
      <c r="C922" t="s">
        <v>1476</v>
      </c>
      <c r="D922" t="s">
        <v>45</v>
      </c>
      <c r="E922" t="s">
        <v>26</v>
      </c>
      <c r="F922" t="s">
        <v>86</v>
      </c>
      <c r="G922" t="s">
        <v>94</v>
      </c>
      <c r="H922">
        <v>2</v>
      </c>
      <c r="I922" s="21">
        <v>82318</v>
      </c>
      <c r="J922">
        <v>0</v>
      </c>
      <c r="K922" s="21">
        <v>0</v>
      </c>
      <c r="L922" s="21">
        <v>164636</v>
      </c>
      <c r="M922" s="21">
        <v>115933.65</v>
      </c>
      <c r="N922" s="21">
        <v>48702.35</v>
      </c>
      <c r="O922" t="s">
        <v>60</v>
      </c>
      <c r="P922" s="21">
        <v>327.51</v>
      </c>
      <c r="Q922" t="s">
        <v>68</v>
      </c>
      <c r="R922" t="s">
        <v>31</v>
      </c>
      <c r="S922">
        <v>5</v>
      </c>
      <c r="T922">
        <v>7</v>
      </c>
      <c r="U922" t="s">
        <v>56</v>
      </c>
      <c r="V922" t="s">
        <v>33</v>
      </c>
      <c r="W922">
        <v>2</v>
      </c>
    </row>
    <row r="923" spans="1:23" x14ac:dyDescent="0.25">
      <c r="A923" t="s">
        <v>1477</v>
      </c>
      <c r="B923" s="1">
        <v>45898</v>
      </c>
      <c r="C923" t="s">
        <v>1478</v>
      </c>
      <c r="D923" t="s">
        <v>67</v>
      </c>
      <c r="E923" t="s">
        <v>46</v>
      </c>
      <c r="F923" t="s">
        <v>37</v>
      </c>
      <c r="G923" t="s">
        <v>100</v>
      </c>
      <c r="H923">
        <v>1</v>
      </c>
      <c r="I923" s="21">
        <v>38009</v>
      </c>
      <c r="J923">
        <v>5</v>
      </c>
      <c r="K923" s="21">
        <v>1900.45</v>
      </c>
      <c r="L923" s="21">
        <v>36108.550000000003</v>
      </c>
      <c r="M923" s="21">
        <v>21133.63</v>
      </c>
      <c r="N923" s="21">
        <v>14974.92</v>
      </c>
      <c r="O923" t="s">
        <v>49</v>
      </c>
      <c r="P923" s="21">
        <v>406.96</v>
      </c>
      <c r="Q923" t="s">
        <v>30</v>
      </c>
      <c r="R923" t="s">
        <v>31</v>
      </c>
      <c r="S923">
        <v>5</v>
      </c>
      <c r="T923">
        <v>2</v>
      </c>
      <c r="U923" t="s">
        <v>32</v>
      </c>
      <c r="V923" t="s">
        <v>33</v>
      </c>
      <c r="W923">
        <v>2</v>
      </c>
    </row>
    <row r="924" spans="1:23" x14ac:dyDescent="0.25">
      <c r="A924" t="s">
        <v>1479</v>
      </c>
      <c r="B924" s="1">
        <v>45903</v>
      </c>
      <c r="C924" t="s">
        <v>24</v>
      </c>
      <c r="D924" t="s">
        <v>154</v>
      </c>
      <c r="E924" t="s">
        <v>36</v>
      </c>
      <c r="F924" t="s">
        <v>53</v>
      </c>
      <c r="G924" t="s">
        <v>82</v>
      </c>
      <c r="H924">
        <v>1</v>
      </c>
      <c r="I924" s="21">
        <v>81641</v>
      </c>
      <c r="J924">
        <v>25</v>
      </c>
      <c r="K924" s="21">
        <v>20410.25</v>
      </c>
      <c r="L924" s="21">
        <v>61230.75</v>
      </c>
      <c r="M924" s="21">
        <v>47954.59</v>
      </c>
      <c r="N924" s="21">
        <v>13276.16</v>
      </c>
      <c r="O924" t="s">
        <v>55</v>
      </c>
      <c r="P924" s="21">
        <v>684.35</v>
      </c>
      <c r="Q924" t="s">
        <v>73</v>
      </c>
      <c r="R924" t="s">
        <v>41</v>
      </c>
      <c r="S924">
        <v>2</v>
      </c>
      <c r="T924">
        <v>2</v>
      </c>
      <c r="U924" t="s">
        <v>32</v>
      </c>
      <c r="V924" t="s">
        <v>33</v>
      </c>
      <c r="W924">
        <v>5</v>
      </c>
    </row>
    <row r="925" spans="1:23" x14ac:dyDescent="0.25">
      <c r="A925" t="s">
        <v>1480</v>
      </c>
      <c r="B925" s="1">
        <v>45883</v>
      </c>
      <c r="C925" t="s">
        <v>1481</v>
      </c>
      <c r="D925" t="s">
        <v>124</v>
      </c>
      <c r="E925" t="s">
        <v>26</v>
      </c>
      <c r="F925" t="s">
        <v>37</v>
      </c>
      <c r="G925" t="s">
        <v>313</v>
      </c>
      <c r="H925">
        <v>3</v>
      </c>
      <c r="I925" s="21">
        <v>22227</v>
      </c>
      <c r="J925">
        <v>10</v>
      </c>
      <c r="K925" s="21">
        <v>6668.1</v>
      </c>
      <c r="L925" s="21">
        <v>60012.9</v>
      </c>
      <c r="M925" s="21">
        <v>36835.769999999997</v>
      </c>
      <c r="N925" s="21">
        <v>23177.13</v>
      </c>
      <c r="O925" t="s">
        <v>49</v>
      </c>
      <c r="P925" s="21">
        <v>307.7</v>
      </c>
      <c r="Q925" t="s">
        <v>40</v>
      </c>
      <c r="R925" t="s">
        <v>31</v>
      </c>
      <c r="S925">
        <v>5</v>
      </c>
      <c r="T925">
        <v>3</v>
      </c>
      <c r="U925" t="s">
        <v>32</v>
      </c>
      <c r="V925" t="s">
        <v>33</v>
      </c>
      <c r="W925">
        <v>5</v>
      </c>
    </row>
    <row r="926" spans="1:23" x14ac:dyDescent="0.25">
      <c r="A926" t="s">
        <v>1482</v>
      </c>
      <c r="B926" s="1">
        <v>45832</v>
      </c>
      <c r="C926" t="s">
        <v>1483</v>
      </c>
      <c r="D926" t="s">
        <v>79</v>
      </c>
      <c r="E926" t="s">
        <v>36</v>
      </c>
      <c r="F926" t="s">
        <v>86</v>
      </c>
      <c r="G926" t="s">
        <v>180</v>
      </c>
      <c r="H926">
        <v>1</v>
      </c>
      <c r="I926" s="21">
        <v>80778</v>
      </c>
      <c r="J926">
        <v>0</v>
      </c>
      <c r="K926" s="21">
        <v>0</v>
      </c>
      <c r="L926" s="21">
        <v>80778</v>
      </c>
      <c r="M926" s="21">
        <v>58449.84</v>
      </c>
      <c r="N926" s="21">
        <v>22328.16</v>
      </c>
      <c r="O926" t="s">
        <v>39</v>
      </c>
      <c r="P926" s="21">
        <v>255.27</v>
      </c>
      <c r="Q926" t="s">
        <v>73</v>
      </c>
      <c r="R926" t="s">
        <v>41</v>
      </c>
      <c r="S926">
        <v>2</v>
      </c>
      <c r="T926">
        <v>4</v>
      </c>
      <c r="U926" t="s">
        <v>56</v>
      </c>
      <c r="V926" t="s">
        <v>33</v>
      </c>
      <c r="W926">
        <v>5</v>
      </c>
    </row>
    <row r="927" spans="1:23" x14ac:dyDescent="0.25">
      <c r="A927" t="s">
        <v>1484</v>
      </c>
      <c r="B927" s="1">
        <v>45752</v>
      </c>
      <c r="C927" t="s">
        <v>1485</v>
      </c>
      <c r="D927" t="s">
        <v>97</v>
      </c>
      <c r="E927" t="s">
        <v>46</v>
      </c>
      <c r="F927" t="s">
        <v>47</v>
      </c>
      <c r="G927" t="s">
        <v>105</v>
      </c>
      <c r="H927">
        <v>2</v>
      </c>
      <c r="I927" s="21">
        <v>44784</v>
      </c>
      <c r="J927">
        <v>5</v>
      </c>
      <c r="K927" s="21">
        <v>4478.3999999999996</v>
      </c>
      <c r="L927" s="21">
        <v>85089.600000000006</v>
      </c>
      <c r="M927" s="21">
        <v>62577.35</v>
      </c>
      <c r="N927" s="21">
        <v>22512.25</v>
      </c>
      <c r="O927" t="s">
        <v>91</v>
      </c>
      <c r="P927" s="21">
        <v>2425.0500000000002</v>
      </c>
      <c r="Q927" t="s">
        <v>68</v>
      </c>
      <c r="R927" t="s">
        <v>31</v>
      </c>
      <c r="S927">
        <v>5</v>
      </c>
      <c r="T927">
        <v>1</v>
      </c>
      <c r="U927" t="s">
        <v>32</v>
      </c>
      <c r="V927" t="s">
        <v>33</v>
      </c>
      <c r="W927">
        <v>5</v>
      </c>
    </row>
    <row r="928" spans="1:23" x14ac:dyDescent="0.25">
      <c r="A928" t="s">
        <v>1486</v>
      </c>
      <c r="B928" s="1">
        <v>45684</v>
      </c>
      <c r="C928" t="s">
        <v>687</v>
      </c>
      <c r="D928" t="s">
        <v>154</v>
      </c>
      <c r="E928" t="s">
        <v>46</v>
      </c>
      <c r="F928" t="s">
        <v>27</v>
      </c>
      <c r="G928" t="s">
        <v>164</v>
      </c>
      <c r="H928">
        <v>1</v>
      </c>
      <c r="I928" s="21">
        <v>16938</v>
      </c>
      <c r="J928">
        <v>0</v>
      </c>
      <c r="K928" s="21">
        <v>0</v>
      </c>
      <c r="L928" s="21">
        <v>16938</v>
      </c>
      <c r="M928" s="21">
        <v>9560.59</v>
      </c>
      <c r="N928" s="21">
        <v>7377.41</v>
      </c>
      <c r="O928" t="s">
        <v>55</v>
      </c>
      <c r="P928" s="21">
        <v>459.23</v>
      </c>
      <c r="Q928" t="s">
        <v>30</v>
      </c>
      <c r="R928" t="s">
        <v>31</v>
      </c>
      <c r="S928">
        <v>5</v>
      </c>
      <c r="T928">
        <v>0</v>
      </c>
      <c r="U928" t="s">
        <v>32</v>
      </c>
      <c r="V928" t="s">
        <v>42</v>
      </c>
    </row>
    <row r="929" spans="1:23" x14ac:dyDescent="0.25">
      <c r="A929" t="s">
        <v>1487</v>
      </c>
      <c r="B929" s="1">
        <v>45787</v>
      </c>
      <c r="C929" t="s">
        <v>1488</v>
      </c>
      <c r="D929" t="s">
        <v>90</v>
      </c>
      <c r="E929" t="s">
        <v>26</v>
      </c>
      <c r="F929" t="s">
        <v>53</v>
      </c>
      <c r="G929" t="s">
        <v>268</v>
      </c>
      <c r="H929">
        <v>1</v>
      </c>
      <c r="I929" s="21">
        <v>26824</v>
      </c>
      <c r="J929">
        <v>20</v>
      </c>
      <c r="K929" s="21">
        <v>5364.8</v>
      </c>
      <c r="L929" s="21">
        <v>21459.200000000001</v>
      </c>
      <c r="M929" s="21">
        <v>17204.88</v>
      </c>
      <c r="N929" s="21">
        <v>4254.32</v>
      </c>
      <c r="O929" t="s">
        <v>55</v>
      </c>
      <c r="P929" s="21">
        <v>875.31</v>
      </c>
      <c r="Q929" t="s">
        <v>68</v>
      </c>
      <c r="R929" t="s">
        <v>31</v>
      </c>
      <c r="S929">
        <v>5</v>
      </c>
      <c r="T929">
        <v>5</v>
      </c>
      <c r="U929" t="s">
        <v>32</v>
      </c>
      <c r="V929" t="s">
        <v>33</v>
      </c>
      <c r="W929">
        <v>1</v>
      </c>
    </row>
    <row r="930" spans="1:23" x14ac:dyDescent="0.25">
      <c r="A930" t="s">
        <v>1489</v>
      </c>
      <c r="B930" s="1">
        <v>45902</v>
      </c>
      <c r="C930" t="s">
        <v>117</v>
      </c>
      <c r="D930" t="s">
        <v>124</v>
      </c>
      <c r="E930" t="s">
        <v>46</v>
      </c>
      <c r="F930" t="s">
        <v>27</v>
      </c>
      <c r="G930" t="s">
        <v>113</v>
      </c>
      <c r="H930">
        <v>1</v>
      </c>
      <c r="I930" s="21">
        <v>28949</v>
      </c>
      <c r="J930">
        <v>0</v>
      </c>
      <c r="K930" s="21">
        <v>0</v>
      </c>
      <c r="L930" s="21">
        <v>28949</v>
      </c>
      <c r="M930" s="21">
        <v>17091.509999999998</v>
      </c>
      <c r="N930" s="21">
        <v>11857.49</v>
      </c>
      <c r="O930" t="s">
        <v>29</v>
      </c>
      <c r="P930" s="21">
        <v>407.23</v>
      </c>
      <c r="Q930" t="s">
        <v>83</v>
      </c>
      <c r="R930" t="s">
        <v>31</v>
      </c>
      <c r="S930">
        <v>5</v>
      </c>
      <c r="T930">
        <v>8</v>
      </c>
      <c r="U930" t="s">
        <v>56</v>
      </c>
      <c r="V930" t="s">
        <v>33</v>
      </c>
    </row>
    <row r="931" spans="1:23" x14ac:dyDescent="0.25">
      <c r="A931" t="s">
        <v>1490</v>
      </c>
      <c r="B931" s="1">
        <v>45716</v>
      </c>
      <c r="C931" t="s">
        <v>880</v>
      </c>
      <c r="D931" t="s">
        <v>154</v>
      </c>
      <c r="E931" t="s">
        <v>36</v>
      </c>
      <c r="F931" t="s">
        <v>37</v>
      </c>
      <c r="G931" t="s">
        <v>100</v>
      </c>
      <c r="H931">
        <v>2</v>
      </c>
      <c r="I931" s="21">
        <v>22790</v>
      </c>
      <c r="J931">
        <v>15</v>
      </c>
      <c r="K931" s="21">
        <v>6837</v>
      </c>
      <c r="L931" s="21">
        <v>38743</v>
      </c>
      <c r="M931" s="21">
        <v>22656.05</v>
      </c>
      <c r="N931" s="21">
        <v>16086.95</v>
      </c>
      <c r="O931" t="s">
        <v>39</v>
      </c>
      <c r="P931" s="21">
        <v>2147.81</v>
      </c>
      <c r="Q931" t="s">
        <v>73</v>
      </c>
      <c r="R931" t="s">
        <v>31</v>
      </c>
      <c r="S931">
        <v>5</v>
      </c>
      <c r="T931">
        <v>5</v>
      </c>
      <c r="U931" t="s">
        <v>32</v>
      </c>
      <c r="V931" t="s">
        <v>42</v>
      </c>
    </row>
    <row r="932" spans="1:23" x14ac:dyDescent="0.25">
      <c r="A932" t="s">
        <v>1491</v>
      </c>
      <c r="B932" s="1">
        <v>45691</v>
      </c>
      <c r="C932" t="s">
        <v>1492</v>
      </c>
      <c r="D932" t="s">
        <v>124</v>
      </c>
      <c r="E932" t="s">
        <v>26</v>
      </c>
      <c r="F932" t="s">
        <v>27</v>
      </c>
      <c r="G932" t="s">
        <v>164</v>
      </c>
      <c r="H932">
        <v>2</v>
      </c>
      <c r="I932" s="21">
        <v>19771</v>
      </c>
      <c r="J932">
        <v>0</v>
      </c>
      <c r="K932" s="21">
        <v>0</v>
      </c>
      <c r="L932" s="21">
        <v>39542</v>
      </c>
      <c r="M932" s="21">
        <v>24191.52</v>
      </c>
      <c r="N932" s="21">
        <v>15350.48</v>
      </c>
      <c r="O932" t="s">
        <v>49</v>
      </c>
      <c r="P932" s="21">
        <v>173.96</v>
      </c>
      <c r="Q932" t="s">
        <v>30</v>
      </c>
      <c r="R932" t="s">
        <v>31</v>
      </c>
      <c r="S932">
        <v>5</v>
      </c>
      <c r="T932">
        <v>3</v>
      </c>
      <c r="U932" t="s">
        <v>32</v>
      </c>
      <c r="V932" t="s">
        <v>33</v>
      </c>
      <c r="W932">
        <v>2</v>
      </c>
    </row>
    <row r="933" spans="1:23" x14ac:dyDescent="0.25">
      <c r="A933" t="s">
        <v>1493</v>
      </c>
      <c r="B933" s="1">
        <v>45863</v>
      </c>
      <c r="C933" t="s">
        <v>797</v>
      </c>
      <c r="D933" t="s">
        <v>97</v>
      </c>
      <c r="E933" t="s">
        <v>46</v>
      </c>
      <c r="F933" t="s">
        <v>86</v>
      </c>
      <c r="G933" t="s">
        <v>110</v>
      </c>
      <c r="H933">
        <v>2</v>
      </c>
      <c r="I933" s="21">
        <v>9544</v>
      </c>
      <c r="J933">
        <v>0</v>
      </c>
      <c r="K933" s="21">
        <v>0</v>
      </c>
      <c r="L933" s="21">
        <v>19088</v>
      </c>
      <c r="M933" s="21">
        <v>10630.57</v>
      </c>
      <c r="N933" s="21">
        <v>8457.43</v>
      </c>
      <c r="O933" t="s">
        <v>39</v>
      </c>
      <c r="P933" s="21">
        <v>483.16</v>
      </c>
      <c r="Q933" t="s">
        <v>40</v>
      </c>
      <c r="R933" t="s">
        <v>31</v>
      </c>
      <c r="S933">
        <v>5</v>
      </c>
      <c r="T933">
        <v>8</v>
      </c>
      <c r="U933" t="s">
        <v>56</v>
      </c>
      <c r="V933" t="s">
        <v>33</v>
      </c>
      <c r="W933">
        <v>4</v>
      </c>
    </row>
    <row r="934" spans="1:23" x14ac:dyDescent="0.25">
      <c r="A934" t="s">
        <v>1494</v>
      </c>
      <c r="B934" s="1">
        <v>45909</v>
      </c>
      <c r="C934" t="s">
        <v>449</v>
      </c>
      <c r="D934" t="s">
        <v>97</v>
      </c>
      <c r="E934" t="s">
        <v>46</v>
      </c>
      <c r="F934" t="s">
        <v>47</v>
      </c>
      <c r="G934" t="s">
        <v>105</v>
      </c>
      <c r="H934">
        <v>1</v>
      </c>
      <c r="I934" s="21">
        <v>11031</v>
      </c>
      <c r="J934">
        <v>15</v>
      </c>
      <c r="K934" s="21">
        <v>1654.65</v>
      </c>
      <c r="L934" s="21">
        <v>9376.35</v>
      </c>
      <c r="M934" s="21">
        <v>6235.96</v>
      </c>
      <c r="N934" s="21">
        <v>3140.39</v>
      </c>
      <c r="O934" t="s">
        <v>60</v>
      </c>
      <c r="P934" s="21">
        <v>724.86</v>
      </c>
      <c r="Q934" t="s">
        <v>68</v>
      </c>
      <c r="R934" t="s">
        <v>31</v>
      </c>
      <c r="S934">
        <v>5</v>
      </c>
      <c r="T934">
        <v>3</v>
      </c>
      <c r="U934" t="s">
        <v>32</v>
      </c>
      <c r="V934" t="s">
        <v>42</v>
      </c>
    </row>
    <row r="935" spans="1:23" x14ac:dyDescent="0.25">
      <c r="A935" t="s">
        <v>1495</v>
      </c>
      <c r="B935" s="1">
        <v>45695</v>
      </c>
      <c r="C935" t="s">
        <v>364</v>
      </c>
      <c r="D935" t="s">
        <v>25</v>
      </c>
      <c r="E935" t="s">
        <v>46</v>
      </c>
      <c r="F935" t="s">
        <v>86</v>
      </c>
      <c r="G935" t="s">
        <v>110</v>
      </c>
      <c r="H935">
        <v>3</v>
      </c>
      <c r="I935" s="21">
        <v>6993</v>
      </c>
      <c r="J935">
        <v>0</v>
      </c>
      <c r="K935" s="21">
        <v>0</v>
      </c>
      <c r="L935" s="21">
        <v>20979</v>
      </c>
      <c r="M935" s="21">
        <v>12952.82</v>
      </c>
      <c r="N935" s="21">
        <v>8026.18</v>
      </c>
      <c r="O935" t="s">
        <v>39</v>
      </c>
      <c r="P935" s="21">
        <v>1035.33</v>
      </c>
      <c r="Q935" t="s">
        <v>30</v>
      </c>
      <c r="R935" t="s">
        <v>31</v>
      </c>
      <c r="S935">
        <v>5</v>
      </c>
      <c r="T935">
        <v>1</v>
      </c>
      <c r="U935" t="s">
        <v>32</v>
      </c>
      <c r="V935" t="s">
        <v>33</v>
      </c>
      <c r="W935">
        <v>5</v>
      </c>
    </row>
    <row r="936" spans="1:23" x14ac:dyDescent="0.25">
      <c r="A936" t="s">
        <v>1496</v>
      </c>
      <c r="B936" s="1">
        <v>45953</v>
      </c>
      <c r="C936" t="s">
        <v>1497</v>
      </c>
      <c r="D936" t="s">
        <v>25</v>
      </c>
      <c r="E936" t="s">
        <v>36</v>
      </c>
      <c r="F936" t="s">
        <v>27</v>
      </c>
      <c r="G936" t="s">
        <v>28</v>
      </c>
      <c r="H936">
        <v>1</v>
      </c>
      <c r="I936" s="21">
        <v>22837</v>
      </c>
      <c r="J936">
        <v>10</v>
      </c>
      <c r="K936" s="21">
        <v>2283.6999999999998</v>
      </c>
      <c r="L936" s="21">
        <v>20553.3</v>
      </c>
      <c r="M936" s="21">
        <v>12886.13</v>
      </c>
      <c r="N936" s="21">
        <v>7667.17</v>
      </c>
      <c r="O936" t="s">
        <v>60</v>
      </c>
      <c r="P936" s="21">
        <v>1303.01</v>
      </c>
      <c r="Q936" t="s">
        <v>83</v>
      </c>
      <c r="R936" t="s">
        <v>31</v>
      </c>
      <c r="S936">
        <v>5</v>
      </c>
      <c r="T936">
        <v>5</v>
      </c>
      <c r="U936" t="s">
        <v>32</v>
      </c>
      <c r="V936" t="s">
        <v>33</v>
      </c>
      <c r="W936">
        <v>3</v>
      </c>
    </row>
    <row r="937" spans="1:23" x14ac:dyDescent="0.25">
      <c r="A937" t="s">
        <v>1498</v>
      </c>
      <c r="B937" s="1">
        <v>45980</v>
      </c>
      <c r="C937" t="s">
        <v>961</v>
      </c>
      <c r="D937" t="s">
        <v>71</v>
      </c>
      <c r="E937" t="s">
        <v>46</v>
      </c>
      <c r="F937" t="s">
        <v>47</v>
      </c>
      <c r="G937" t="s">
        <v>48</v>
      </c>
      <c r="H937">
        <v>2</v>
      </c>
      <c r="I937" s="21">
        <v>14766</v>
      </c>
      <c r="J937">
        <v>5</v>
      </c>
      <c r="K937" s="21">
        <v>1476.6</v>
      </c>
      <c r="L937" s="21">
        <v>28055.4</v>
      </c>
      <c r="M937" s="21">
        <v>15632.31</v>
      </c>
      <c r="N937" s="21">
        <v>12423.09</v>
      </c>
      <c r="O937" t="s">
        <v>55</v>
      </c>
      <c r="P937" s="21">
        <v>430.87</v>
      </c>
      <c r="Q937" t="s">
        <v>30</v>
      </c>
      <c r="R937" t="s">
        <v>41</v>
      </c>
      <c r="S937">
        <v>2</v>
      </c>
      <c r="T937">
        <v>4</v>
      </c>
      <c r="U937" t="s">
        <v>32</v>
      </c>
      <c r="V937" t="s">
        <v>50</v>
      </c>
      <c r="W937">
        <v>2</v>
      </c>
    </row>
    <row r="938" spans="1:23" x14ac:dyDescent="0.25">
      <c r="A938" t="s">
        <v>1499</v>
      </c>
      <c r="B938" s="1">
        <v>46009</v>
      </c>
      <c r="C938" t="s">
        <v>142</v>
      </c>
      <c r="D938" t="s">
        <v>154</v>
      </c>
      <c r="E938" t="s">
        <v>26</v>
      </c>
      <c r="F938" t="s">
        <v>86</v>
      </c>
      <c r="G938" t="s">
        <v>180</v>
      </c>
      <c r="H938">
        <v>1</v>
      </c>
      <c r="I938" s="21">
        <v>54004</v>
      </c>
      <c r="J938">
        <v>0</v>
      </c>
      <c r="K938" s="21">
        <v>0</v>
      </c>
      <c r="L938" s="21">
        <v>54004</v>
      </c>
      <c r="M938" s="21">
        <v>38345.1</v>
      </c>
      <c r="N938" s="21">
        <v>15658.9</v>
      </c>
      <c r="O938" t="s">
        <v>60</v>
      </c>
      <c r="P938" s="21">
        <v>339.85</v>
      </c>
      <c r="Q938" t="s">
        <v>83</v>
      </c>
      <c r="R938" t="s">
        <v>31</v>
      </c>
      <c r="S938">
        <v>5</v>
      </c>
      <c r="T938">
        <v>2</v>
      </c>
      <c r="U938" t="s">
        <v>32</v>
      </c>
      <c r="V938" t="s">
        <v>50</v>
      </c>
      <c r="W938">
        <v>5</v>
      </c>
    </row>
    <row r="939" spans="1:23" x14ac:dyDescent="0.25">
      <c r="A939" t="s">
        <v>1500</v>
      </c>
      <c r="B939" s="1">
        <v>45685</v>
      </c>
      <c r="C939" t="s">
        <v>860</v>
      </c>
      <c r="D939" t="s">
        <v>71</v>
      </c>
      <c r="E939" t="s">
        <v>46</v>
      </c>
      <c r="F939" t="s">
        <v>47</v>
      </c>
      <c r="G939" t="s">
        <v>64</v>
      </c>
      <c r="H939">
        <v>1</v>
      </c>
      <c r="I939" s="21">
        <v>22020</v>
      </c>
      <c r="J939">
        <v>10</v>
      </c>
      <c r="K939" s="21">
        <v>2202</v>
      </c>
      <c r="L939" s="21">
        <v>19818</v>
      </c>
      <c r="M939" s="21">
        <v>12832.21</v>
      </c>
      <c r="N939" s="21">
        <v>6985.79</v>
      </c>
      <c r="O939" t="s">
        <v>60</v>
      </c>
      <c r="P939" s="21">
        <v>890.54</v>
      </c>
      <c r="Q939" t="s">
        <v>30</v>
      </c>
      <c r="R939" t="s">
        <v>41</v>
      </c>
      <c r="S939">
        <v>2</v>
      </c>
      <c r="T939">
        <v>3</v>
      </c>
      <c r="U939" t="s">
        <v>32</v>
      </c>
      <c r="V939" t="s">
        <v>42</v>
      </c>
    </row>
    <row r="940" spans="1:23" x14ac:dyDescent="0.25">
      <c r="A940" t="s">
        <v>1501</v>
      </c>
      <c r="B940" s="1">
        <v>45735</v>
      </c>
      <c r="C940" t="s">
        <v>1350</v>
      </c>
      <c r="D940" t="s">
        <v>90</v>
      </c>
      <c r="E940" t="s">
        <v>26</v>
      </c>
      <c r="F940" t="s">
        <v>47</v>
      </c>
      <c r="G940" t="s">
        <v>138</v>
      </c>
      <c r="H940">
        <v>1</v>
      </c>
      <c r="I940" s="21">
        <v>41611</v>
      </c>
      <c r="J940">
        <v>15</v>
      </c>
      <c r="K940" s="21">
        <v>6241.65</v>
      </c>
      <c r="L940" s="21">
        <v>35369.35</v>
      </c>
      <c r="M940" s="21">
        <v>25146.31</v>
      </c>
      <c r="N940" s="21">
        <v>10223.040000000001</v>
      </c>
      <c r="O940" t="s">
        <v>55</v>
      </c>
      <c r="P940" s="21">
        <v>477.14</v>
      </c>
      <c r="Q940" t="s">
        <v>83</v>
      </c>
      <c r="R940" t="s">
        <v>31</v>
      </c>
      <c r="S940">
        <v>5</v>
      </c>
      <c r="T940">
        <v>5</v>
      </c>
      <c r="U940" t="s">
        <v>32</v>
      </c>
      <c r="V940" t="s">
        <v>33</v>
      </c>
      <c r="W940">
        <v>2</v>
      </c>
    </row>
    <row r="941" spans="1:23" x14ac:dyDescent="0.25">
      <c r="A941" t="s">
        <v>1502</v>
      </c>
      <c r="B941" s="1">
        <v>45734</v>
      </c>
      <c r="C941" t="s">
        <v>1378</v>
      </c>
      <c r="D941" t="s">
        <v>45</v>
      </c>
      <c r="E941" t="s">
        <v>46</v>
      </c>
      <c r="F941" t="s">
        <v>86</v>
      </c>
      <c r="G941" t="s">
        <v>87</v>
      </c>
      <c r="H941">
        <v>2</v>
      </c>
      <c r="I941" s="21">
        <v>63340</v>
      </c>
      <c r="J941">
        <v>0</v>
      </c>
      <c r="K941" s="21">
        <v>0</v>
      </c>
      <c r="L941" s="21">
        <v>126680</v>
      </c>
      <c r="M941" s="21">
        <v>72373.81</v>
      </c>
      <c r="N941" s="21">
        <v>54306.19</v>
      </c>
      <c r="O941" t="s">
        <v>60</v>
      </c>
      <c r="P941" s="21">
        <v>753.26</v>
      </c>
      <c r="Q941" t="s">
        <v>68</v>
      </c>
      <c r="R941" t="s">
        <v>31</v>
      </c>
      <c r="S941">
        <v>5</v>
      </c>
      <c r="T941">
        <v>4</v>
      </c>
      <c r="U941" t="s">
        <v>32</v>
      </c>
      <c r="V941" t="s">
        <v>42</v>
      </c>
    </row>
    <row r="942" spans="1:23" x14ac:dyDescent="0.25">
      <c r="A942" t="s">
        <v>1503</v>
      </c>
      <c r="B942" s="1">
        <v>45946</v>
      </c>
      <c r="C942" t="s">
        <v>1346</v>
      </c>
      <c r="D942" t="s">
        <v>90</v>
      </c>
      <c r="E942" t="s">
        <v>46</v>
      </c>
      <c r="F942" t="s">
        <v>27</v>
      </c>
      <c r="G942" t="s">
        <v>164</v>
      </c>
      <c r="H942">
        <v>1</v>
      </c>
      <c r="I942" s="21">
        <v>4317</v>
      </c>
      <c r="J942">
        <v>0</v>
      </c>
      <c r="K942" s="21">
        <v>0</v>
      </c>
      <c r="L942" s="21">
        <v>4317</v>
      </c>
      <c r="M942" s="21">
        <v>2433.3000000000002</v>
      </c>
      <c r="N942" s="21">
        <v>1883.7</v>
      </c>
      <c r="O942" t="s">
        <v>39</v>
      </c>
      <c r="P942" s="21">
        <v>1274.92</v>
      </c>
      <c r="Q942" t="s">
        <v>73</v>
      </c>
      <c r="R942" t="s">
        <v>41</v>
      </c>
      <c r="S942">
        <v>2</v>
      </c>
      <c r="T942">
        <v>5</v>
      </c>
      <c r="U942" t="s">
        <v>32</v>
      </c>
      <c r="V942" t="s">
        <v>42</v>
      </c>
    </row>
    <row r="943" spans="1:23" x14ac:dyDescent="0.25">
      <c r="A943" t="s">
        <v>1504</v>
      </c>
      <c r="B943" s="1">
        <v>45813</v>
      </c>
      <c r="C943" t="s">
        <v>1012</v>
      </c>
      <c r="D943" t="s">
        <v>45</v>
      </c>
      <c r="E943" t="s">
        <v>26</v>
      </c>
      <c r="F943" t="s">
        <v>53</v>
      </c>
      <c r="G943" t="s">
        <v>151</v>
      </c>
      <c r="H943">
        <v>3</v>
      </c>
      <c r="I943" s="21">
        <v>17905</v>
      </c>
      <c r="J943">
        <v>0</v>
      </c>
      <c r="K943" s="21">
        <v>0</v>
      </c>
      <c r="L943" s="21">
        <v>53715</v>
      </c>
      <c r="M943" s="21">
        <v>34112.39</v>
      </c>
      <c r="N943" s="21">
        <v>19602.61</v>
      </c>
      <c r="O943" t="s">
        <v>91</v>
      </c>
      <c r="P943" s="21">
        <v>595.88</v>
      </c>
      <c r="Q943" t="s">
        <v>73</v>
      </c>
      <c r="R943" t="s">
        <v>31</v>
      </c>
      <c r="S943">
        <v>5</v>
      </c>
      <c r="T943">
        <v>2</v>
      </c>
      <c r="U943" t="s">
        <v>32</v>
      </c>
      <c r="V943" t="s">
        <v>50</v>
      </c>
      <c r="W943">
        <v>5</v>
      </c>
    </row>
    <row r="944" spans="1:23" x14ac:dyDescent="0.25">
      <c r="A944" t="s">
        <v>1505</v>
      </c>
      <c r="B944" s="1">
        <v>45701</v>
      </c>
      <c r="C944" t="s">
        <v>1136</v>
      </c>
      <c r="D944" t="s">
        <v>90</v>
      </c>
      <c r="E944" t="s">
        <v>46</v>
      </c>
      <c r="F944" t="s">
        <v>37</v>
      </c>
      <c r="G944" t="s">
        <v>38</v>
      </c>
      <c r="H944">
        <v>2</v>
      </c>
      <c r="I944" s="21">
        <v>38680</v>
      </c>
      <c r="J944">
        <v>20</v>
      </c>
      <c r="K944" s="21">
        <v>15472</v>
      </c>
      <c r="L944" s="21">
        <v>61888</v>
      </c>
      <c r="M944" s="21">
        <v>44713.96</v>
      </c>
      <c r="N944" s="21">
        <v>17174.04</v>
      </c>
      <c r="O944" t="s">
        <v>29</v>
      </c>
      <c r="P944" s="21">
        <v>1557.73</v>
      </c>
      <c r="Q944" t="s">
        <v>83</v>
      </c>
      <c r="R944" t="s">
        <v>31</v>
      </c>
      <c r="S944">
        <v>5</v>
      </c>
      <c r="T944">
        <v>1</v>
      </c>
      <c r="U944" t="s">
        <v>32</v>
      </c>
      <c r="V944" t="s">
        <v>50</v>
      </c>
      <c r="W944">
        <v>4</v>
      </c>
    </row>
    <row r="945" spans="1:23" x14ac:dyDescent="0.25">
      <c r="A945" t="s">
        <v>1506</v>
      </c>
      <c r="B945" s="1">
        <v>45785</v>
      </c>
      <c r="C945" t="s">
        <v>478</v>
      </c>
      <c r="D945" t="s">
        <v>63</v>
      </c>
      <c r="E945" t="s">
        <v>46</v>
      </c>
      <c r="F945" t="s">
        <v>27</v>
      </c>
      <c r="G945" t="s">
        <v>113</v>
      </c>
      <c r="H945">
        <v>1</v>
      </c>
      <c r="I945" s="21">
        <v>19391</v>
      </c>
      <c r="J945">
        <v>0</v>
      </c>
      <c r="K945" s="21">
        <v>0</v>
      </c>
      <c r="L945" s="21">
        <v>19391</v>
      </c>
      <c r="M945" s="21">
        <v>13204.41</v>
      </c>
      <c r="N945" s="21">
        <v>6186.59</v>
      </c>
      <c r="O945" t="s">
        <v>55</v>
      </c>
      <c r="P945" s="21">
        <v>736.59</v>
      </c>
      <c r="Q945" t="s">
        <v>68</v>
      </c>
      <c r="R945" t="s">
        <v>41</v>
      </c>
      <c r="S945">
        <v>2</v>
      </c>
      <c r="T945">
        <v>1</v>
      </c>
      <c r="U945" t="s">
        <v>32</v>
      </c>
      <c r="V945" t="s">
        <v>42</v>
      </c>
    </row>
    <row r="946" spans="1:23" x14ac:dyDescent="0.25">
      <c r="A946" t="s">
        <v>1507</v>
      </c>
      <c r="B946" s="1">
        <v>45718</v>
      </c>
      <c r="C946" t="s">
        <v>1508</v>
      </c>
      <c r="D946" t="s">
        <v>124</v>
      </c>
      <c r="E946" t="s">
        <v>26</v>
      </c>
      <c r="F946" t="s">
        <v>86</v>
      </c>
      <c r="G946" t="s">
        <v>127</v>
      </c>
      <c r="H946">
        <v>1</v>
      </c>
      <c r="I946" s="21">
        <v>43893</v>
      </c>
      <c r="J946">
        <v>20</v>
      </c>
      <c r="K946" s="21">
        <v>8778.6</v>
      </c>
      <c r="L946" s="21">
        <v>35114.400000000001</v>
      </c>
      <c r="M946" s="21">
        <v>26964.12</v>
      </c>
      <c r="N946" s="21">
        <v>8150.28</v>
      </c>
      <c r="O946" t="s">
        <v>49</v>
      </c>
      <c r="P946" s="21">
        <v>447.54</v>
      </c>
      <c r="Q946" t="s">
        <v>68</v>
      </c>
      <c r="R946" t="s">
        <v>41</v>
      </c>
      <c r="S946">
        <v>2</v>
      </c>
      <c r="T946">
        <v>5</v>
      </c>
      <c r="U946" t="s">
        <v>56</v>
      </c>
      <c r="V946" t="s">
        <v>33</v>
      </c>
      <c r="W946">
        <v>2</v>
      </c>
    </row>
    <row r="947" spans="1:23" x14ac:dyDescent="0.25">
      <c r="A947" t="s">
        <v>1509</v>
      </c>
      <c r="B947" s="1">
        <v>45943</v>
      </c>
      <c r="C947" t="s">
        <v>445</v>
      </c>
      <c r="D947" t="s">
        <v>90</v>
      </c>
      <c r="E947" t="s">
        <v>26</v>
      </c>
      <c r="F947" t="s">
        <v>53</v>
      </c>
      <c r="G947" t="s">
        <v>268</v>
      </c>
      <c r="H947">
        <v>3</v>
      </c>
      <c r="I947" s="21">
        <v>119657</v>
      </c>
      <c r="J947">
        <v>0</v>
      </c>
      <c r="K947" s="21">
        <v>0</v>
      </c>
      <c r="L947" s="21">
        <v>358971</v>
      </c>
      <c r="M947" s="21">
        <v>278948.25</v>
      </c>
      <c r="N947" s="21">
        <v>80022.75</v>
      </c>
      <c r="O947" t="s">
        <v>29</v>
      </c>
      <c r="P947" s="21">
        <v>1719.01</v>
      </c>
      <c r="Q947" t="s">
        <v>73</v>
      </c>
      <c r="R947" t="s">
        <v>31</v>
      </c>
      <c r="S947">
        <v>5</v>
      </c>
      <c r="T947">
        <v>5</v>
      </c>
      <c r="U947" t="s">
        <v>32</v>
      </c>
      <c r="V947" t="s">
        <v>50</v>
      </c>
      <c r="W947">
        <v>5</v>
      </c>
    </row>
    <row r="948" spans="1:23" x14ac:dyDescent="0.25">
      <c r="A948" t="s">
        <v>1510</v>
      </c>
      <c r="B948" s="1">
        <v>45871</v>
      </c>
      <c r="C948" t="s">
        <v>622</v>
      </c>
      <c r="D948" t="s">
        <v>124</v>
      </c>
      <c r="E948" t="s">
        <v>26</v>
      </c>
      <c r="F948" t="s">
        <v>53</v>
      </c>
      <c r="G948" t="s">
        <v>82</v>
      </c>
      <c r="H948">
        <v>2</v>
      </c>
      <c r="I948" s="21">
        <v>83915</v>
      </c>
      <c r="J948">
        <v>0</v>
      </c>
      <c r="K948" s="21">
        <v>0</v>
      </c>
      <c r="L948" s="21">
        <v>167830</v>
      </c>
      <c r="M948" s="21">
        <v>132973.5</v>
      </c>
      <c r="N948" s="21">
        <v>34856.5</v>
      </c>
      <c r="O948" t="s">
        <v>39</v>
      </c>
      <c r="P948" s="21">
        <v>1881.2</v>
      </c>
      <c r="Q948" t="s">
        <v>40</v>
      </c>
      <c r="R948" t="s">
        <v>41</v>
      </c>
      <c r="S948">
        <v>2</v>
      </c>
      <c r="T948">
        <v>1</v>
      </c>
      <c r="U948" t="s">
        <v>32</v>
      </c>
      <c r="V948" t="s">
        <v>33</v>
      </c>
      <c r="W948">
        <v>1</v>
      </c>
    </row>
    <row r="949" spans="1:23" x14ac:dyDescent="0.25">
      <c r="A949" t="s">
        <v>1511</v>
      </c>
      <c r="B949" s="1">
        <v>45968</v>
      </c>
      <c r="C949" t="s">
        <v>174</v>
      </c>
      <c r="D949" t="s">
        <v>97</v>
      </c>
      <c r="E949" t="s">
        <v>36</v>
      </c>
      <c r="F949" t="s">
        <v>37</v>
      </c>
      <c r="G949" t="s">
        <v>38</v>
      </c>
      <c r="H949">
        <v>3</v>
      </c>
      <c r="I949" s="21">
        <v>39068</v>
      </c>
      <c r="J949">
        <v>0</v>
      </c>
      <c r="K949" s="21">
        <v>0</v>
      </c>
      <c r="L949" s="21">
        <v>117204</v>
      </c>
      <c r="M949" s="21">
        <v>69548.08</v>
      </c>
      <c r="N949" s="21">
        <v>47655.92</v>
      </c>
      <c r="O949" t="s">
        <v>55</v>
      </c>
      <c r="P949" s="21">
        <v>1400.48</v>
      </c>
      <c r="Q949" t="s">
        <v>68</v>
      </c>
      <c r="R949" t="s">
        <v>41</v>
      </c>
      <c r="S949">
        <v>2</v>
      </c>
      <c r="T949">
        <v>1</v>
      </c>
      <c r="U949" t="s">
        <v>32</v>
      </c>
      <c r="V949" t="s">
        <v>33</v>
      </c>
      <c r="W949">
        <v>3</v>
      </c>
    </row>
    <row r="950" spans="1:23" x14ac:dyDescent="0.25">
      <c r="A950" t="s">
        <v>1512</v>
      </c>
      <c r="B950" s="1">
        <v>45963</v>
      </c>
      <c r="C950" t="s">
        <v>396</v>
      </c>
      <c r="D950" t="s">
        <v>25</v>
      </c>
      <c r="E950" t="s">
        <v>36</v>
      </c>
      <c r="F950" t="s">
        <v>37</v>
      </c>
      <c r="G950" t="s">
        <v>100</v>
      </c>
      <c r="H950">
        <v>1</v>
      </c>
      <c r="I950" s="21">
        <v>7068</v>
      </c>
      <c r="J950">
        <v>15</v>
      </c>
      <c r="K950" s="21">
        <v>1060.2</v>
      </c>
      <c r="L950" s="21">
        <v>6007.8</v>
      </c>
      <c r="M950" s="21">
        <v>4073.67</v>
      </c>
      <c r="N950" s="21">
        <v>1934.13</v>
      </c>
      <c r="O950" t="s">
        <v>60</v>
      </c>
      <c r="P950" s="21">
        <v>2137.96</v>
      </c>
      <c r="Q950" t="s">
        <v>68</v>
      </c>
      <c r="R950" t="s">
        <v>31</v>
      </c>
      <c r="S950">
        <v>5</v>
      </c>
      <c r="T950">
        <v>4</v>
      </c>
      <c r="U950" t="s">
        <v>32</v>
      </c>
      <c r="V950" t="s">
        <v>33</v>
      </c>
      <c r="W950">
        <v>5</v>
      </c>
    </row>
    <row r="951" spans="1:23" x14ac:dyDescent="0.25">
      <c r="A951" t="s">
        <v>1513</v>
      </c>
      <c r="B951" s="1">
        <v>45974</v>
      </c>
      <c r="C951" t="s">
        <v>758</v>
      </c>
      <c r="D951" t="s">
        <v>63</v>
      </c>
      <c r="E951" t="s">
        <v>46</v>
      </c>
      <c r="F951" t="s">
        <v>27</v>
      </c>
      <c r="G951" t="s">
        <v>28</v>
      </c>
      <c r="H951">
        <v>2</v>
      </c>
      <c r="I951" s="21">
        <v>20241</v>
      </c>
      <c r="J951">
        <v>10</v>
      </c>
      <c r="K951" s="21">
        <v>4048.2</v>
      </c>
      <c r="L951" s="21">
        <v>36433.800000000003</v>
      </c>
      <c r="M951" s="21">
        <v>27824.31</v>
      </c>
      <c r="N951" s="21">
        <v>8609.49</v>
      </c>
      <c r="O951" t="s">
        <v>29</v>
      </c>
      <c r="P951" s="21">
        <v>2278.77</v>
      </c>
      <c r="Q951" t="s">
        <v>68</v>
      </c>
      <c r="R951" t="s">
        <v>41</v>
      </c>
      <c r="S951">
        <v>2</v>
      </c>
      <c r="T951">
        <v>4</v>
      </c>
      <c r="U951" t="s">
        <v>32</v>
      </c>
      <c r="V951" t="s">
        <v>42</v>
      </c>
    </row>
    <row r="952" spans="1:23" x14ac:dyDescent="0.25">
      <c r="A952" t="s">
        <v>1514</v>
      </c>
      <c r="B952" s="1">
        <v>45773</v>
      </c>
      <c r="C952" t="s">
        <v>766</v>
      </c>
      <c r="D952" t="s">
        <v>67</v>
      </c>
      <c r="E952" t="s">
        <v>26</v>
      </c>
      <c r="F952" t="s">
        <v>27</v>
      </c>
      <c r="G952" t="s">
        <v>113</v>
      </c>
      <c r="H952">
        <v>1</v>
      </c>
      <c r="I952" s="21">
        <v>26876</v>
      </c>
      <c r="J952">
        <v>10</v>
      </c>
      <c r="K952" s="21">
        <v>2687.6</v>
      </c>
      <c r="L952" s="21">
        <v>24188.400000000001</v>
      </c>
      <c r="M952" s="21">
        <v>19212.240000000002</v>
      </c>
      <c r="N952" s="21">
        <v>4976.16</v>
      </c>
      <c r="O952" t="s">
        <v>49</v>
      </c>
      <c r="P952" s="21">
        <v>209.57</v>
      </c>
      <c r="Q952" t="s">
        <v>83</v>
      </c>
      <c r="R952" t="s">
        <v>41</v>
      </c>
      <c r="S952">
        <v>2</v>
      </c>
      <c r="T952">
        <v>1</v>
      </c>
      <c r="U952" t="s">
        <v>32</v>
      </c>
      <c r="V952" t="s">
        <v>33</v>
      </c>
      <c r="W952">
        <v>1</v>
      </c>
    </row>
    <row r="953" spans="1:23" x14ac:dyDescent="0.25">
      <c r="A953" t="s">
        <v>1515</v>
      </c>
      <c r="B953" s="1">
        <v>45925</v>
      </c>
      <c r="C953" t="s">
        <v>156</v>
      </c>
      <c r="D953" t="s">
        <v>154</v>
      </c>
      <c r="E953" t="s">
        <v>46</v>
      </c>
      <c r="F953" t="s">
        <v>27</v>
      </c>
      <c r="G953" t="s">
        <v>28</v>
      </c>
      <c r="H953">
        <v>3</v>
      </c>
      <c r="I953" s="21">
        <v>10844</v>
      </c>
      <c r="J953">
        <v>15</v>
      </c>
      <c r="K953" s="21">
        <v>4879.8</v>
      </c>
      <c r="L953" s="21">
        <v>27652.2</v>
      </c>
      <c r="M953" s="21">
        <v>17852.03</v>
      </c>
      <c r="N953" s="21">
        <v>9800.17</v>
      </c>
      <c r="O953" t="s">
        <v>60</v>
      </c>
      <c r="P953" s="21">
        <v>873.55</v>
      </c>
      <c r="Q953" t="s">
        <v>83</v>
      </c>
      <c r="R953" t="s">
        <v>41</v>
      </c>
      <c r="S953">
        <v>2</v>
      </c>
      <c r="T953">
        <v>2</v>
      </c>
      <c r="U953" t="s">
        <v>32</v>
      </c>
      <c r="V953" t="s">
        <v>33</v>
      </c>
      <c r="W953">
        <v>2</v>
      </c>
    </row>
    <row r="954" spans="1:23" x14ac:dyDescent="0.25">
      <c r="A954" t="s">
        <v>1516</v>
      </c>
      <c r="B954" s="1">
        <v>45852</v>
      </c>
      <c r="C954" t="s">
        <v>466</v>
      </c>
      <c r="D954" t="s">
        <v>45</v>
      </c>
      <c r="E954" t="s">
        <v>46</v>
      </c>
      <c r="F954" t="s">
        <v>37</v>
      </c>
      <c r="G954" t="s">
        <v>100</v>
      </c>
      <c r="H954">
        <v>1</v>
      </c>
      <c r="I954" s="21">
        <v>21409</v>
      </c>
      <c r="J954">
        <v>20</v>
      </c>
      <c r="K954" s="21">
        <v>4281.8</v>
      </c>
      <c r="L954" s="21">
        <v>17127.2</v>
      </c>
      <c r="M954" s="21">
        <v>11786.24</v>
      </c>
      <c r="N954" s="21">
        <v>5340.96</v>
      </c>
      <c r="O954" t="s">
        <v>60</v>
      </c>
      <c r="P954" s="21">
        <v>226.72</v>
      </c>
      <c r="Q954" t="s">
        <v>40</v>
      </c>
      <c r="R954" t="s">
        <v>31</v>
      </c>
      <c r="S954">
        <v>5</v>
      </c>
      <c r="T954">
        <v>2</v>
      </c>
      <c r="U954" t="s">
        <v>32</v>
      </c>
      <c r="V954" t="s">
        <v>33</v>
      </c>
      <c r="W954">
        <v>4</v>
      </c>
    </row>
    <row r="955" spans="1:23" x14ac:dyDescent="0.25">
      <c r="A955" t="s">
        <v>1517</v>
      </c>
      <c r="B955" s="1">
        <v>45888</v>
      </c>
      <c r="C955" t="s">
        <v>1518</v>
      </c>
      <c r="D955" t="s">
        <v>154</v>
      </c>
      <c r="E955" t="s">
        <v>36</v>
      </c>
      <c r="F955" t="s">
        <v>86</v>
      </c>
      <c r="G955" t="s">
        <v>180</v>
      </c>
      <c r="H955">
        <v>1</v>
      </c>
      <c r="I955" s="21">
        <v>59297</v>
      </c>
      <c r="J955">
        <v>25</v>
      </c>
      <c r="K955" s="21">
        <v>14824.25</v>
      </c>
      <c r="L955" s="21">
        <v>44472.75</v>
      </c>
      <c r="M955" s="21">
        <v>25961.66</v>
      </c>
      <c r="N955" s="21">
        <v>18511.09</v>
      </c>
      <c r="O955" t="s">
        <v>91</v>
      </c>
      <c r="P955" s="21">
        <v>1429.63</v>
      </c>
      <c r="Q955" t="s">
        <v>40</v>
      </c>
      <c r="R955" t="s">
        <v>31</v>
      </c>
      <c r="S955">
        <v>5</v>
      </c>
      <c r="T955">
        <v>2</v>
      </c>
      <c r="U955" t="s">
        <v>32</v>
      </c>
      <c r="V955" t="s">
        <v>42</v>
      </c>
    </row>
    <row r="956" spans="1:23" x14ac:dyDescent="0.25">
      <c r="A956" t="s">
        <v>1519</v>
      </c>
      <c r="B956" s="1">
        <v>45884</v>
      </c>
      <c r="C956" t="s">
        <v>1281</v>
      </c>
      <c r="D956" t="s">
        <v>71</v>
      </c>
      <c r="E956" t="s">
        <v>36</v>
      </c>
      <c r="F956" t="s">
        <v>37</v>
      </c>
      <c r="G956" t="s">
        <v>161</v>
      </c>
      <c r="H956">
        <v>1</v>
      </c>
      <c r="I956" s="21">
        <v>8466</v>
      </c>
      <c r="J956">
        <v>15</v>
      </c>
      <c r="K956" s="21">
        <v>1269.9000000000001</v>
      </c>
      <c r="L956" s="21">
        <v>7196.1</v>
      </c>
      <c r="M956" s="21">
        <v>4000.71</v>
      </c>
      <c r="N956" s="21">
        <v>3195.39</v>
      </c>
      <c r="O956" t="s">
        <v>91</v>
      </c>
      <c r="P956" s="21">
        <v>369.86</v>
      </c>
      <c r="Q956" t="s">
        <v>83</v>
      </c>
      <c r="R956" t="s">
        <v>31</v>
      </c>
      <c r="S956">
        <v>5</v>
      </c>
      <c r="T956">
        <v>4</v>
      </c>
      <c r="U956" t="s">
        <v>32</v>
      </c>
      <c r="V956" t="s">
        <v>33</v>
      </c>
      <c r="W956">
        <v>3</v>
      </c>
    </row>
    <row r="957" spans="1:23" x14ac:dyDescent="0.25">
      <c r="A957" t="s">
        <v>1520</v>
      </c>
      <c r="B957" s="1">
        <v>45810</v>
      </c>
      <c r="C957" t="s">
        <v>1521</v>
      </c>
      <c r="D957" t="s">
        <v>45</v>
      </c>
      <c r="E957" t="s">
        <v>36</v>
      </c>
      <c r="F957" t="s">
        <v>37</v>
      </c>
      <c r="G957" t="s">
        <v>161</v>
      </c>
      <c r="H957">
        <v>4</v>
      </c>
      <c r="I957" s="21">
        <v>19246</v>
      </c>
      <c r="J957">
        <v>5</v>
      </c>
      <c r="K957" s="21">
        <v>3849.2</v>
      </c>
      <c r="L957" s="21">
        <v>73134.8</v>
      </c>
      <c r="M957" s="21">
        <v>49605.86</v>
      </c>
      <c r="N957" s="21">
        <v>23528.94</v>
      </c>
      <c r="O957" t="s">
        <v>49</v>
      </c>
      <c r="P957" s="21">
        <v>133.96</v>
      </c>
      <c r="Q957" t="s">
        <v>68</v>
      </c>
      <c r="R957" t="s">
        <v>31</v>
      </c>
      <c r="S957">
        <v>5</v>
      </c>
      <c r="T957">
        <v>7</v>
      </c>
      <c r="U957" t="s">
        <v>56</v>
      </c>
      <c r="V957" t="s">
        <v>33</v>
      </c>
      <c r="W957">
        <v>3</v>
      </c>
    </row>
    <row r="958" spans="1:23" x14ac:dyDescent="0.25">
      <c r="A958" t="s">
        <v>1522</v>
      </c>
      <c r="B958" s="1">
        <v>45959</v>
      </c>
      <c r="C958" t="s">
        <v>1523</v>
      </c>
      <c r="D958" t="s">
        <v>97</v>
      </c>
      <c r="E958" t="s">
        <v>46</v>
      </c>
      <c r="F958" t="s">
        <v>53</v>
      </c>
      <c r="G958" t="s">
        <v>59</v>
      </c>
      <c r="H958">
        <v>1</v>
      </c>
      <c r="I958" s="21">
        <v>117797</v>
      </c>
      <c r="J958">
        <v>10</v>
      </c>
      <c r="K958" s="21">
        <v>11779.7</v>
      </c>
      <c r="L958" s="21">
        <v>106017.3</v>
      </c>
      <c r="M958" s="21">
        <v>79791.66</v>
      </c>
      <c r="N958" s="21">
        <v>26225.64</v>
      </c>
      <c r="O958" t="s">
        <v>29</v>
      </c>
      <c r="P958" s="21">
        <v>486.51</v>
      </c>
      <c r="Q958" t="s">
        <v>83</v>
      </c>
      <c r="R958" t="s">
        <v>31</v>
      </c>
      <c r="S958">
        <v>5</v>
      </c>
      <c r="T958">
        <v>5</v>
      </c>
      <c r="U958" t="s">
        <v>32</v>
      </c>
      <c r="V958" t="s">
        <v>33</v>
      </c>
      <c r="W958">
        <v>3</v>
      </c>
    </row>
    <row r="959" spans="1:23" x14ac:dyDescent="0.25">
      <c r="A959" t="s">
        <v>1524</v>
      </c>
      <c r="B959" s="1">
        <v>45877</v>
      </c>
      <c r="C959" t="s">
        <v>1346</v>
      </c>
      <c r="D959" t="s">
        <v>124</v>
      </c>
      <c r="E959" t="s">
        <v>46</v>
      </c>
      <c r="F959" t="s">
        <v>27</v>
      </c>
      <c r="G959" t="s">
        <v>72</v>
      </c>
      <c r="H959">
        <v>1</v>
      </c>
      <c r="I959" s="21">
        <v>5570</v>
      </c>
      <c r="J959">
        <v>20</v>
      </c>
      <c r="K959" s="21">
        <v>1114</v>
      </c>
      <c r="L959" s="21">
        <v>4456</v>
      </c>
      <c r="M959" s="21">
        <v>3529.49</v>
      </c>
      <c r="N959" s="21">
        <v>926.51</v>
      </c>
      <c r="O959" t="s">
        <v>49</v>
      </c>
      <c r="P959" s="21">
        <v>107.05</v>
      </c>
      <c r="Q959" t="s">
        <v>73</v>
      </c>
      <c r="R959" t="s">
        <v>31</v>
      </c>
      <c r="S959">
        <v>5</v>
      </c>
      <c r="T959">
        <v>6</v>
      </c>
      <c r="U959" t="s">
        <v>32</v>
      </c>
      <c r="V959" t="s">
        <v>50</v>
      </c>
      <c r="W959">
        <v>5</v>
      </c>
    </row>
    <row r="960" spans="1:23" x14ac:dyDescent="0.25">
      <c r="A960" t="s">
        <v>1525</v>
      </c>
      <c r="B960" s="1">
        <v>45814</v>
      </c>
      <c r="C960" t="s">
        <v>109</v>
      </c>
      <c r="D960" t="s">
        <v>97</v>
      </c>
      <c r="E960" t="s">
        <v>46</v>
      </c>
      <c r="F960" t="s">
        <v>37</v>
      </c>
      <c r="G960" t="s">
        <v>38</v>
      </c>
      <c r="H960">
        <v>1</v>
      </c>
      <c r="I960" s="21">
        <v>13532</v>
      </c>
      <c r="J960">
        <v>0</v>
      </c>
      <c r="K960" s="21">
        <v>0</v>
      </c>
      <c r="L960" s="21">
        <v>13532</v>
      </c>
      <c r="M960" s="21">
        <v>8434.56</v>
      </c>
      <c r="N960" s="21">
        <v>5097.4399999999996</v>
      </c>
      <c r="O960" t="s">
        <v>49</v>
      </c>
      <c r="P960" s="21">
        <v>282.64</v>
      </c>
      <c r="Q960" t="s">
        <v>83</v>
      </c>
      <c r="R960" t="s">
        <v>41</v>
      </c>
      <c r="S960">
        <v>2</v>
      </c>
      <c r="T960">
        <v>3</v>
      </c>
      <c r="U960" t="s">
        <v>56</v>
      </c>
      <c r="V960" t="s">
        <v>33</v>
      </c>
      <c r="W960">
        <v>4</v>
      </c>
    </row>
    <row r="961" spans="1:23" x14ac:dyDescent="0.25">
      <c r="A961" t="s">
        <v>1526</v>
      </c>
      <c r="B961" s="1">
        <v>45949</v>
      </c>
      <c r="C961" t="s">
        <v>1481</v>
      </c>
      <c r="D961" t="s">
        <v>71</v>
      </c>
      <c r="E961" t="s">
        <v>46</v>
      </c>
      <c r="F961" t="s">
        <v>47</v>
      </c>
      <c r="G961" t="s">
        <v>48</v>
      </c>
      <c r="H961">
        <v>1</v>
      </c>
      <c r="I961" s="21">
        <v>47400</v>
      </c>
      <c r="J961">
        <v>15</v>
      </c>
      <c r="K961" s="21">
        <v>7110</v>
      </c>
      <c r="L961" s="21">
        <v>40290</v>
      </c>
      <c r="M961" s="21">
        <v>29736.01</v>
      </c>
      <c r="N961" s="21">
        <v>10553.99</v>
      </c>
      <c r="O961" t="s">
        <v>49</v>
      </c>
      <c r="P961" s="21">
        <v>468.64</v>
      </c>
      <c r="Q961" t="s">
        <v>30</v>
      </c>
      <c r="R961" t="s">
        <v>41</v>
      </c>
      <c r="S961">
        <v>2</v>
      </c>
      <c r="T961">
        <v>2</v>
      </c>
      <c r="U961" t="s">
        <v>32</v>
      </c>
      <c r="V961" t="s">
        <v>42</v>
      </c>
    </row>
    <row r="962" spans="1:23" x14ac:dyDescent="0.25">
      <c r="A962" t="s">
        <v>1527</v>
      </c>
      <c r="B962" s="1">
        <v>45975</v>
      </c>
      <c r="C962" t="s">
        <v>509</v>
      </c>
      <c r="D962" t="s">
        <v>25</v>
      </c>
      <c r="E962" t="s">
        <v>26</v>
      </c>
      <c r="F962" t="s">
        <v>37</v>
      </c>
      <c r="G962" t="s">
        <v>313</v>
      </c>
      <c r="H962">
        <v>4</v>
      </c>
      <c r="I962" s="21">
        <v>12134</v>
      </c>
      <c r="J962">
        <v>0</v>
      </c>
      <c r="K962" s="21">
        <v>0</v>
      </c>
      <c r="L962" s="21">
        <v>48536</v>
      </c>
      <c r="M962" s="21">
        <v>36161.410000000003</v>
      </c>
      <c r="N962" s="21">
        <v>12374.59</v>
      </c>
      <c r="O962" t="s">
        <v>39</v>
      </c>
      <c r="P962" s="21">
        <v>1781.14</v>
      </c>
      <c r="Q962" t="s">
        <v>30</v>
      </c>
      <c r="R962" t="s">
        <v>31</v>
      </c>
      <c r="S962">
        <v>5</v>
      </c>
      <c r="T962">
        <v>0</v>
      </c>
      <c r="U962" t="s">
        <v>32</v>
      </c>
      <c r="V962" t="s">
        <v>50</v>
      </c>
      <c r="W962">
        <v>5</v>
      </c>
    </row>
    <row r="963" spans="1:23" x14ac:dyDescent="0.25">
      <c r="A963" t="s">
        <v>1528</v>
      </c>
      <c r="B963" s="1">
        <v>45688</v>
      </c>
      <c r="C963" t="s">
        <v>760</v>
      </c>
      <c r="D963" t="s">
        <v>90</v>
      </c>
      <c r="E963" t="s">
        <v>46</v>
      </c>
      <c r="F963" t="s">
        <v>86</v>
      </c>
      <c r="G963" t="s">
        <v>87</v>
      </c>
      <c r="H963">
        <v>1</v>
      </c>
      <c r="I963" s="21">
        <v>14109</v>
      </c>
      <c r="J963">
        <v>25</v>
      </c>
      <c r="K963" s="21">
        <v>3527.25</v>
      </c>
      <c r="L963" s="21">
        <v>10581.75</v>
      </c>
      <c r="M963" s="21">
        <v>8127.06</v>
      </c>
      <c r="N963" s="21">
        <v>2454.69</v>
      </c>
      <c r="O963" t="s">
        <v>39</v>
      </c>
      <c r="P963" s="21">
        <v>771.67</v>
      </c>
      <c r="Q963" t="s">
        <v>68</v>
      </c>
      <c r="R963" t="s">
        <v>41</v>
      </c>
      <c r="S963">
        <v>2</v>
      </c>
      <c r="T963">
        <v>4</v>
      </c>
      <c r="U963" t="s">
        <v>56</v>
      </c>
      <c r="V963" t="s">
        <v>33</v>
      </c>
      <c r="W963">
        <v>3</v>
      </c>
    </row>
    <row r="964" spans="1:23" x14ac:dyDescent="0.25">
      <c r="A964" t="s">
        <v>1529</v>
      </c>
      <c r="B964" s="1">
        <v>45970</v>
      </c>
      <c r="C964" t="s">
        <v>633</v>
      </c>
      <c r="D964" t="s">
        <v>63</v>
      </c>
      <c r="E964" t="s">
        <v>46</v>
      </c>
      <c r="F964" t="s">
        <v>53</v>
      </c>
      <c r="G964" t="s">
        <v>82</v>
      </c>
      <c r="H964">
        <v>1</v>
      </c>
      <c r="I964" s="21">
        <v>72636</v>
      </c>
      <c r="J964">
        <v>0</v>
      </c>
      <c r="K964" s="21">
        <v>0</v>
      </c>
      <c r="L964" s="21">
        <v>72636</v>
      </c>
      <c r="M964" s="21">
        <v>45808.08</v>
      </c>
      <c r="N964" s="21">
        <v>26827.919999999998</v>
      </c>
      <c r="O964" t="s">
        <v>39</v>
      </c>
      <c r="P964" s="21">
        <v>308</v>
      </c>
      <c r="Q964" t="s">
        <v>30</v>
      </c>
      <c r="R964" t="s">
        <v>41</v>
      </c>
      <c r="S964">
        <v>2</v>
      </c>
      <c r="T964">
        <v>1</v>
      </c>
      <c r="U964" t="s">
        <v>32</v>
      </c>
      <c r="V964" t="s">
        <v>42</v>
      </c>
    </row>
    <row r="965" spans="1:23" x14ac:dyDescent="0.25">
      <c r="A965" t="s">
        <v>1530</v>
      </c>
      <c r="B965" s="1">
        <v>45708</v>
      </c>
      <c r="C965" t="s">
        <v>1363</v>
      </c>
      <c r="D965" t="s">
        <v>45</v>
      </c>
      <c r="E965" t="s">
        <v>46</v>
      </c>
      <c r="F965" t="s">
        <v>27</v>
      </c>
      <c r="G965" t="s">
        <v>72</v>
      </c>
      <c r="H965">
        <v>1</v>
      </c>
      <c r="I965" s="21">
        <v>8802</v>
      </c>
      <c r="J965">
        <v>10</v>
      </c>
      <c r="K965" s="21">
        <v>880.2</v>
      </c>
      <c r="L965" s="21">
        <v>7921.8</v>
      </c>
      <c r="M965" s="21">
        <v>5030.2</v>
      </c>
      <c r="N965" s="21">
        <v>2891.6</v>
      </c>
      <c r="O965" t="s">
        <v>60</v>
      </c>
      <c r="P965" s="21">
        <v>1219.1199999999999</v>
      </c>
      <c r="Q965" t="s">
        <v>40</v>
      </c>
      <c r="R965" t="s">
        <v>41</v>
      </c>
      <c r="S965">
        <v>2</v>
      </c>
      <c r="T965">
        <v>3</v>
      </c>
      <c r="U965" t="s">
        <v>56</v>
      </c>
      <c r="V965" t="s">
        <v>33</v>
      </c>
      <c r="W965">
        <v>5</v>
      </c>
    </row>
    <row r="966" spans="1:23" x14ac:dyDescent="0.25">
      <c r="A966" t="s">
        <v>1531</v>
      </c>
      <c r="B966" s="1">
        <v>45764</v>
      </c>
      <c r="C966" t="s">
        <v>129</v>
      </c>
      <c r="D966" t="s">
        <v>63</v>
      </c>
      <c r="E966" t="s">
        <v>36</v>
      </c>
      <c r="F966" t="s">
        <v>53</v>
      </c>
      <c r="G966" t="s">
        <v>82</v>
      </c>
      <c r="H966">
        <v>1</v>
      </c>
      <c r="I966" s="21">
        <v>75377</v>
      </c>
      <c r="J966">
        <v>5</v>
      </c>
      <c r="K966" s="21">
        <v>3768.85</v>
      </c>
      <c r="L966" s="21">
        <v>71608.149999999994</v>
      </c>
      <c r="M966" s="21">
        <v>55954.61</v>
      </c>
      <c r="N966" s="21">
        <v>15653.54</v>
      </c>
      <c r="O966" t="s">
        <v>39</v>
      </c>
      <c r="P966" s="21">
        <v>1130.2</v>
      </c>
      <c r="Q966" t="s">
        <v>30</v>
      </c>
      <c r="R966" t="s">
        <v>41</v>
      </c>
      <c r="S966">
        <v>2</v>
      </c>
      <c r="T966">
        <v>1</v>
      </c>
      <c r="U966" t="s">
        <v>32</v>
      </c>
      <c r="V966" t="s">
        <v>33</v>
      </c>
      <c r="W966">
        <v>5</v>
      </c>
    </row>
    <row r="967" spans="1:23" x14ac:dyDescent="0.25">
      <c r="A967" t="s">
        <v>1532</v>
      </c>
      <c r="B967" s="1">
        <v>45978</v>
      </c>
      <c r="C967" t="s">
        <v>1026</v>
      </c>
      <c r="D967" t="s">
        <v>25</v>
      </c>
      <c r="E967" t="s">
        <v>46</v>
      </c>
      <c r="F967" t="s">
        <v>47</v>
      </c>
      <c r="G967" t="s">
        <v>146</v>
      </c>
      <c r="H967">
        <v>1</v>
      </c>
      <c r="I967" s="21">
        <v>28889</v>
      </c>
      <c r="J967">
        <v>0</v>
      </c>
      <c r="K967" s="21">
        <v>0</v>
      </c>
      <c r="L967" s="21">
        <v>28889</v>
      </c>
      <c r="M967" s="21">
        <v>21308.35</v>
      </c>
      <c r="N967" s="21">
        <v>7580.65</v>
      </c>
      <c r="O967" t="s">
        <v>49</v>
      </c>
      <c r="P967" s="21">
        <v>134.03</v>
      </c>
      <c r="Q967" t="s">
        <v>68</v>
      </c>
      <c r="R967" t="s">
        <v>41</v>
      </c>
      <c r="S967">
        <v>2</v>
      </c>
      <c r="T967">
        <v>1</v>
      </c>
      <c r="U967" t="s">
        <v>32</v>
      </c>
      <c r="V967" t="s">
        <v>50</v>
      </c>
      <c r="W967">
        <v>5</v>
      </c>
    </row>
    <row r="968" spans="1:23" x14ac:dyDescent="0.25">
      <c r="A968" t="s">
        <v>1533</v>
      </c>
      <c r="B968" s="1">
        <v>45766</v>
      </c>
      <c r="C968" t="s">
        <v>1488</v>
      </c>
      <c r="D968" t="s">
        <v>67</v>
      </c>
      <c r="E968" t="s">
        <v>36</v>
      </c>
      <c r="F968" t="s">
        <v>47</v>
      </c>
      <c r="G968" t="s">
        <v>48</v>
      </c>
      <c r="H968">
        <v>1</v>
      </c>
      <c r="I968" s="21">
        <v>38060</v>
      </c>
      <c r="J968">
        <v>10</v>
      </c>
      <c r="K968" s="21">
        <v>3806</v>
      </c>
      <c r="L968" s="21">
        <v>34254</v>
      </c>
      <c r="M968" s="21">
        <v>24511.61</v>
      </c>
      <c r="N968" s="21">
        <v>9742.39</v>
      </c>
      <c r="O968" t="s">
        <v>60</v>
      </c>
      <c r="P968" s="21">
        <v>381.85</v>
      </c>
      <c r="Q968" t="s">
        <v>73</v>
      </c>
      <c r="R968" t="s">
        <v>31</v>
      </c>
      <c r="S968">
        <v>5</v>
      </c>
      <c r="T968">
        <v>3</v>
      </c>
      <c r="U968" t="s">
        <v>32</v>
      </c>
      <c r="V968" t="s">
        <v>33</v>
      </c>
      <c r="W968">
        <v>1</v>
      </c>
    </row>
    <row r="969" spans="1:23" x14ac:dyDescent="0.25">
      <c r="A969" t="s">
        <v>1534</v>
      </c>
      <c r="B969" s="1">
        <v>45793</v>
      </c>
      <c r="C969" t="s">
        <v>624</v>
      </c>
      <c r="D969" t="s">
        <v>97</v>
      </c>
      <c r="E969" t="s">
        <v>26</v>
      </c>
      <c r="F969" t="s">
        <v>53</v>
      </c>
      <c r="G969" t="s">
        <v>151</v>
      </c>
      <c r="H969">
        <v>1</v>
      </c>
      <c r="I969" s="21">
        <v>59888</v>
      </c>
      <c r="J969">
        <v>0</v>
      </c>
      <c r="K969" s="21">
        <v>0</v>
      </c>
      <c r="L969" s="21">
        <v>59888</v>
      </c>
      <c r="M969" s="21">
        <v>34690.36</v>
      </c>
      <c r="N969" s="21">
        <v>25197.64</v>
      </c>
      <c r="O969" t="s">
        <v>39</v>
      </c>
      <c r="P969" s="21">
        <v>1835.22</v>
      </c>
      <c r="Q969" t="s">
        <v>40</v>
      </c>
      <c r="R969" t="s">
        <v>41</v>
      </c>
      <c r="S969">
        <v>2</v>
      </c>
      <c r="T969">
        <v>3</v>
      </c>
      <c r="U969" t="s">
        <v>32</v>
      </c>
      <c r="V969" t="s">
        <v>42</v>
      </c>
    </row>
    <row r="970" spans="1:23" x14ac:dyDescent="0.25">
      <c r="A970" t="s">
        <v>1535</v>
      </c>
      <c r="B970" s="1">
        <v>45996</v>
      </c>
      <c r="C970" t="s">
        <v>1536</v>
      </c>
      <c r="E970" t="s">
        <v>26</v>
      </c>
      <c r="F970" t="s">
        <v>47</v>
      </c>
      <c r="G970" t="s">
        <v>146</v>
      </c>
      <c r="H970">
        <v>3</v>
      </c>
      <c r="I970" s="21">
        <v>7892</v>
      </c>
      <c r="J970">
        <v>15</v>
      </c>
      <c r="K970" s="21">
        <v>3551.4</v>
      </c>
      <c r="L970" s="21">
        <v>20124.599999999999</v>
      </c>
      <c r="M970" s="21">
        <v>15374.85</v>
      </c>
      <c r="N970" s="21">
        <v>4749.75</v>
      </c>
      <c r="O970" t="s">
        <v>29</v>
      </c>
      <c r="P970" s="21">
        <v>538.73</v>
      </c>
      <c r="Q970" t="s">
        <v>83</v>
      </c>
      <c r="R970" t="s">
        <v>41</v>
      </c>
      <c r="S970">
        <v>2</v>
      </c>
      <c r="T970">
        <v>1</v>
      </c>
      <c r="U970" t="s">
        <v>32</v>
      </c>
      <c r="V970" t="s">
        <v>33</v>
      </c>
      <c r="W970">
        <v>1</v>
      </c>
    </row>
    <row r="971" spans="1:23" x14ac:dyDescent="0.25">
      <c r="A971" t="s">
        <v>1537</v>
      </c>
      <c r="B971" s="1">
        <v>45699</v>
      </c>
      <c r="C971" t="s">
        <v>1538</v>
      </c>
      <c r="D971" t="s">
        <v>97</v>
      </c>
      <c r="E971" t="s">
        <v>46</v>
      </c>
      <c r="F971" t="s">
        <v>47</v>
      </c>
      <c r="G971" t="s">
        <v>138</v>
      </c>
      <c r="H971">
        <v>2</v>
      </c>
      <c r="I971" s="21">
        <v>29423</v>
      </c>
      <c r="J971">
        <v>15</v>
      </c>
      <c r="K971" s="21">
        <v>8826.9</v>
      </c>
      <c r="L971" s="21">
        <v>50019.1</v>
      </c>
      <c r="M971" s="21">
        <v>39211.35</v>
      </c>
      <c r="N971" s="21">
        <v>10807.75</v>
      </c>
      <c r="O971" t="s">
        <v>39</v>
      </c>
      <c r="P971" s="21">
        <v>1474.45</v>
      </c>
      <c r="Q971" t="s">
        <v>68</v>
      </c>
      <c r="R971" t="s">
        <v>31</v>
      </c>
      <c r="S971">
        <v>5</v>
      </c>
      <c r="T971">
        <v>3</v>
      </c>
      <c r="U971" t="s">
        <v>32</v>
      </c>
      <c r="V971" t="s">
        <v>42</v>
      </c>
    </row>
    <row r="972" spans="1:23" x14ac:dyDescent="0.25">
      <c r="A972" t="s">
        <v>1539</v>
      </c>
      <c r="B972" s="1">
        <v>45738</v>
      </c>
      <c r="C972" t="s">
        <v>1462</v>
      </c>
      <c r="D972" t="s">
        <v>154</v>
      </c>
      <c r="E972" t="s">
        <v>46</v>
      </c>
      <c r="F972" t="s">
        <v>86</v>
      </c>
      <c r="G972" t="s">
        <v>94</v>
      </c>
      <c r="H972">
        <v>2</v>
      </c>
      <c r="I972" s="21">
        <v>71989</v>
      </c>
      <c r="J972">
        <v>10</v>
      </c>
      <c r="K972" s="21">
        <v>14397.8</v>
      </c>
      <c r="L972" s="21">
        <v>129580.2</v>
      </c>
      <c r="M972" s="21">
        <v>99150.53</v>
      </c>
      <c r="N972" s="21">
        <v>30429.67</v>
      </c>
      <c r="O972" t="s">
        <v>39</v>
      </c>
      <c r="P972" s="21">
        <v>1754.39</v>
      </c>
      <c r="Q972" t="s">
        <v>30</v>
      </c>
      <c r="R972" t="s">
        <v>31</v>
      </c>
      <c r="S972">
        <v>5</v>
      </c>
      <c r="T972">
        <v>5</v>
      </c>
      <c r="U972" t="s">
        <v>32</v>
      </c>
      <c r="V972" t="s">
        <v>33</v>
      </c>
      <c r="W972">
        <v>1</v>
      </c>
    </row>
    <row r="973" spans="1:23" x14ac:dyDescent="0.25">
      <c r="A973" t="s">
        <v>1540</v>
      </c>
      <c r="B973" s="1">
        <v>45780</v>
      </c>
      <c r="C973" t="s">
        <v>610</v>
      </c>
      <c r="D973" t="s">
        <v>63</v>
      </c>
      <c r="E973" t="s">
        <v>26</v>
      </c>
      <c r="F973" t="s">
        <v>86</v>
      </c>
      <c r="G973" t="s">
        <v>94</v>
      </c>
      <c r="H973">
        <v>2</v>
      </c>
      <c r="I973" s="21">
        <v>20601</v>
      </c>
      <c r="J973">
        <v>0</v>
      </c>
      <c r="K973" s="21">
        <v>0</v>
      </c>
      <c r="L973" s="21">
        <v>41202</v>
      </c>
      <c r="M973" s="21">
        <v>33058.699999999997</v>
      </c>
      <c r="N973" s="21">
        <v>8143.3</v>
      </c>
      <c r="O973" t="s">
        <v>49</v>
      </c>
      <c r="P973" s="21">
        <v>291.77</v>
      </c>
      <c r="Q973" t="s">
        <v>30</v>
      </c>
      <c r="R973" t="s">
        <v>41</v>
      </c>
      <c r="S973">
        <v>2</v>
      </c>
      <c r="T973">
        <v>1</v>
      </c>
      <c r="U973" t="s">
        <v>32</v>
      </c>
      <c r="V973" t="s">
        <v>33</v>
      </c>
      <c r="W973">
        <v>5</v>
      </c>
    </row>
    <row r="974" spans="1:23" x14ac:dyDescent="0.25">
      <c r="A974" t="s">
        <v>1541</v>
      </c>
      <c r="B974" s="1">
        <v>45746</v>
      </c>
      <c r="C974" t="s">
        <v>129</v>
      </c>
      <c r="D974" t="s">
        <v>67</v>
      </c>
      <c r="E974" t="s">
        <v>26</v>
      </c>
      <c r="F974" t="s">
        <v>37</v>
      </c>
      <c r="G974" t="s">
        <v>224</v>
      </c>
      <c r="H974">
        <v>1</v>
      </c>
      <c r="I974" s="21">
        <v>15122</v>
      </c>
      <c r="J974">
        <v>0</v>
      </c>
      <c r="K974" s="21">
        <v>0</v>
      </c>
      <c r="L974" s="21">
        <v>15122</v>
      </c>
      <c r="M974" s="21">
        <v>9099.51</v>
      </c>
      <c r="N974" s="21">
        <v>6022.49</v>
      </c>
      <c r="O974" t="s">
        <v>60</v>
      </c>
      <c r="P974" s="21">
        <v>590.35</v>
      </c>
      <c r="Q974" t="s">
        <v>83</v>
      </c>
      <c r="R974" t="s">
        <v>41</v>
      </c>
      <c r="S974">
        <v>2</v>
      </c>
      <c r="T974">
        <v>5</v>
      </c>
      <c r="U974" t="s">
        <v>32</v>
      </c>
      <c r="V974" t="s">
        <v>42</v>
      </c>
    </row>
    <row r="975" spans="1:23" x14ac:dyDescent="0.25">
      <c r="A975" t="s">
        <v>1542</v>
      </c>
      <c r="B975" s="1">
        <v>45940</v>
      </c>
      <c r="C975" t="s">
        <v>203</v>
      </c>
      <c r="D975" t="s">
        <v>97</v>
      </c>
      <c r="E975" t="s">
        <v>36</v>
      </c>
      <c r="F975" t="s">
        <v>27</v>
      </c>
      <c r="G975" t="s">
        <v>72</v>
      </c>
      <c r="H975">
        <v>1</v>
      </c>
      <c r="I975" s="21">
        <v>4866</v>
      </c>
      <c r="J975">
        <v>10</v>
      </c>
      <c r="K975" s="21">
        <v>486.6</v>
      </c>
      <c r="L975" s="21">
        <v>4379.3999999999996</v>
      </c>
      <c r="M975" s="21">
        <v>3253.83</v>
      </c>
      <c r="N975" s="21">
        <v>1125.57</v>
      </c>
      <c r="O975" t="s">
        <v>55</v>
      </c>
      <c r="P975" s="21">
        <v>1600.43</v>
      </c>
      <c r="Q975" t="s">
        <v>68</v>
      </c>
      <c r="R975" t="s">
        <v>31</v>
      </c>
      <c r="S975">
        <v>5</v>
      </c>
      <c r="T975">
        <v>3</v>
      </c>
      <c r="U975" t="s">
        <v>32</v>
      </c>
      <c r="V975" t="s">
        <v>33</v>
      </c>
      <c r="W975">
        <v>4</v>
      </c>
    </row>
    <row r="976" spans="1:23" x14ac:dyDescent="0.25">
      <c r="A976" t="s">
        <v>1543</v>
      </c>
      <c r="B976" s="1">
        <v>45696</v>
      </c>
      <c r="C976" t="s">
        <v>1086</v>
      </c>
      <c r="D976" t="s">
        <v>154</v>
      </c>
      <c r="E976" t="s">
        <v>26</v>
      </c>
      <c r="F976" t="s">
        <v>86</v>
      </c>
      <c r="G976" t="s">
        <v>110</v>
      </c>
      <c r="H976">
        <v>1</v>
      </c>
      <c r="I976" s="21">
        <v>7548</v>
      </c>
      <c r="J976">
        <v>25</v>
      </c>
      <c r="K976" s="21">
        <v>1887</v>
      </c>
      <c r="L976" s="21">
        <v>5661</v>
      </c>
      <c r="M976" s="21">
        <v>3219.2</v>
      </c>
      <c r="N976" s="21">
        <v>2441.8000000000002</v>
      </c>
      <c r="O976" t="s">
        <v>39</v>
      </c>
      <c r="P976" s="21">
        <v>1361.86</v>
      </c>
      <c r="Q976" t="s">
        <v>40</v>
      </c>
      <c r="R976" t="s">
        <v>41</v>
      </c>
      <c r="S976">
        <v>2</v>
      </c>
      <c r="T976">
        <v>1</v>
      </c>
      <c r="U976" t="s">
        <v>32</v>
      </c>
      <c r="V976" t="s">
        <v>33</v>
      </c>
      <c r="W976">
        <v>4</v>
      </c>
    </row>
    <row r="977" spans="1:23" x14ac:dyDescent="0.25">
      <c r="A977" t="s">
        <v>1544</v>
      </c>
      <c r="B977" s="1">
        <v>45738</v>
      </c>
      <c r="C977" t="s">
        <v>1545</v>
      </c>
      <c r="D977" t="s">
        <v>154</v>
      </c>
      <c r="E977" t="s">
        <v>46</v>
      </c>
      <c r="F977" t="s">
        <v>53</v>
      </c>
      <c r="G977" t="s">
        <v>54</v>
      </c>
      <c r="H977">
        <v>3</v>
      </c>
      <c r="I977" s="21">
        <v>56115</v>
      </c>
      <c r="J977">
        <v>25</v>
      </c>
      <c r="K977" s="21">
        <v>42086.25</v>
      </c>
      <c r="L977" s="21">
        <v>126258.75</v>
      </c>
      <c r="M977" s="21">
        <v>76610.25</v>
      </c>
      <c r="N977" s="21">
        <v>49648.5</v>
      </c>
      <c r="O977" t="s">
        <v>39</v>
      </c>
      <c r="P977" s="21">
        <v>351.7</v>
      </c>
      <c r="Q977" t="s">
        <v>40</v>
      </c>
      <c r="R977" t="s">
        <v>41</v>
      </c>
      <c r="S977">
        <v>2</v>
      </c>
      <c r="T977">
        <v>5</v>
      </c>
      <c r="U977" t="s">
        <v>32</v>
      </c>
      <c r="V977" t="s">
        <v>42</v>
      </c>
    </row>
    <row r="978" spans="1:23" x14ac:dyDescent="0.25">
      <c r="A978" t="s">
        <v>1546</v>
      </c>
      <c r="B978" s="1">
        <v>45659</v>
      </c>
      <c r="C978" t="s">
        <v>129</v>
      </c>
      <c r="D978" t="s">
        <v>97</v>
      </c>
      <c r="E978" t="s">
        <v>46</v>
      </c>
      <c r="F978" t="s">
        <v>37</v>
      </c>
      <c r="G978" t="s">
        <v>161</v>
      </c>
      <c r="H978">
        <v>2</v>
      </c>
      <c r="I978" s="21">
        <v>12082</v>
      </c>
      <c r="J978">
        <v>0</v>
      </c>
      <c r="K978" s="21">
        <v>0</v>
      </c>
      <c r="L978" s="21">
        <v>24164</v>
      </c>
      <c r="M978" s="21">
        <v>16791.330000000002</v>
      </c>
      <c r="N978" s="21">
        <v>7372.67</v>
      </c>
      <c r="O978" t="s">
        <v>55</v>
      </c>
      <c r="P978" s="21">
        <v>1439.39</v>
      </c>
      <c r="Q978" t="s">
        <v>30</v>
      </c>
      <c r="R978" t="s">
        <v>41</v>
      </c>
      <c r="S978">
        <v>2</v>
      </c>
      <c r="T978">
        <v>6</v>
      </c>
      <c r="U978" t="s">
        <v>32</v>
      </c>
      <c r="V978" t="s">
        <v>42</v>
      </c>
    </row>
    <row r="979" spans="1:23" x14ac:dyDescent="0.25">
      <c r="A979" t="s">
        <v>1547</v>
      </c>
      <c r="B979" s="1">
        <v>45867</v>
      </c>
      <c r="C979" t="s">
        <v>633</v>
      </c>
      <c r="D979" t="s">
        <v>71</v>
      </c>
      <c r="E979" t="s">
        <v>26</v>
      </c>
      <c r="F979" t="s">
        <v>37</v>
      </c>
      <c r="G979" t="s">
        <v>38</v>
      </c>
      <c r="H979">
        <v>2</v>
      </c>
      <c r="I979" s="21">
        <v>24058</v>
      </c>
      <c r="J979">
        <v>10</v>
      </c>
      <c r="K979" s="21">
        <v>4811.6000000000004</v>
      </c>
      <c r="L979" s="21">
        <v>43304.4</v>
      </c>
      <c r="M979" s="21">
        <v>29444.18</v>
      </c>
      <c r="N979" s="21">
        <v>13860.22</v>
      </c>
      <c r="O979" t="s">
        <v>29</v>
      </c>
      <c r="P979" s="21">
        <v>440.7</v>
      </c>
      <c r="Q979" t="s">
        <v>30</v>
      </c>
      <c r="R979" t="s">
        <v>31</v>
      </c>
      <c r="S979">
        <v>5</v>
      </c>
      <c r="T979">
        <v>6</v>
      </c>
      <c r="U979" t="s">
        <v>32</v>
      </c>
      <c r="V979" t="s">
        <v>50</v>
      </c>
      <c r="W979">
        <v>4</v>
      </c>
    </row>
    <row r="980" spans="1:23" x14ac:dyDescent="0.25">
      <c r="A980" t="s">
        <v>1548</v>
      </c>
      <c r="B980" s="1">
        <v>45888</v>
      </c>
      <c r="C980" t="s">
        <v>1549</v>
      </c>
      <c r="D980" t="s">
        <v>124</v>
      </c>
      <c r="E980" t="s">
        <v>36</v>
      </c>
      <c r="F980" t="s">
        <v>47</v>
      </c>
      <c r="G980" t="s">
        <v>48</v>
      </c>
      <c r="H980">
        <v>3</v>
      </c>
      <c r="I980" s="21">
        <v>42418</v>
      </c>
      <c r="J980">
        <v>0</v>
      </c>
      <c r="K980" s="21">
        <v>0</v>
      </c>
      <c r="L980" s="21">
        <v>127254</v>
      </c>
      <c r="M980" s="21">
        <v>79190.91</v>
      </c>
      <c r="N980" s="21">
        <v>48063.09</v>
      </c>
      <c r="O980" t="s">
        <v>55</v>
      </c>
      <c r="P980" s="21">
        <v>1233.92</v>
      </c>
      <c r="Q980" t="s">
        <v>40</v>
      </c>
      <c r="R980" t="s">
        <v>31</v>
      </c>
      <c r="S980">
        <v>5</v>
      </c>
      <c r="T980">
        <v>1</v>
      </c>
      <c r="U980" t="s">
        <v>32</v>
      </c>
      <c r="V980" t="s">
        <v>33</v>
      </c>
      <c r="W980">
        <v>5</v>
      </c>
    </row>
    <row r="981" spans="1:23" x14ac:dyDescent="0.25">
      <c r="A981" t="s">
        <v>1550</v>
      </c>
      <c r="B981" s="1">
        <v>46010</v>
      </c>
      <c r="C981" t="s">
        <v>1003</v>
      </c>
      <c r="D981" t="s">
        <v>79</v>
      </c>
      <c r="E981" t="s">
        <v>36</v>
      </c>
      <c r="F981" t="s">
        <v>47</v>
      </c>
      <c r="G981" t="s">
        <v>146</v>
      </c>
      <c r="H981">
        <v>4</v>
      </c>
      <c r="I981" s="21">
        <v>43025</v>
      </c>
      <c r="J981">
        <v>0</v>
      </c>
      <c r="K981" s="21">
        <v>0</v>
      </c>
      <c r="L981" s="21">
        <v>172100</v>
      </c>
      <c r="M981" s="21">
        <v>138505.98000000001</v>
      </c>
      <c r="N981" s="21">
        <v>33594.019999999997</v>
      </c>
      <c r="O981" t="s">
        <v>91</v>
      </c>
      <c r="P981" s="21">
        <v>1389.29</v>
      </c>
      <c r="Q981" t="s">
        <v>40</v>
      </c>
      <c r="R981" t="s">
        <v>31</v>
      </c>
      <c r="S981">
        <v>5</v>
      </c>
      <c r="T981">
        <v>1</v>
      </c>
      <c r="U981" t="s">
        <v>32</v>
      </c>
      <c r="V981" t="s">
        <v>42</v>
      </c>
    </row>
    <row r="982" spans="1:23" x14ac:dyDescent="0.25">
      <c r="A982" t="s">
        <v>1551</v>
      </c>
      <c r="B982" s="1">
        <v>45962</v>
      </c>
      <c r="C982" t="s">
        <v>1363</v>
      </c>
      <c r="D982" t="s">
        <v>124</v>
      </c>
      <c r="E982" t="s">
        <v>46</v>
      </c>
      <c r="F982" t="s">
        <v>53</v>
      </c>
      <c r="G982" t="s">
        <v>82</v>
      </c>
      <c r="H982">
        <v>1</v>
      </c>
      <c r="I982" s="21">
        <v>24331</v>
      </c>
      <c r="J982">
        <v>0</v>
      </c>
      <c r="K982" s="21">
        <v>0</v>
      </c>
      <c r="L982" s="21">
        <v>24331</v>
      </c>
      <c r="M982" s="21">
        <v>13488.98</v>
      </c>
      <c r="N982" s="21">
        <v>10842.02</v>
      </c>
      <c r="O982" t="s">
        <v>91</v>
      </c>
      <c r="P982" s="21">
        <v>1072.6300000000001</v>
      </c>
      <c r="Q982" t="s">
        <v>83</v>
      </c>
      <c r="R982" t="s">
        <v>41</v>
      </c>
      <c r="S982">
        <v>2</v>
      </c>
      <c r="T982">
        <v>3</v>
      </c>
      <c r="U982" t="s">
        <v>32</v>
      </c>
      <c r="V982" t="s">
        <v>50</v>
      </c>
      <c r="W982">
        <v>4</v>
      </c>
    </row>
    <row r="983" spans="1:23" x14ac:dyDescent="0.25">
      <c r="A983" t="s">
        <v>1552</v>
      </c>
      <c r="B983" s="1">
        <v>45898</v>
      </c>
      <c r="C983" t="s">
        <v>472</v>
      </c>
      <c r="D983" t="s">
        <v>67</v>
      </c>
      <c r="E983" t="s">
        <v>46</v>
      </c>
      <c r="F983" t="s">
        <v>53</v>
      </c>
      <c r="G983" t="s">
        <v>82</v>
      </c>
      <c r="H983">
        <v>1</v>
      </c>
      <c r="I983" s="21">
        <v>19959</v>
      </c>
      <c r="J983">
        <v>0</v>
      </c>
      <c r="K983" s="21">
        <v>0</v>
      </c>
      <c r="L983" s="21">
        <v>19959</v>
      </c>
      <c r="M983" s="21">
        <v>12533.58</v>
      </c>
      <c r="N983" s="21">
        <v>7425.42</v>
      </c>
      <c r="O983" t="s">
        <v>49</v>
      </c>
      <c r="P983" s="21">
        <v>467.85</v>
      </c>
      <c r="Q983" t="s">
        <v>68</v>
      </c>
      <c r="R983" t="s">
        <v>31</v>
      </c>
      <c r="S983">
        <v>5</v>
      </c>
      <c r="T983">
        <v>4</v>
      </c>
      <c r="U983" t="s">
        <v>32</v>
      </c>
      <c r="V983" t="s">
        <v>50</v>
      </c>
      <c r="W983">
        <v>3</v>
      </c>
    </row>
    <row r="984" spans="1:23" x14ac:dyDescent="0.25">
      <c r="A984" t="s">
        <v>1553</v>
      </c>
      <c r="B984" s="1">
        <v>45807</v>
      </c>
      <c r="C984" t="s">
        <v>1554</v>
      </c>
      <c r="D984" t="s">
        <v>90</v>
      </c>
      <c r="E984" t="s">
        <v>46</v>
      </c>
      <c r="F984" t="s">
        <v>53</v>
      </c>
      <c r="G984" t="s">
        <v>82</v>
      </c>
      <c r="H984">
        <v>2</v>
      </c>
      <c r="I984" s="21">
        <v>109458</v>
      </c>
      <c r="J984">
        <v>10</v>
      </c>
      <c r="K984" s="21">
        <v>21891.599999999999</v>
      </c>
      <c r="L984" s="21">
        <v>197024.4</v>
      </c>
      <c r="M984" s="21">
        <v>130103.17</v>
      </c>
      <c r="N984" s="21">
        <v>66921.23</v>
      </c>
      <c r="O984" t="s">
        <v>60</v>
      </c>
      <c r="P984" s="21">
        <v>1755.45</v>
      </c>
      <c r="Q984" t="s">
        <v>83</v>
      </c>
      <c r="R984" t="s">
        <v>41</v>
      </c>
      <c r="S984">
        <v>2</v>
      </c>
      <c r="T984">
        <v>6</v>
      </c>
      <c r="U984" t="s">
        <v>32</v>
      </c>
      <c r="V984" t="s">
        <v>42</v>
      </c>
    </row>
    <row r="985" spans="1:23" x14ac:dyDescent="0.25">
      <c r="A985" t="s">
        <v>1555</v>
      </c>
      <c r="B985" s="1">
        <v>45674</v>
      </c>
      <c r="C985" t="s">
        <v>593</v>
      </c>
      <c r="D985" t="s">
        <v>90</v>
      </c>
      <c r="E985" t="s">
        <v>36</v>
      </c>
      <c r="F985" t="s">
        <v>53</v>
      </c>
      <c r="G985" t="s">
        <v>151</v>
      </c>
      <c r="H985">
        <v>1</v>
      </c>
      <c r="I985" s="21">
        <v>32904</v>
      </c>
      <c r="J985">
        <v>15</v>
      </c>
      <c r="K985" s="21">
        <v>4935.6000000000004</v>
      </c>
      <c r="L985" s="21">
        <v>27968.400000000001</v>
      </c>
      <c r="M985" s="21">
        <v>18686.650000000001</v>
      </c>
      <c r="N985" s="21">
        <v>9281.75</v>
      </c>
      <c r="O985" t="s">
        <v>60</v>
      </c>
      <c r="P985" s="21">
        <v>2276.7600000000002</v>
      </c>
      <c r="Q985" t="s">
        <v>83</v>
      </c>
      <c r="R985" t="s">
        <v>41</v>
      </c>
      <c r="S985">
        <v>2</v>
      </c>
      <c r="T985">
        <v>1</v>
      </c>
      <c r="U985" t="s">
        <v>32</v>
      </c>
      <c r="V985" t="s">
        <v>33</v>
      </c>
      <c r="W985">
        <v>1</v>
      </c>
    </row>
    <row r="986" spans="1:23" x14ac:dyDescent="0.25">
      <c r="A986" t="s">
        <v>1556</v>
      </c>
      <c r="B986" s="1">
        <v>45776</v>
      </c>
      <c r="C986" t="s">
        <v>668</v>
      </c>
      <c r="D986" t="s">
        <v>71</v>
      </c>
      <c r="E986" t="s">
        <v>46</v>
      </c>
      <c r="F986" t="s">
        <v>27</v>
      </c>
      <c r="G986" t="s">
        <v>113</v>
      </c>
      <c r="H986">
        <v>1</v>
      </c>
      <c r="I986" s="21">
        <v>13300</v>
      </c>
      <c r="J986">
        <v>0</v>
      </c>
      <c r="K986" s="21">
        <v>0</v>
      </c>
      <c r="L986" s="21">
        <v>13300</v>
      </c>
      <c r="M986" s="21">
        <v>9843.35</v>
      </c>
      <c r="N986" s="21">
        <v>3456.65</v>
      </c>
      <c r="O986" t="s">
        <v>39</v>
      </c>
      <c r="P986" s="21">
        <v>2057.85</v>
      </c>
      <c r="Q986" t="s">
        <v>40</v>
      </c>
      <c r="R986" t="s">
        <v>41</v>
      </c>
      <c r="S986">
        <v>2</v>
      </c>
      <c r="T986">
        <v>1</v>
      </c>
      <c r="U986" t="s">
        <v>32</v>
      </c>
      <c r="V986" t="s">
        <v>33</v>
      </c>
      <c r="W986">
        <v>1</v>
      </c>
    </row>
    <row r="987" spans="1:23" x14ac:dyDescent="0.25">
      <c r="A987" t="s">
        <v>1557</v>
      </c>
      <c r="B987" s="1">
        <v>45805</v>
      </c>
      <c r="C987" t="s">
        <v>1558</v>
      </c>
      <c r="D987" t="s">
        <v>45</v>
      </c>
      <c r="E987" t="s">
        <v>46</v>
      </c>
      <c r="F987" t="s">
        <v>86</v>
      </c>
      <c r="G987" t="s">
        <v>180</v>
      </c>
      <c r="H987">
        <v>2</v>
      </c>
      <c r="I987" s="21">
        <v>7971</v>
      </c>
      <c r="J987">
        <v>15</v>
      </c>
      <c r="K987" s="21">
        <v>2391.3000000000002</v>
      </c>
      <c r="L987" s="21">
        <v>13550.7</v>
      </c>
      <c r="M987" s="21">
        <v>8988.4</v>
      </c>
      <c r="N987" s="21">
        <v>4562.3</v>
      </c>
      <c r="O987" t="s">
        <v>29</v>
      </c>
      <c r="P987" s="21">
        <v>523.9</v>
      </c>
      <c r="Q987" t="s">
        <v>40</v>
      </c>
      <c r="R987" t="s">
        <v>41</v>
      </c>
      <c r="S987">
        <v>2</v>
      </c>
      <c r="T987">
        <v>1</v>
      </c>
      <c r="U987" t="s">
        <v>32</v>
      </c>
      <c r="V987" t="s">
        <v>33</v>
      </c>
      <c r="W987">
        <v>5</v>
      </c>
    </row>
    <row r="988" spans="1:23" x14ac:dyDescent="0.25">
      <c r="A988" t="s">
        <v>1559</v>
      </c>
      <c r="B988" s="1">
        <v>46019</v>
      </c>
      <c r="C988" t="s">
        <v>648</v>
      </c>
      <c r="D988" t="s">
        <v>154</v>
      </c>
      <c r="E988" t="s">
        <v>26</v>
      </c>
      <c r="F988" t="s">
        <v>37</v>
      </c>
      <c r="G988" t="s">
        <v>38</v>
      </c>
      <c r="H988">
        <v>2</v>
      </c>
      <c r="I988" s="21">
        <v>38081</v>
      </c>
      <c r="J988">
        <v>0</v>
      </c>
      <c r="K988" s="21">
        <v>0</v>
      </c>
      <c r="L988" s="21">
        <v>76162</v>
      </c>
      <c r="M988" s="21">
        <v>51605.02</v>
      </c>
      <c r="N988" s="21">
        <v>24556.98</v>
      </c>
      <c r="O988" t="s">
        <v>60</v>
      </c>
      <c r="P988" s="21">
        <v>367.09</v>
      </c>
      <c r="Q988" t="s">
        <v>83</v>
      </c>
      <c r="R988" t="s">
        <v>41</v>
      </c>
      <c r="S988">
        <v>2</v>
      </c>
      <c r="T988">
        <v>6</v>
      </c>
      <c r="U988" t="s">
        <v>32</v>
      </c>
      <c r="V988" t="s">
        <v>50</v>
      </c>
      <c r="W988">
        <v>5</v>
      </c>
    </row>
    <row r="989" spans="1:23" x14ac:dyDescent="0.25">
      <c r="A989" t="s">
        <v>1560</v>
      </c>
      <c r="B989" s="1">
        <v>45802</v>
      </c>
      <c r="C989" t="s">
        <v>774</v>
      </c>
      <c r="D989" t="s">
        <v>154</v>
      </c>
      <c r="E989" t="s">
        <v>26</v>
      </c>
      <c r="F989" t="s">
        <v>86</v>
      </c>
      <c r="G989" t="s">
        <v>110</v>
      </c>
      <c r="H989">
        <v>1</v>
      </c>
      <c r="I989" s="21">
        <v>9063</v>
      </c>
      <c r="J989">
        <v>0</v>
      </c>
      <c r="K989" s="21">
        <v>0</v>
      </c>
      <c r="L989" s="21">
        <v>9063</v>
      </c>
      <c r="M989" s="21">
        <v>5039.16</v>
      </c>
      <c r="N989" s="21">
        <v>4023.84</v>
      </c>
      <c r="O989" t="s">
        <v>39</v>
      </c>
      <c r="P989" s="21">
        <v>2226.71</v>
      </c>
      <c r="Q989" t="s">
        <v>73</v>
      </c>
      <c r="R989" t="s">
        <v>31</v>
      </c>
      <c r="S989">
        <v>5</v>
      </c>
      <c r="T989">
        <v>6</v>
      </c>
      <c r="U989" t="s">
        <v>56</v>
      </c>
      <c r="V989" t="s">
        <v>33</v>
      </c>
      <c r="W989">
        <v>4</v>
      </c>
    </row>
    <row r="990" spans="1:23" x14ac:dyDescent="0.25">
      <c r="A990" t="s">
        <v>1561</v>
      </c>
      <c r="B990" s="1">
        <v>46017</v>
      </c>
      <c r="C990" t="s">
        <v>239</v>
      </c>
      <c r="D990" t="s">
        <v>97</v>
      </c>
      <c r="E990" t="s">
        <v>46</v>
      </c>
      <c r="F990" t="s">
        <v>27</v>
      </c>
      <c r="G990" t="s">
        <v>28</v>
      </c>
      <c r="H990">
        <v>1</v>
      </c>
      <c r="I990" s="21">
        <v>28438</v>
      </c>
      <c r="J990">
        <v>0</v>
      </c>
      <c r="K990" s="21">
        <v>0</v>
      </c>
      <c r="L990" s="21">
        <v>28438</v>
      </c>
      <c r="M990" s="21">
        <v>22864.19</v>
      </c>
      <c r="N990" s="21">
        <v>5573.81</v>
      </c>
      <c r="O990" t="s">
        <v>91</v>
      </c>
      <c r="P990" s="21">
        <v>1374.14</v>
      </c>
      <c r="Q990" t="s">
        <v>83</v>
      </c>
      <c r="R990" t="s">
        <v>41</v>
      </c>
      <c r="S990">
        <v>2</v>
      </c>
      <c r="T990">
        <v>1</v>
      </c>
      <c r="U990" t="s">
        <v>32</v>
      </c>
      <c r="V990" t="s">
        <v>33</v>
      </c>
      <c r="W990">
        <v>3</v>
      </c>
    </row>
    <row r="991" spans="1:23" x14ac:dyDescent="0.25">
      <c r="A991" t="s">
        <v>1562</v>
      </c>
      <c r="B991" s="1">
        <v>45890</v>
      </c>
      <c r="C991" t="s">
        <v>792</v>
      </c>
      <c r="D991" t="s">
        <v>63</v>
      </c>
      <c r="E991" t="s">
        <v>46</v>
      </c>
      <c r="F991" t="s">
        <v>27</v>
      </c>
      <c r="G991" t="s">
        <v>113</v>
      </c>
      <c r="H991">
        <v>2</v>
      </c>
      <c r="I991" s="21">
        <v>23230</v>
      </c>
      <c r="J991">
        <v>0</v>
      </c>
      <c r="K991" s="21">
        <v>0</v>
      </c>
      <c r="L991" s="21">
        <v>46460</v>
      </c>
      <c r="M991" s="21">
        <v>26764.42</v>
      </c>
      <c r="N991" s="21">
        <v>19695.580000000002</v>
      </c>
      <c r="O991" t="s">
        <v>49</v>
      </c>
      <c r="P991" s="21">
        <v>323.85000000000002</v>
      </c>
      <c r="Q991" t="s">
        <v>40</v>
      </c>
      <c r="R991" t="s">
        <v>31</v>
      </c>
      <c r="S991">
        <v>5</v>
      </c>
      <c r="T991">
        <v>2</v>
      </c>
      <c r="U991" t="s">
        <v>32</v>
      </c>
      <c r="V991" t="s">
        <v>50</v>
      </c>
      <c r="W991">
        <v>1</v>
      </c>
    </row>
    <row r="992" spans="1:23" x14ac:dyDescent="0.25">
      <c r="A992" t="s">
        <v>1563</v>
      </c>
      <c r="B992" s="1">
        <v>45694</v>
      </c>
      <c r="C992" t="s">
        <v>1314</v>
      </c>
      <c r="D992" t="s">
        <v>63</v>
      </c>
      <c r="E992" t="s">
        <v>46</v>
      </c>
      <c r="F992" t="s">
        <v>27</v>
      </c>
      <c r="G992" t="s">
        <v>76</v>
      </c>
      <c r="H992">
        <v>2</v>
      </c>
      <c r="I992" s="21">
        <v>22755</v>
      </c>
      <c r="J992">
        <v>20</v>
      </c>
      <c r="K992" s="21">
        <v>9102</v>
      </c>
      <c r="L992" s="21">
        <v>36408</v>
      </c>
      <c r="M992" s="21">
        <v>20549.28</v>
      </c>
      <c r="N992" s="21">
        <v>15858.72</v>
      </c>
      <c r="O992" t="s">
        <v>91</v>
      </c>
      <c r="P992" s="21">
        <v>1042.82</v>
      </c>
      <c r="Q992" t="s">
        <v>68</v>
      </c>
      <c r="R992" t="s">
        <v>41</v>
      </c>
      <c r="S992">
        <v>2</v>
      </c>
      <c r="T992">
        <v>5</v>
      </c>
      <c r="U992" t="s">
        <v>32</v>
      </c>
      <c r="V992" t="s">
        <v>50</v>
      </c>
      <c r="W992">
        <v>5</v>
      </c>
    </row>
    <row r="993" spans="1:23" x14ac:dyDescent="0.25">
      <c r="A993" t="s">
        <v>1564</v>
      </c>
      <c r="B993" s="1">
        <v>46009</v>
      </c>
      <c r="C993" t="s">
        <v>197</v>
      </c>
      <c r="D993" t="s">
        <v>63</v>
      </c>
      <c r="E993" t="s">
        <v>26</v>
      </c>
      <c r="F993" t="s">
        <v>53</v>
      </c>
      <c r="G993" t="s">
        <v>82</v>
      </c>
      <c r="H993">
        <v>2</v>
      </c>
      <c r="I993" s="21">
        <v>50806</v>
      </c>
      <c r="J993">
        <v>0</v>
      </c>
      <c r="K993" s="21">
        <v>0</v>
      </c>
      <c r="L993" s="21">
        <v>101612</v>
      </c>
      <c r="M993" s="21">
        <v>59352.45</v>
      </c>
      <c r="N993" s="21">
        <v>42259.55</v>
      </c>
      <c r="O993" t="s">
        <v>39</v>
      </c>
      <c r="P993" s="21">
        <v>200.14</v>
      </c>
      <c r="Q993" t="s">
        <v>40</v>
      </c>
      <c r="R993" t="s">
        <v>41</v>
      </c>
      <c r="S993">
        <v>2</v>
      </c>
      <c r="T993">
        <v>1</v>
      </c>
      <c r="U993" t="s">
        <v>32</v>
      </c>
      <c r="V993" t="s">
        <v>33</v>
      </c>
      <c r="W993">
        <v>5</v>
      </c>
    </row>
    <row r="994" spans="1:23" x14ac:dyDescent="0.25">
      <c r="A994" t="s">
        <v>1565</v>
      </c>
      <c r="B994" s="1">
        <v>45777</v>
      </c>
      <c r="C994" t="s">
        <v>241</v>
      </c>
      <c r="D994" t="s">
        <v>71</v>
      </c>
      <c r="E994" t="s">
        <v>36</v>
      </c>
      <c r="F994" t="s">
        <v>53</v>
      </c>
      <c r="G994" t="s">
        <v>151</v>
      </c>
      <c r="H994">
        <v>3</v>
      </c>
      <c r="I994" s="21">
        <v>62740</v>
      </c>
      <c r="J994">
        <v>5</v>
      </c>
      <c r="K994" s="21">
        <v>9411</v>
      </c>
      <c r="L994" s="21">
        <v>178809</v>
      </c>
      <c r="M994" s="21">
        <v>138284.76999999999</v>
      </c>
      <c r="N994" s="21">
        <v>40524.230000000003</v>
      </c>
      <c r="O994" t="s">
        <v>91</v>
      </c>
      <c r="P994" s="21">
        <v>1357.13</v>
      </c>
      <c r="Q994" t="s">
        <v>40</v>
      </c>
      <c r="R994" t="s">
        <v>41</v>
      </c>
      <c r="S994">
        <v>2</v>
      </c>
      <c r="T994">
        <v>1</v>
      </c>
      <c r="U994" t="s">
        <v>32</v>
      </c>
      <c r="V994" t="s">
        <v>33</v>
      </c>
      <c r="W994">
        <v>2</v>
      </c>
    </row>
    <row r="995" spans="1:23" x14ac:dyDescent="0.25">
      <c r="A995" t="s">
        <v>1566</v>
      </c>
      <c r="B995" s="1">
        <v>45793</v>
      </c>
      <c r="C995" t="s">
        <v>1567</v>
      </c>
      <c r="D995" t="s">
        <v>90</v>
      </c>
      <c r="E995" t="s">
        <v>46</v>
      </c>
      <c r="F995" t="s">
        <v>37</v>
      </c>
      <c r="G995" t="s">
        <v>313</v>
      </c>
      <c r="H995">
        <v>1</v>
      </c>
      <c r="I995" s="21">
        <v>21158</v>
      </c>
      <c r="J995">
        <v>20</v>
      </c>
      <c r="K995" s="21">
        <v>4231.6000000000004</v>
      </c>
      <c r="L995" s="21">
        <v>16926.400000000001</v>
      </c>
      <c r="M995" s="21">
        <v>10408.040000000001</v>
      </c>
      <c r="N995" s="21">
        <v>6518.36</v>
      </c>
      <c r="O995" t="s">
        <v>55</v>
      </c>
      <c r="P995" s="21">
        <v>1095.82</v>
      </c>
      <c r="Q995" t="s">
        <v>40</v>
      </c>
      <c r="R995" t="s">
        <v>41</v>
      </c>
      <c r="S995">
        <v>2</v>
      </c>
      <c r="T995">
        <v>1</v>
      </c>
      <c r="U995" t="s">
        <v>32</v>
      </c>
      <c r="V995" t="s">
        <v>33</v>
      </c>
      <c r="W995">
        <v>1</v>
      </c>
    </row>
    <row r="996" spans="1:23" x14ac:dyDescent="0.25">
      <c r="A996" t="s">
        <v>1568</v>
      </c>
      <c r="B996" s="1">
        <v>45978</v>
      </c>
      <c r="C996" t="s">
        <v>943</v>
      </c>
      <c r="D996" t="s">
        <v>79</v>
      </c>
      <c r="E996" t="s">
        <v>26</v>
      </c>
      <c r="F996" t="s">
        <v>86</v>
      </c>
      <c r="G996" t="s">
        <v>180</v>
      </c>
      <c r="H996">
        <v>3</v>
      </c>
      <c r="I996" s="21">
        <v>13733</v>
      </c>
      <c r="J996">
        <v>10</v>
      </c>
      <c r="K996" s="21">
        <v>4119.8999999999996</v>
      </c>
      <c r="L996" s="21">
        <v>37079.1</v>
      </c>
      <c r="M996" s="21">
        <v>30151.82</v>
      </c>
      <c r="N996" s="21">
        <v>6927.28</v>
      </c>
      <c r="O996" t="s">
        <v>55</v>
      </c>
      <c r="P996" s="21">
        <v>1266.79</v>
      </c>
      <c r="Q996" t="s">
        <v>83</v>
      </c>
      <c r="R996" t="s">
        <v>31</v>
      </c>
      <c r="S996">
        <v>5</v>
      </c>
      <c r="T996">
        <v>6</v>
      </c>
      <c r="U996" t="s">
        <v>32</v>
      </c>
      <c r="V996" t="s">
        <v>42</v>
      </c>
    </row>
    <row r="997" spans="1:23" x14ac:dyDescent="0.25">
      <c r="A997" t="s">
        <v>1569</v>
      </c>
      <c r="B997" s="1">
        <v>45959</v>
      </c>
      <c r="C997" t="s">
        <v>228</v>
      </c>
      <c r="D997" t="s">
        <v>71</v>
      </c>
      <c r="E997" t="s">
        <v>26</v>
      </c>
      <c r="F997" t="s">
        <v>53</v>
      </c>
      <c r="G997" t="s">
        <v>59</v>
      </c>
      <c r="H997">
        <v>1</v>
      </c>
      <c r="I997" s="21">
        <v>56543</v>
      </c>
      <c r="J997">
        <v>5</v>
      </c>
      <c r="K997" s="21">
        <v>2827.15</v>
      </c>
      <c r="L997" s="21">
        <v>53715.85</v>
      </c>
      <c r="M997" s="21">
        <v>30179.69</v>
      </c>
      <c r="N997" s="21">
        <v>23536.16</v>
      </c>
      <c r="O997" t="s">
        <v>55</v>
      </c>
      <c r="P997" s="21">
        <v>1189.43</v>
      </c>
      <c r="Q997" t="s">
        <v>73</v>
      </c>
      <c r="R997" t="s">
        <v>31</v>
      </c>
      <c r="S997">
        <v>5</v>
      </c>
      <c r="T997">
        <v>4</v>
      </c>
      <c r="U997" t="s">
        <v>32</v>
      </c>
      <c r="V997" t="s">
        <v>33</v>
      </c>
      <c r="W997">
        <v>5</v>
      </c>
    </row>
    <row r="998" spans="1:23" x14ac:dyDescent="0.25">
      <c r="A998" t="s">
        <v>1570</v>
      </c>
      <c r="B998" s="1">
        <v>45996</v>
      </c>
      <c r="C998" t="s">
        <v>637</v>
      </c>
      <c r="D998" t="s">
        <v>63</v>
      </c>
      <c r="E998" t="s">
        <v>36</v>
      </c>
      <c r="F998" t="s">
        <v>53</v>
      </c>
      <c r="G998" t="s">
        <v>151</v>
      </c>
      <c r="H998">
        <v>2</v>
      </c>
      <c r="I998" s="21">
        <v>75083</v>
      </c>
      <c r="J998">
        <v>10</v>
      </c>
      <c r="K998" s="21">
        <v>15016.6</v>
      </c>
      <c r="L998" s="21">
        <v>135149.4</v>
      </c>
      <c r="M998" s="21">
        <v>82615.600000000006</v>
      </c>
      <c r="N998" s="21">
        <v>52533.8</v>
      </c>
      <c r="O998" t="s">
        <v>49</v>
      </c>
      <c r="P998" s="21">
        <v>284.86</v>
      </c>
      <c r="Q998" t="s">
        <v>30</v>
      </c>
      <c r="R998" t="s">
        <v>31</v>
      </c>
      <c r="S998">
        <v>5</v>
      </c>
      <c r="T998">
        <v>6</v>
      </c>
      <c r="U998" t="s">
        <v>32</v>
      </c>
      <c r="V998" t="s">
        <v>50</v>
      </c>
      <c r="W998">
        <v>5</v>
      </c>
    </row>
    <row r="999" spans="1:23" x14ac:dyDescent="0.25">
      <c r="A999" t="s">
        <v>1571</v>
      </c>
      <c r="B999" s="1">
        <v>45759</v>
      </c>
      <c r="C999" t="s">
        <v>109</v>
      </c>
      <c r="D999" t="s">
        <v>124</v>
      </c>
      <c r="E999" t="s">
        <v>46</v>
      </c>
      <c r="F999" t="s">
        <v>37</v>
      </c>
      <c r="G999" t="s">
        <v>38</v>
      </c>
      <c r="H999">
        <v>2</v>
      </c>
      <c r="I999" s="21">
        <v>9773</v>
      </c>
      <c r="J999">
        <v>25</v>
      </c>
      <c r="K999" s="21">
        <v>4886.5</v>
      </c>
      <c r="L999" s="21">
        <v>14659.5</v>
      </c>
      <c r="M999" s="21">
        <v>11726.69</v>
      </c>
      <c r="N999" s="21">
        <v>2932.81</v>
      </c>
      <c r="O999" t="s">
        <v>60</v>
      </c>
      <c r="P999" s="21">
        <v>914.97</v>
      </c>
      <c r="Q999" t="s">
        <v>40</v>
      </c>
      <c r="R999" t="s">
        <v>31</v>
      </c>
      <c r="S999">
        <v>5</v>
      </c>
      <c r="T999">
        <v>6</v>
      </c>
      <c r="U999" t="s">
        <v>56</v>
      </c>
      <c r="V999" t="s">
        <v>33</v>
      </c>
      <c r="W999">
        <v>5</v>
      </c>
    </row>
    <row r="1000" spans="1:23" x14ac:dyDescent="0.25">
      <c r="A1000" t="s">
        <v>1572</v>
      </c>
      <c r="B1000" s="1">
        <v>45875</v>
      </c>
      <c r="C1000" t="s">
        <v>384</v>
      </c>
      <c r="D1000" t="s">
        <v>90</v>
      </c>
      <c r="E1000" t="s">
        <v>46</v>
      </c>
      <c r="F1000" t="s">
        <v>53</v>
      </c>
      <c r="G1000" t="s">
        <v>268</v>
      </c>
      <c r="H1000">
        <v>1</v>
      </c>
      <c r="I1000" s="21">
        <v>110539</v>
      </c>
      <c r="J1000">
        <v>0</v>
      </c>
      <c r="K1000" s="21">
        <v>0</v>
      </c>
      <c r="L1000" s="21">
        <v>110539</v>
      </c>
      <c r="M1000" s="21">
        <v>74772.28</v>
      </c>
      <c r="N1000" s="21">
        <v>35766.720000000001</v>
      </c>
      <c r="O1000" t="s">
        <v>39</v>
      </c>
      <c r="P1000" s="21">
        <v>2018.54</v>
      </c>
      <c r="Q1000" t="s">
        <v>73</v>
      </c>
      <c r="R1000" t="s">
        <v>31</v>
      </c>
      <c r="S1000">
        <v>5</v>
      </c>
      <c r="T1000">
        <v>3</v>
      </c>
      <c r="U1000" t="s">
        <v>32</v>
      </c>
      <c r="V1000" t="s">
        <v>33</v>
      </c>
      <c r="W1000">
        <v>5</v>
      </c>
    </row>
    <row r="1001" spans="1:23" x14ac:dyDescent="0.25">
      <c r="A1001" t="s">
        <v>1573</v>
      </c>
      <c r="B1001" s="1">
        <v>45716</v>
      </c>
      <c r="C1001" t="s">
        <v>320</v>
      </c>
      <c r="D1001" t="s">
        <v>124</v>
      </c>
      <c r="E1001" t="s">
        <v>36</v>
      </c>
      <c r="F1001" t="s">
        <v>27</v>
      </c>
      <c r="G1001" t="s">
        <v>72</v>
      </c>
      <c r="H1001">
        <v>1</v>
      </c>
      <c r="I1001" s="21">
        <v>12445</v>
      </c>
      <c r="J1001">
        <v>15</v>
      </c>
      <c r="K1001" s="21">
        <v>1866.75</v>
      </c>
      <c r="L1001" s="21">
        <v>10578.25</v>
      </c>
      <c r="M1001" s="21">
        <v>5929.19</v>
      </c>
      <c r="N1001" s="21">
        <v>4649.0600000000004</v>
      </c>
      <c r="O1001" t="s">
        <v>39</v>
      </c>
      <c r="P1001" s="21">
        <v>1553.06</v>
      </c>
      <c r="Q1001" t="s">
        <v>68</v>
      </c>
      <c r="R1001" t="s">
        <v>41</v>
      </c>
      <c r="S1001">
        <v>2</v>
      </c>
      <c r="T1001">
        <v>3</v>
      </c>
      <c r="U1001" t="s">
        <v>56</v>
      </c>
      <c r="V1001" t="s">
        <v>33</v>
      </c>
      <c r="W1001">
        <v>2</v>
      </c>
    </row>
    <row r="1002" spans="1:23" x14ac:dyDescent="0.25">
      <c r="A1002" t="s">
        <v>1574</v>
      </c>
      <c r="B1002" s="1">
        <v>45936</v>
      </c>
      <c r="C1002" t="s">
        <v>267</v>
      </c>
      <c r="D1002" t="s">
        <v>97</v>
      </c>
      <c r="E1002" t="s">
        <v>26</v>
      </c>
      <c r="F1002" t="s">
        <v>86</v>
      </c>
      <c r="G1002" t="s">
        <v>94</v>
      </c>
      <c r="H1002">
        <v>3</v>
      </c>
      <c r="I1002" s="21">
        <v>56151</v>
      </c>
      <c r="J1002">
        <v>15</v>
      </c>
      <c r="K1002" s="21">
        <v>25267.95</v>
      </c>
      <c r="L1002" s="21">
        <v>143185.04999999999</v>
      </c>
      <c r="M1002" s="21">
        <v>114125.82</v>
      </c>
      <c r="N1002" s="21">
        <v>29059.23</v>
      </c>
      <c r="O1002" t="s">
        <v>91</v>
      </c>
      <c r="P1002" s="21">
        <v>968.18</v>
      </c>
      <c r="Q1002" t="s">
        <v>30</v>
      </c>
      <c r="R1002" t="s">
        <v>31</v>
      </c>
      <c r="S1002">
        <v>5</v>
      </c>
      <c r="T1002">
        <v>2</v>
      </c>
      <c r="U1002" t="s">
        <v>32</v>
      </c>
      <c r="V1002" t="s">
        <v>42</v>
      </c>
    </row>
    <row r="1003" spans="1:23" x14ac:dyDescent="0.25">
      <c r="A1003" t="s">
        <v>1575</v>
      </c>
      <c r="B1003" s="1">
        <v>45773</v>
      </c>
      <c r="C1003" t="s">
        <v>349</v>
      </c>
      <c r="D1003" t="s">
        <v>71</v>
      </c>
      <c r="E1003" t="s">
        <v>46</v>
      </c>
      <c r="F1003" t="s">
        <v>27</v>
      </c>
      <c r="G1003" t="s">
        <v>72</v>
      </c>
      <c r="H1003">
        <v>1</v>
      </c>
      <c r="I1003" s="21">
        <v>8725</v>
      </c>
      <c r="J1003">
        <v>0</v>
      </c>
      <c r="K1003" s="21">
        <v>0</v>
      </c>
      <c r="L1003" s="21">
        <v>8725</v>
      </c>
      <c r="M1003" s="21">
        <v>6516.53</v>
      </c>
      <c r="N1003" s="21">
        <v>2208.4699999999998</v>
      </c>
      <c r="O1003" t="s">
        <v>39</v>
      </c>
      <c r="P1003" s="21">
        <v>2354.91</v>
      </c>
      <c r="Q1003" t="s">
        <v>73</v>
      </c>
      <c r="R1003" t="s">
        <v>31</v>
      </c>
      <c r="S1003">
        <v>5</v>
      </c>
      <c r="T1003">
        <v>6</v>
      </c>
      <c r="U1003" t="s">
        <v>56</v>
      </c>
      <c r="V1003" t="s">
        <v>33</v>
      </c>
      <c r="W1003">
        <v>5</v>
      </c>
    </row>
    <row r="1004" spans="1:23" x14ac:dyDescent="0.25">
      <c r="A1004" t="s">
        <v>1576</v>
      </c>
      <c r="B1004" s="1">
        <v>45989</v>
      </c>
      <c r="C1004" t="s">
        <v>954</v>
      </c>
      <c r="D1004" t="s">
        <v>63</v>
      </c>
      <c r="E1004" t="s">
        <v>46</v>
      </c>
      <c r="F1004" t="s">
        <v>53</v>
      </c>
      <c r="G1004" t="s">
        <v>151</v>
      </c>
      <c r="H1004">
        <v>4</v>
      </c>
      <c r="I1004" s="21">
        <v>22332</v>
      </c>
      <c r="J1004">
        <v>20</v>
      </c>
      <c r="K1004" s="21">
        <v>17865.599999999999</v>
      </c>
      <c r="L1004" s="21">
        <v>71462.399999999994</v>
      </c>
      <c r="M1004" s="21">
        <v>54333.25</v>
      </c>
      <c r="N1004" s="21">
        <v>17129.150000000001</v>
      </c>
      <c r="O1004" t="s">
        <v>49</v>
      </c>
      <c r="P1004" s="21">
        <v>493.83</v>
      </c>
      <c r="Q1004" t="s">
        <v>83</v>
      </c>
      <c r="R1004" t="s">
        <v>31</v>
      </c>
      <c r="S1004">
        <v>5</v>
      </c>
      <c r="T1004">
        <v>5</v>
      </c>
      <c r="U1004" t="s">
        <v>32</v>
      </c>
      <c r="V1004" t="s">
        <v>33</v>
      </c>
      <c r="W1004">
        <v>5</v>
      </c>
    </row>
    <row r="1005" spans="1:23" x14ac:dyDescent="0.25">
      <c r="A1005" t="s">
        <v>1577</v>
      </c>
      <c r="B1005" s="1">
        <v>45734</v>
      </c>
      <c r="C1005" t="s">
        <v>388</v>
      </c>
      <c r="D1005" t="s">
        <v>67</v>
      </c>
      <c r="E1005" t="s">
        <v>46</v>
      </c>
      <c r="F1005" t="s">
        <v>47</v>
      </c>
      <c r="G1005" t="s">
        <v>48</v>
      </c>
      <c r="H1005">
        <v>2</v>
      </c>
      <c r="I1005" s="21">
        <v>18022</v>
      </c>
      <c r="J1005">
        <v>5</v>
      </c>
      <c r="K1005" s="21">
        <v>1802.2</v>
      </c>
      <c r="L1005" s="21">
        <v>34241.800000000003</v>
      </c>
      <c r="M1005" s="21">
        <v>21746.43</v>
      </c>
      <c r="N1005" s="21">
        <v>12495.37</v>
      </c>
      <c r="O1005" t="s">
        <v>49</v>
      </c>
      <c r="P1005" s="21">
        <v>129.71</v>
      </c>
      <c r="Q1005" t="s">
        <v>83</v>
      </c>
      <c r="R1005" t="s">
        <v>31</v>
      </c>
      <c r="S1005">
        <v>5</v>
      </c>
      <c r="T1005">
        <v>3</v>
      </c>
      <c r="U1005" t="s">
        <v>32</v>
      </c>
      <c r="V1005" t="s">
        <v>33</v>
      </c>
      <c r="W1005">
        <v>5</v>
      </c>
    </row>
    <row r="1006" spans="1:23" x14ac:dyDescent="0.25">
      <c r="A1006" t="s">
        <v>1578</v>
      </c>
      <c r="B1006" s="1">
        <v>45794</v>
      </c>
      <c r="C1006" t="s">
        <v>1082</v>
      </c>
      <c r="D1006" t="s">
        <v>67</v>
      </c>
      <c r="E1006" t="s">
        <v>26</v>
      </c>
      <c r="F1006" t="s">
        <v>53</v>
      </c>
      <c r="G1006" t="s">
        <v>268</v>
      </c>
      <c r="H1006">
        <v>3</v>
      </c>
      <c r="I1006" s="21">
        <v>55837</v>
      </c>
      <c r="J1006">
        <v>0</v>
      </c>
      <c r="K1006" s="21">
        <v>0</v>
      </c>
      <c r="L1006" s="21">
        <v>167511</v>
      </c>
      <c r="M1006" s="21">
        <v>95701.34</v>
      </c>
      <c r="N1006" s="21">
        <v>71809.66</v>
      </c>
      <c r="O1006" t="s">
        <v>39</v>
      </c>
      <c r="P1006" s="21">
        <v>2184.4899999999998</v>
      </c>
      <c r="Q1006" t="s">
        <v>68</v>
      </c>
      <c r="R1006" t="s">
        <v>41</v>
      </c>
      <c r="S1006">
        <v>2</v>
      </c>
      <c r="T1006">
        <v>3</v>
      </c>
      <c r="U1006" t="s">
        <v>56</v>
      </c>
      <c r="V1006" t="s">
        <v>33</v>
      </c>
      <c r="W1006">
        <v>2</v>
      </c>
    </row>
    <row r="1007" spans="1:23" x14ac:dyDescent="0.25">
      <c r="A1007" t="s">
        <v>1579</v>
      </c>
      <c r="B1007" s="1">
        <v>45730</v>
      </c>
      <c r="C1007" t="s">
        <v>835</v>
      </c>
      <c r="D1007" t="s">
        <v>67</v>
      </c>
      <c r="E1007" t="s">
        <v>36</v>
      </c>
      <c r="F1007" t="s">
        <v>86</v>
      </c>
      <c r="G1007" t="s">
        <v>110</v>
      </c>
      <c r="H1007">
        <v>1</v>
      </c>
      <c r="I1007" s="21">
        <v>11744</v>
      </c>
      <c r="J1007">
        <v>20</v>
      </c>
      <c r="K1007" s="21">
        <v>2348.8000000000002</v>
      </c>
      <c r="L1007" s="21">
        <v>9395.2000000000007</v>
      </c>
      <c r="M1007" s="21">
        <v>6953.67</v>
      </c>
      <c r="N1007" s="21">
        <v>2441.5300000000002</v>
      </c>
      <c r="O1007" t="s">
        <v>49</v>
      </c>
      <c r="P1007" s="21">
        <v>297.83999999999997</v>
      </c>
      <c r="Q1007" t="s">
        <v>73</v>
      </c>
      <c r="R1007" t="s">
        <v>41</v>
      </c>
      <c r="S1007">
        <v>2</v>
      </c>
      <c r="T1007">
        <v>2</v>
      </c>
      <c r="U1007" t="s">
        <v>32</v>
      </c>
      <c r="V1007" t="s">
        <v>33</v>
      </c>
      <c r="W1007">
        <v>5</v>
      </c>
    </row>
    <row r="1008" spans="1:23" x14ac:dyDescent="0.25">
      <c r="A1008" t="s">
        <v>1580</v>
      </c>
      <c r="B1008" s="1">
        <v>45694</v>
      </c>
      <c r="C1008" t="s">
        <v>675</v>
      </c>
      <c r="D1008" t="s">
        <v>124</v>
      </c>
      <c r="E1008" t="s">
        <v>26</v>
      </c>
      <c r="F1008" t="s">
        <v>37</v>
      </c>
      <c r="G1008" t="s">
        <v>313</v>
      </c>
      <c r="H1008">
        <v>1</v>
      </c>
      <c r="I1008" s="21">
        <v>18170</v>
      </c>
      <c r="J1008">
        <v>10</v>
      </c>
      <c r="K1008" s="21">
        <v>1817</v>
      </c>
      <c r="L1008" s="21">
        <v>16353</v>
      </c>
      <c r="M1008" s="21">
        <v>12406.57</v>
      </c>
      <c r="N1008" s="21">
        <v>3946.43</v>
      </c>
      <c r="O1008" t="s">
        <v>49</v>
      </c>
      <c r="P1008" s="21">
        <v>453.77</v>
      </c>
      <c r="Q1008" t="s">
        <v>83</v>
      </c>
      <c r="R1008" t="s">
        <v>31</v>
      </c>
      <c r="S1008">
        <v>5</v>
      </c>
      <c r="T1008">
        <v>6</v>
      </c>
      <c r="U1008" t="s">
        <v>56</v>
      </c>
      <c r="V1008" t="s">
        <v>33</v>
      </c>
      <c r="W1008">
        <v>5</v>
      </c>
    </row>
    <row r="1009" spans="1:23" x14ac:dyDescent="0.25">
      <c r="A1009" t="s">
        <v>1581</v>
      </c>
      <c r="B1009" s="1">
        <v>45688</v>
      </c>
      <c r="C1009" t="s">
        <v>540</v>
      </c>
      <c r="D1009" t="s">
        <v>154</v>
      </c>
      <c r="E1009" t="s">
        <v>36</v>
      </c>
      <c r="F1009" t="s">
        <v>53</v>
      </c>
      <c r="G1009" t="s">
        <v>59</v>
      </c>
      <c r="H1009">
        <v>1</v>
      </c>
      <c r="I1009" s="21">
        <v>75385</v>
      </c>
      <c r="J1009">
        <v>25</v>
      </c>
      <c r="K1009" s="21">
        <v>18846.25</v>
      </c>
      <c r="L1009" s="21">
        <v>56538.75</v>
      </c>
      <c r="M1009" s="21">
        <v>35674.300000000003</v>
      </c>
      <c r="N1009" s="21">
        <v>20864.45</v>
      </c>
      <c r="O1009" t="s">
        <v>55</v>
      </c>
      <c r="P1009" s="21">
        <v>2478.12</v>
      </c>
      <c r="Q1009" t="s">
        <v>73</v>
      </c>
      <c r="R1009" t="s">
        <v>31</v>
      </c>
      <c r="S1009">
        <v>5</v>
      </c>
      <c r="T1009">
        <v>1</v>
      </c>
      <c r="U1009" t="s">
        <v>32</v>
      </c>
      <c r="V1009" t="s">
        <v>42</v>
      </c>
    </row>
    <row r="1010" spans="1:23" x14ac:dyDescent="0.25">
      <c r="A1010" t="s">
        <v>1582</v>
      </c>
      <c r="B1010" s="1">
        <v>45742</v>
      </c>
      <c r="C1010" t="s">
        <v>714</v>
      </c>
      <c r="D1010" t="s">
        <v>97</v>
      </c>
      <c r="E1010" t="s">
        <v>46</v>
      </c>
      <c r="F1010" t="s">
        <v>37</v>
      </c>
      <c r="G1010" t="s">
        <v>38</v>
      </c>
      <c r="H1010">
        <v>2</v>
      </c>
      <c r="I1010" s="21">
        <v>13601</v>
      </c>
      <c r="J1010">
        <v>0</v>
      </c>
      <c r="K1010" s="21">
        <v>0</v>
      </c>
      <c r="L1010" s="21">
        <v>27202</v>
      </c>
      <c r="M1010" s="21">
        <v>17615.02</v>
      </c>
      <c r="N1010" s="21">
        <v>9586.98</v>
      </c>
      <c r="O1010" t="s">
        <v>39</v>
      </c>
      <c r="P1010" s="21">
        <v>1137.3800000000001</v>
      </c>
      <c r="Q1010" t="s">
        <v>30</v>
      </c>
      <c r="R1010" t="s">
        <v>31</v>
      </c>
      <c r="S1010">
        <v>5</v>
      </c>
      <c r="T1010">
        <v>7</v>
      </c>
      <c r="U1010" t="s">
        <v>56</v>
      </c>
      <c r="V1010" t="s">
        <v>33</v>
      </c>
      <c r="W1010">
        <v>1</v>
      </c>
    </row>
    <row r="1011" spans="1:23" x14ac:dyDescent="0.25">
      <c r="A1011" t="s">
        <v>1583</v>
      </c>
      <c r="B1011" s="1">
        <v>45815</v>
      </c>
      <c r="C1011" t="s">
        <v>645</v>
      </c>
      <c r="D1011" t="s">
        <v>90</v>
      </c>
      <c r="E1011" t="s">
        <v>26</v>
      </c>
      <c r="F1011" t="s">
        <v>37</v>
      </c>
      <c r="G1011" t="s">
        <v>38</v>
      </c>
      <c r="H1011">
        <v>3</v>
      </c>
      <c r="I1011" s="21">
        <v>39830</v>
      </c>
      <c r="J1011">
        <v>15</v>
      </c>
      <c r="K1011" s="21">
        <v>17923.5</v>
      </c>
      <c r="L1011" s="21">
        <v>101566.5</v>
      </c>
      <c r="M1011" s="21">
        <v>75527.37</v>
      </c>
      <c r="N1011" s="21">
        <v>26039.13</v>
      </c>
      <c r="O1011" t="s">
        <v>60</v>
      </c>
      <c r="P1011" s="21">
        <v>1990.08</v>
      </c>
      <c r="Q1011" t="s">
        <v>68</v>
      </c>
      <c r="R1011" t="s">
        <v>41</v>
      </c>
      <c r="S1011">
        <v>2</v>
      </c>
      <c r="T1011">
        <v>1</v>
      </c>
      <c r="U1011" t="s">
        <v>32</v>
      </c>
      <c r="V1011" t="s">
        <v>33</v>
      </c>
      <c r="W1011">
        <v>1</v>
      </c>
    </row>
    <row r="1012" spans="1:23" x14ac:dyDescent="0.25">
      <c r="A1012" t="s">
        <v>1584</v>
      </c>
      <c r="B1012" s="1">
        <v>45962</v>
      </c>
      <c r="C1012" t="s">
        <v>237</v>
      </c>
      <c r="D1012" t="s">
        <v>154</v>
      </c>
      <c r="E1012" t="s">
        <v>36</v>
      </c>
      <c r="F1012" t="s">
        <v>27</v>
      </c>
      <c r="G1012" t="s">
        <v>28</v>
      </c>
      <c r="H1012">
        <v>1</v>
      </c>
      <c r="I1012" s="21">
        <v>13551</v>
      </c>
      <c r="J1012">
        <v>5</v>
      </c>
      <c r="K1012" s="21">
        <v>677.55</v>
      </c>
      <c r="L1012" s="21">
        <v>12873.45</v>
      </c>
      <c r="M1012" s="21">
        <v>7151.69</v>
      </c>
      <c r="N1012" s="21">
        <v>5721.76</v>
      </c>
      <c r="O1012" t="s">
        <v>49</v>
      </c>
      <c r="P1012" s="21">
        <v>219.64</v>
      </c>
      <c r="Q1012" t="s">
        <v>68</v>
      </c>
      <c r="R1012" t="s">
        <v>41</v>
      </c>
      <c r="S1012">
        <v>2</v>
      </c>
      <c r="T1012">
        <v>4</v>
      </c>
      <c r="U1012" t="s">
        <v>56</v>
      </c>
      <c r="V1012" t="s">
        <v>33</v>
      </c>
      <c r="W1012">
        <v>4</v>
      </c>
    </row>
    <row r="1013" spans="1:23" x14ac:dyDescent="0.25">
      <c r="A1013" t="s">
        <v>1585</v>
      </c>
      <c r="B1013" s="1">
        <v>45949</v>
      </c>
      <c r="C1013" t="s">
        <v>546</v>
      </c>
      <c r="D1013" t="s">
        <v>124</v>
      </c>
      <c r="E1013" t="s">
        <v>26</v>
      </c>
      <c r="F1013" t="s">
        <v>86</v>
      </c>
      <c r="G1013" t="s">
        <v>94</v>
      </c>
      <c r="H1013">
        <v>2</v>
      </c>
      <c r="I1013" s="21">
        <v>33854</v>
      </c>
      <c r="J1013">
        <v>10</v>
      </c>
      <c r="K1013" s="21">
        <v>6770.8</v>
      </c>
      <c r="L1013" s="21">
        <v>60937.2</v>
      </c>
      <c r="M1013" s="21">
        <v>35654.49</v>
      </c>
      <c r="N1013" s="21">
        <v>25282.71</v>
      </c>
      <c r="O1013" t="s">
        <v>91</v>
      </c>
      <c r="P1013" s="21">
        <v>443.27</v>
      </c>
      <c r="Q1013" t="s">
        <v>40</v>
      </c>
      <c r="R1013" t="s">
        <v>31</v>
      </c>
      <c r="S1013">
        <v>5</v>
      </c>
      <c r="T1013">
        <v>5</v>
      </c>
      <c r="U1013" t="s">
        <v>32</v>
      </c>
      <c r="V1013" t="s">
        <v>33</v>
      </c>
      <c r="W1013">
        <v>3</v>
      </c>
    </row>
    <row r="1014" spans="1:23" x14ac:dyDescent="0.25">
      <c r="A1014" t="s">
        <v>1586</v>
      </c>
      <c r="B1014" s="1">
        <v>45805</v>
      </c>
      <c r="C1014" t="s">
        <v>409</v>
      </c>
      <c r="D1014" t="s">
        <v>90</v>
      </c>
      <c r="E1014" t="s">
        <v>46</v>
      </c>
      <c r="F1014" t="s">
        <v>86</v>
      </c>
      <c r="G1014" t="s">
        <v>87</v>
      </c>
      <c r="H1014">
        <v>3</v>
      </c>
      <c r="I1014" s="21">
        <v>34683</v>
      </c>
      <c r="J1014">
        <v>10</v>
      </c>
      <c r="K1014" s="21">
        <v>10404.9</v>
      </c>
      <c r="L1014" s="21">
        <v>93644.1</v>
      </c>
      <c r="M1014" s="21">
        <v>59873.99</v>
      </c>
      <c r="N1014" s="21">
        <v>33770.11</v>
      </c>
      <c r="O1014" t="s">
        <v>49</v>
      </c>
      <c r="P1014" s="21">
        <v>381.75</v>
      </c>
      <c r="Q1014" t="s">
        <v>83</v>
      </c>
      <c r="R1014" t="s">
        <v>31</v>
      </c>
      <c r="S1014">
        <v>5</v>
      </c>
      <c r="T1014">
        <v>9</v>
      </c>
      <c r="U1014" t="s">
        <v>56</v>
      </c>
      <c r="V1014" t="s">
        <v>33</v>
      </c>
      <c r="W1014">
        <v>1</v>
      </c>
    </row>
    <row r="1015" spans="1:23" x14ac:dyDescent="0.25">
      <c r="A1015" t="s">
        <v>1587</v>
      </c>
      <c r="B1015" s="1">
        <v>45882</v>
      </c>
      <c r="C1015" t="s">
        <v>1252</v>
      </c>
      <c r="D1015" t="s">
        <v>90</v>
      </c>
      <c r="E1015" t="s">
        <v>46</v>
      </c>
      <c r="F1015" t="s">
        <v>37</v>
      </c>
      <c r="G1015" t="s">
        <v>224</v>
      </c>
      <c r="H1015">
        <v>2</v>
      </c>
      <c r="I1015" s="21">
        <v>20598</v>
      </c>
      <c r="J1015">
        <v>5</v>
      </c>
      <c r="K1015" s="21">
        <v>2059.8000000000002</v>
      </c>
      <c r="L1015" s="21">
        <v>39136.199999999997</v>
      </c>
      <c r="M1015" s="21">
        <v>21672.26</v>
      </c>
      <c r="N1015" s="21">
        <v>17463.939999999999</v>
      </c>
      <c r="O1015" t="s">
        <v>39</v>
      </c>
      <c r="P1015" s="21">
        <v>1102.94</v>
      </c>
      <c r="Q1015" t="s">
        <v>68</v>
      </c>
      <c r="R1015" t="s">
        <v>31</v>
      </c>
      <c r="S1015">
        <v>5</v>
      </c>
      <c r="T1015">
        <v>3</v>
      </c>
      <c r="U1015" t="s">
        <v>32</v>
      </c>
      <c r="V1015" t="s">
        <v>33</v>
      </c>
      <c r="W1015">
        <v>4</v>
      </c>
    </row>
    <row r="1016" spans="1:23" x14ac:dyDescent="0.25">
      <c r="A1016" t="s">
        <v>1588</v>
      </c>
      <c r="B1016" s="1">
        <v>45721</v>
      </c>
      <c r="C1016" t="s">
        <v>404</v>
      </c>
      <c r="D1016" t="s">
        <v>63</v>
      </c>
      <c r="E1016" t="s">
        <v>46</v>
      </c>
      <c r="F1016" t="s">
        <v>47</v>
      </c>
      <c r="G1016" t="s">
        <v>64</v>
      </c>
      <c r="H1016">
        <v>4</v>
      </c>
      <c r="I1016" s="21">
        <v>28894</v>
      </c>
      <c r="J1016">
        <v>20</v>
      </c>
      <c r="K1016" s="21">
        <v>23115.200000000001</v>
      </c>
      <c r="L1016" s="21">
        <v>92460.800000000003</v>
      </c>
      <c r="M1016" s="21">
        <v>58923.88</v>
      </c>
      <c r="N1016" s="21">
        <v>33536.92</v>
      </c>
      <c r="O1016" t="s">
        <v>49</v>
      </c>
      <c r="P1016" s="21">
        <v>126.95</v>
      </c>
      <c r="Q1016" t="s">
        <v>40</v>
      </c>
      <c r="R1016" t="s">
        <v>31</v>
      </c>
      <c r="S1016">
        <v>5</v>
      </c>
      <c r="T1016">
        <v>0</v>
      </c>
      <c r="U1016" t="s">
        <v>32</v>
      </c>
      <c r="V1016" t="s">
        <v>42</v>
      </c>
    </row>
    <row r="1017" spans="1:23" x14ac:dyDescent="0.25">
      <c r="A1017" t="s">
        <v>1589</v>
      </c>
      <c r="B1017" s="1">
        <v>45897</v>
      </c>
      <c r="C1017" t="s">
        <v>1468</v>
      </c>
      <c r="D1017" t="s">
        <v>71</v>
      </c>
      <c r="E1017" t="s">
        <v>46</v>
      </c>
      <c r="F1017" t="s">
        <v>27</v>
      </c>
      <c r="G1017" t="s">
        <v>72</v>
      </c>
      <c r="H1017">
        <v>2</v>
      </c>
      <c r="I1017" s="21">
        <v>29627</v>
      </c>
      <c r="J1017">
        <v>0</v>
      </c>
      <c r="K1017" s="21">
        <v>0</v>
      </c>
      <c r="L1017" s="21">
        <v>59254</v>
      </c>
      <c r="M1017" s="21">
        <v>39910.22</v>
      </c>
      <c r="N1017" s="21">
        <v>19343.78</v>
      </c>
      <c r="O1017" t="s">
        <v>55</v>
      </c>
      <c r="P1017" s="21">
        <v>788.42</v>
      </c>
      <c r="Q1017" t="s">
        <v>30</v>
      </c>
      <c r="R1017" t="s">
        <v>31</v>
      </c>
      <c r="S1017">
        <v>5</v>
      </c>
      <c r="T1017">
        <v>5</v>
      </c>
      <c r="U1017" t="s">
        <v>32</v>
      </c>
      <c r="V1017" t="s">
        <v>33</v>
      </c>
      <c r="W1017">
        <v>1</v>
      </c>
    </row>
    <row r="1018" spans="1:23" x14ac:dyDescent="0.25">
      <c r="A1018" t="s">
        <v>1590</v>
      </c>
      <c r="B1018" s="1">
        <v>46010</v>
      </c>
      <c r="C1018" t="s">
        <v>1591</v>
      </c>
      <c r="D1018" t="s">
        <v>90</v>
      </c>
      <c r="E1018" t="s">
        <v>46</v>
      </c>
      <c r="F1018" t="s">
        <v>53</v>
      </c>
      <c r="G1018" t="s">
        <v>82</v>
      </c>
      <c r="H1018">
        <v>2</v>
      </c>
      <c r="I1018" s="21">
        <v>119343</v>
      </c>
      <c r="J1018">
        <v>0</v>
      </c>
      <c r="K1018" s="21">
        <v>0</v>
      </c>
      <c r="L1018" s="21">
        <v>238686</v>
      </c>
      <c r="M1018" s="21">
        <v>143460.35</v>
      </c>
      <c r="N1018" s="21">
        <v>95225.65</v>
      </c>
      <c r="O1018" t="s">
        <v>60</v>
      </c>
      <c r="P1018" s="21">
        <v>2029.1</v>
      </c>
      <c r="Q1018" t="s">
        <v>68</v>
      </c>
      <c r="R1018" t="s">
        <v>31</v>
      </c>
      <c r="S1018">
        <v>5</v>
      </c>
      <c r="T1018">
        <v>0</v>
      </c>
      <c r="U1018" t="s">
        <v>32</v>
      </c>
      <c r="V1018" t="s">
        <v>50</v>
      </c>
      <c r="W1018">
        <v>5</v>
      </c>
    </row>
    <row r="1019" spans="1:23" x14ac:dyDescent="0.25">
      <c r="A1019" t="s">
        <v>1592</v>
      </c>
      <c r="B1019" s="1">
        <v>45813</v>
      </c>
      <c r="C1019" t="s">
        <v>880</v>
      </c>
      <c r="D1019" t="s">
        <v>79</v>
      </c>
      <c r="E1019" t="s">
        <v>26</v>
      </c>
      <c r="F1019" t="s">
        <v>53</v>
      </c>
      <c r="G1019" t="s">
        <v>59</v>
      </c>
      <c r="H1019">
        <v>1</v>
      </c>
      <c r="I1019" s="21">
        <v>9560</v>
      </c>
      <c r="J1019">
        <v>15</v>
      </c>
      <c r="K1019" s="21">
        <v>1434</v>
      </c>
      <c r="L1019" s="21">
        <v>8126</v>
      </c>
      <c r="M1019" s="21">
        <v>4702.78</v>
      </c>
      <c r="N1019" s="21">
        <v>3423.22</v>
      </c>
      <c r="O1019" t="s">
        <v>29</v>
      </c>
      <c r="P1019" s="21">
        <v>1431.72</v>
      </c>
      <c r="Q1019" t="s">
        <v>73</v>
      </c>
      <c r="R1019" t="s">
        <v>41</v>
      </c>
      <c r="S1019">
        <v>2</v>
      </c>
      <c r="T1019">
        <v>1</v>
      </c>
      <c r="U1019" t="s">
        <v>32</v>
      </c>
      <c r="V1019" t="s">
        <v>33</v>
      </c>
      <c r="W1019">
        <v>2</v>
      </c>
    </row>
    <row r="1020" spans="1:23" x14ac:dyDescent="0.25">
      <c r="A1020" t="s">
        <v>1593</v>
      </c>
      <c r="B1020" s="1">
        <v>46016</v>
      </c>
      <c r="C1020" t="s">
        <v>44</v>
      </c>
      <c r="D1020" t="s">
        <v>45</v>
      </c>
      <c r="E1020" t="s">
        <v>26</v>
      </c>
      <c r="F1020" t="s">
        <v>37</v>
      </c>
      <c r="G1020" t="s">
        <v>38</v>
      </c>
      <c r="H1020">
        <v>1</v>
      </c>
      <c r="I1020" s="21">
        <v>37866</v>
      </c>
      <c r="J1020">
        <v>0</v>
      </c>
      <c r="K1020" s="21">
        <v>0</v>
      </c>
      <c r="L1020" s="21">
        <v>37866</v>
      </c>
      <c r="M1020" s="21">
        <v>28073.25</v>
      </c>
      <c r="N1020" s="21">
        <v>9792.75</v>
      </c>
      <c r="O1020" t="s">
        <v>39</v>
      </c>
      <c r="P1020" s="21">
        <v>1430.45</v>
      </c>
      <c r="Q1020" t="s">
        <v>40</v>
      </c>
      <c r="R1020" t="s">
        <v>31</v>
      </c>
      <c r="S1020">
        <v>5</v>
      </c>
      <c r="T1020">
        <v>4</v>
      </c>
      <c r="U1020" t="s">
        <v>32</v>
      </c>
      <c r="V1020" t="s">
        <v>33</v>
      </c>
      <c r="W1020">
        <v>4</v>
      </c>
    </row>
    <row r="1021" spans="1:23" x14ac:dyDescent="0.25">
      <c r="A1021" t="s">
        <v>1594</v>
      </c>
      <c r="B1021" s="1">
        <v>45864</v>
      </c>
      <c r="C1021" t="s">
        <v>1595</v>
      </c>
      <c r="D1021" t="s">
        <v>71</v>
      </c>
      <c r="E1021" t="s">
        <v>36</v>
      </c>
      <c r="F1021" t="s">
        <v>47</v>
      </c>
      <c r="G1021" t="s">
        <v>138</v>
      </c>
      <c r="H1021">
        <v>1</v>
      </c>
      <c r="I1021" s="21">
        <v>38430</v>
      </c>
      <c r="J1021">
        <v>10</v>
      </c>
      <c r="K1021" s="21">
        <v>3843</v>
      </c>
      <c r="L1021" s="21">
        <v>34587</v>
      </c>
      <c r="M1021" s="21">
        <v>22120.42</v>
      </c>
      <c r="N1021" s="21">
        <v>12466.58</v>
      </c>
      <c r="O1021" t="s">
        <v>29</v>
      </c>
      <c r="P1021" s="21">
        <v>420.74</v>
      </c>
      <c r="Q1021" t="s">
        <v>40</v>
      </c>
      <c r="R1021" t="s">
        <v>31</v>
      </c>
      <c r="S1021">
        <v>5</v>
      </c>
      <c r="T1021">
        <v>5</v>
      </c>
      <c r="U1021" t="s">
        <v>32</v>
      </c>
      <c r="V1021" t="s">
        <v>33</v>
      </c>
      <c r="W1021">
        <v>5</v>
      </c>
    </row>
    <row r="1022" spans="1:23" x14ac:dyDescent="0.25">
      <c r="A1022" t="s">
        <v>1596</v>
      </c>
      <c r="B1022" s="1">
        <v>45797</v>
      </c>
      <c r="C1022" t="s">
        <v>1597</v>
      </c>
      <c r="D1022" t="s">
        <v>154</v>
      </c>
      <c r="E1022" t="s">
        <v>46</v>
      </c>
      <c r="F1022" t="s">
        <v>47</v>
      </c>
      <c r="G1022" t="s">
        <v>146</v>
      </c>
      <c r="H1022">
        <v>2</v>
      </c>
      <c r="I1022" s="21">
        <v>26303</v>
      </c>
      <c r="J1022">
        <v>0</v>
      </c>
      <c r="K1022" s="21">
        <v>0</v>
      </c>
      <c r="L1022" s="21">
        <v>52606</v>
      </c>
      <c r="M1022" s="21">
        <v>38342.99</v>
      </c>
      <c r="N1022" s="21">
        <v>14263.01</v>
      </c>
      <c r="O1022" t="s">
        <v>55</v>
      </c>
      <c r="P1022" s="21">
        <v>403.97</v>
      </c>
      <c r="Q1022" t="s">
        <v>73</v>
      </c>
      <c r="R1022" t="s">
        <v>31</v>
      </c>
      <c r="S1022">
        <v>5</v>
      </c>
      <c r="T1022">
        <v>6</v>
      </c>
      <c r="U1022" t="s">
        <v>56</v>
      </c>
      <c r="V1022" t="s">
        <v>33</v>
      </c>
      <c r="W1022">
        <v>3</v>
      </c>
    </row>
    <row r="1023" spans="1:23" x14ac:dyDescent="0.25">
      <c r="A1023" t="s">
        <v>1598</v>
      </c>
      <c r="B1023" s="1">
        <v>45914</v>
      </c>
      <c r="C1023" t="s">
        <v>490</v>
      </c>
      <c r="D1023" t="s">
        <v>154</v>
      </c>
      <c r="E1023" t="s">
        <v>36</v>
      </c>
      <c r="F1023" t="s">
        <v>27</v>
      </c>
      <c r="G1023" t="s">
        <v>72</v>
      </c>
      <c r="H1023">
        <v>2</v>
      </c>
      <c r="I1023" s="21">
        <v>22416</v>
      </c>
      <c r="J1023">
        <v>0</v>
      </c>
      <c r="K1023" s="21">
        <v>0</v>
      </c>
      <c r="L1023" s="21">
        <v>44832</v>
      </c>
      <c r="M1023" s="21">
        <v>32805.550000000003</v>
      </c>
      <c r="N1023" s="21">
        <v>12026.45</v>
      </c>
      <c r="O1023" t="s">
        <v>49</v>
      </c>
      <c r="P1023" s="21">
        <v>335.32</v>
      </c>
      <c r="Q1023" t="s">
        <v>83</v>
      </c>
      <c r="R1023" t="s">
        <v>31</v>
      </c>
      <c r="S1023">
        <v>5</v>
      </c>
      <c r="T1023">
        <v>1</v>
      </c>
      <c r="U1023" t="s">
        <v>32</v>
      </c>
      <c r="V1023" t="s">
        <v>50</v>
      </c>
      <c r="W1023">
        <v>1</v>
      </c>
    </row>
    <row r="1024" spans="1:23" x14ac:dyDescent="0.25">
      <c r="A1024" t="s">
        <v>1599</v>
      </c>
      <c r="B1024" s="1">
        <v>45934</v>
      </c>
      <c r="C1024" t="s">
        <v>884</v>
      </c>
      <c r="D1024" t="s">
        <v>154</v>
      </c>
      <c r="E1024" t="s">
        <v>26</v>
      </c>
      <c r="F1024" t="s">
        <v>86</v>
      </c>
      <c r="G1024" t="s">
        <v>87</v>
      </c>
      <c r="H1024">
        <v>1</v>
      </c>
      <c r="I1024" s="21">
        <v>19531</v>
      </c>
      <c r="J1024">
        <v>5</v>
      </c>
      <c r="K1024" s="21">
        <v>976.55</v>
      </c>
      <c r="L1024" s="21">
        <v>18554.45</v>
      </c>
      <c r="M1024" s="21">
        <v>10412.49</v>
      </c>
      <c r="N1024" s="21">
        <v>8141.96</v>
      </c>
      <c r="O1024" t="s">
        <v>91</v>
      </c>
      <c r="P1024" s="21">
        <v>971.57</v>
      </c>
      <c r="Q1024" t="s">
        <v>83</v>
      </c>
      <c r="R1024" t="s">
        <v>31</v>
      </c>
      <c r="S1024">
        <v>5</v>
      </c>
      <c r="T1024">
        <v>4</v>
      </c>
      <c r="U1024" t="s">
        <v>32</v>
      </c>
      <c r="V1024" t="s">
        <v>33</v>
      </c>
      <c r="W1024">
        <v>4</v>
      </c>
    </row>
    <row r="1025" spans="1:23" x14ac:dyDescent="0.25">
      <c r="A1025" t="s">
        <v>1600</v>
      </c>
      <c r="B1025" s="1">
        <v>45910</v>
      </c>
      <c r="C1025" t="s">
        <v>1601</v>
      </c>
      <c r="D1025" t="s">
        <v>124</v>
      </c>
      <c r="E1025" t="s">
        <v>26</v>
      </c>
      <c r="F1025" t="s">
        <v>27</v>
      </c>
      <c r="G1025" t="s">
        <v>72</v>
      </c>
      <c r="H1025">
        <v>2</v>
      </c>
      <c r="I1025" s="21">
        <v>11063</v>
      </c>
      <c r="J1025">
        <v>20</v>
      </c>
      <c r="K1025" s="21">
        <v>4425.2</v>
      </c>
      <c r="L1025" s="21">
        <v>17700.8</v>
      </c>
      <c r="M1025" s="21">
        <v>11931.96</v>
      </c>
      <c r="N1025" s="21">
        <v>5768.84</v>
      </c>
      <c r="O1025" t="s">
        <v>55</v>
      </c>
      <c r="P1025" s="21">
        <v>1435.72</v>
      </c>
      <c r="Q1025" t="s">
        <v>68</v>
      </c>
      <c r="R1025" t="s">
        <v>31</v>
      </c>
      <c r="S1025">
        <v>5</v>
      </c>
      <c r="T1025">
        <v>9</v>
      </c>
      <c r="U1025" t="s">
        <v>56</v>
      </c>
      <c r="V1025" t="s">
        <v>33</v>
      </c>
      <c r="W1025">
        <v>5</v>
      </c>
    </row>
    <row r="1026" spans="1:23" x14ac:dyDescent="0.25">
      <c r="A1026" t="s">
        <v>1602</v>
      </c>
      <c r="B1026" s="1">
        <v>45882</v>
      </c>
      <c r="C1026" t="s">
        <v>1052</v>
      </c>
      <c r="D1026" t="s">
        <v>45</v>
      </c>
      <c r="E1026" t="s">
        <v>46</v>
      </c>
      <c r="F1026" t="s">
        <v>53</v>
      </c>
      <c r="G1026" t="s">
        <v>151</v>
      </c>
      <c r="H1026">
        <v>3</v>
      </c>
      <c r="I1026" s="21">
        <v>98887</v>
      </c>
      <c r="J1026">
        <v>0</v>
      </c>
      <c r="K1026" s="21">
        <v>0</v>
      </c>
      <c r="L1026" s="21">
        <v>296661</v>
      </c>
      <c r="M1026" s="21">
        <v>232096.34</v>
      </c>
      <c r="N1026" s="21">
        <v>64564.66</v>
      </c>
      <c r="O1026" t="s">
        <v>55</v>
      </c>
      <c r="P1026" s="21">
        <v>2371.46</v>
      </c>
      <c r="Q1026" t="s">
        <v>83</v>
      </c>
      <c r="R1026" t="s">
        <v>31</v>
      </c>
      <c r="S1026">
        <v>5</v>
      </c>
      <c r="T1026">
        <v>8</v>
      </c>
      <c r="U1026" t="s">
        <v>56</v>
      </c>
      <c r="V1026" t="s">
        <v>33</v>
      </c>
      <c r="W1026">
        <v>1</v>
      </c>
    </row>
    <row r="1027" spans="1:23" x14ac:dyDescent="0.25">
      <c r="A1027" t="s">
        <v>1603</v>
      </c>
      <c r="B1027" s="1">
        <v>45699</v>
      </c>
      <c r="C1027" t="s">
        <v>267</v>
      </c>
      <c r="D1027" t="s">
        <v>63</v>
      </c>
      <c r="E1027" t="s">
        <v>26</v>
      </c>
      <c r="F1027" t="s">
        <v>86</v>
      </c>
      <c r="G1027" t="s">
        <v>87</v>
      </c>
      <c r="H1027">
        <v>1</v>
      </c>
      <c r="I1027" s="21">
        <v>16637</v>
      </c>
      <c r="J1027">
        <v>0</v>
      </c>
      <c r="K1027" s="21">
        <v>0</v>
      </c>
      <c r="L1027" s="21">
        <v>16637</v>
      </c>
      <c r="M1027" s="21">
        <v>11036.09</v>
      </c>
      <c r="N1027" s="21">
        <v>5600.91</v>
      </c>
      <c r="O1027" t="s">
        <v>55</v>
      </c>
      <c r="P1027" s="21">
        <v>1133.48</v>
      </c>
      <c r="Q1027" t="s">
        <v>73</v>
      </c>
      <c r="R1027" t="s">
        <v>31</v>
      </c>
      <c r="S1027">
        <v>5</v>
      </c>
      <c r="T1027">
        <v>5</v>
      </c>
      <c r="U1027" t="s">
        <v>32</v>
      </c>
      <c r="V1027" t="s">
        <v>33</v>
      </c>
      <c r="W1027">
        <v>3</v>
      </c>
    </row>
    <row r="1028" spans="1:23" x14ac:dyDescent="0.25">
      <c r="A1028" t="s">
        <v>1604</v>
      </c>
      <c r="B1028" s="1">
        <v>45964</v>
      </c>
      <c r="C1028" t="s">
        <v>1483</v>
      </c>
      <c r="D1028" t="s">
        <v>90</v>
      </c>
      <c r="E1028" t="s">
        <v>46</v>
      </c>
      <c r="F1028" t="s">
        <v>27</v>
      </c>
      <c r="G1028" t="s">
        <v>113</v>
      </c>
      <c r="H1028">
        <v>1</v>
      </c>
      <c r="I1028" s="21">
        <v>20281</v>
      </c>
      <c r="J1028">
        <v>10</v>
      </c>
      <c r="K1028" s="21">
        <v>2028.1</v>
      </c>
      <c r="L1028" s="21">
        <v>18252.900000000001</v>
      </c>
      <c r="M1028" s="21">
        <v>11821.51</v>
      </c>
      <c r="N1028" s="21">
        <v>6431.39</v>
      </c>
      <c r="O1028" t="s">
        <v>60</v>
      </c>
      <c r="P1028" s="21">
        <v>1955.05</v>
      </c>
      <c r="Q1028" t="s">
        <v>73</v>
      </c>
      <c r="R1028" t="s">
        <v>41</v>
      </c>
      <c r="S1028">
        <v>2</v>
      </c>
      <c r="T1028">
        <v>2</v>
      </c>
      <c r="U1028" t="s">
        <v>32</v>
      </c>
      <c r="V1028" t="s">
        <v>33</v>
      </c>
      <c r="W1028">
        <v>5</v>
      </c>
    </row>
    <row r="1029" spans="1:23" x14ac:dyDescent="0.25">
      <c r="A1029" t="s">
        <v>1605</v>
      </c>
      <c r="B1029" s="1">
        <v>45678</v>
      </c>
      <c r="C1029" t="s">
        <v>137</v>
      </c>
      <c r="D1029" t="s">
        <v>71</v>
      </c>
      <c r="E1029" t="s">
        <v>36</v>
      </c>
      <c r="F1029" t="s">
        <v>86</v>
      </c>
      <c r="G1029" t="s">
        <v>180</v>
      </c>
      <c r="H1029">
        <v>2</v>
      </c>
      <c r="I1029" s="21">
        <v>35454</v>
      </c>
      <c r="J1029">
        <v>10</v>
      </c>
      <c r="K1029" s="21">
        <v>7090.8</v>
      </c>
      <c r="L1029" s="21">
        <v>63817.2</v>
      </c>
      <c r="M1029" s="21">
        <v>35246.54</v>
      </c>
      <c r="N1029" s="21">
        <v>28570.66</v>
      </c>
      <c r="O1029" t="s">
        <v>60</v>
      </c>
      <c r="P1029" s="21">
        <v>636.48</v>
      </c>
      <c r="Q1029" t="s">
        <v>68</v>
      </c>
      <c r="R1029" t="s">
        <v>41</v>
      </c>
      <c r="S1029">
        <v>2</v>
      </c>
      <c r="T1029">
        <v>1</v>
      </c>
      <c r="U1029" t="s">
        <v>32</v>
      </c>
      <c r="V1029" t="s">
        <v>50</v>
      </c>
      <c r="W1029">
        <v>4</v>
      </c>
    </row>
    <row r="1030" spans="1:23" x14ac:dyDescent="0.25">
      <c r="A1030" t="s">
        <v>1606</v>
      </c>
      <c r="B1030" s="1">
        <v>45879</v>
      </c>
      <c r="C1030" t="s">
        <v>193</v>
      </c>
      <c r="D1030" t="s">
        <v>79</v>
      </c>
      <c r="E1030" t="s">
        <v>46</v>
      </c>
      <c r="F1030" t="s">
        <v>27</v>
      </c>
      <c r="G1030" t="s">
        <v>76</v>
      </c>
      <c r="H1030">
        <v>1</v>
      </c>
      <c r="I1030" s="21">
        <v>27710</v>
      </c>
      <c r="J1030">
        <v>25</v>
      </c>
      <c r="K1030" s="21">
        <v>6927.5</v>
      </c>
      <c r="L1030" s="21">
        <v>20782.5</v>
      </c>
      <c r="M1030" s="21">
        <v>15332.6</v>
      </c>
      <c r="N1030" s="21">
        <v>5449.9</v>
      </c>
      <c r="O1030" t="s">
        <v>55</v>
      </c>
      <c r="P1030" s="21">
        <v>1762.11</v>
      </c>
      <c r="Q1030" t="s">
        <v>40</v>
      </c>
      <c r="R1030" t="s">
        <v>31</v>
      </c>
      <c r="S1030">
        <v>5</v>
      </c>
      <c r="T1030">
        <v>6</v>
      </c>
      <c r="U1030" t="s">
        <v>56</v>
      </c>
      <c r="V1030" t="s">
        <v>33</v>
      </c>
      <c r="W1030">
        <v>1</v>
      </c>
    </row>
    <row r="1031" spans="1:23" x14ac:dyDescent="0.25">
      <c r="A1031" t="s">
        <v>1607</v>
      </c>
      <c r="B1031" s="1">
        <v>45823</v>
      </c>
      <c r="C1031" t="s">
        <v>1133</v>
      </c>
      <c r="D1031" t="s">
        <v>45</v>
      </c>
      <c r="E1031" t="s">
        <v>26</v>
      </c>
      <c r="F1031" t="s">
        <v>53</v>
      </c>
      <c r="G1031" t="s">
        <v>82</v>
      </c>
      <c r="H1031">
        <v>2</v>
      </c>
      <c r="I1031" s="21">
        <v>62420</v>
      </c>
      <c r="J1031">
        <v>0</v>
      </c>
      <c r="K1031" s="21">
        <v>0</v>
      </c>
      <c r="L1031" s="21">
        <v>124840</v>
      </c>
      <c r="M1031" s="21">
        <v>90841.58</v>
      </c>
      <c r="N1031" s="21">
        <v>33998.42</v>
      </c>
      <c r="O1031" t="s">
        <v>49</v>
      </c>
      <c r="P1031" s="21">
        <v>149.27000000000001</v>
      </c>
      <c r="Q1031" t="s">
        <v>40</v>
      </c>
      <c r="R1031" t="s">
        <v>41</v>
      </c>
      <c r="S1031">
        <v>2</v>
      </c>
      <c r="T1031">
        <v>2</v>
      </c>
      <c r="U1031" t="s">
        <v>32</v>
      </c>
      <c r="V1031" t="s">
        <v>42</v>
      </c>
    </row>
    <row r="1032" spans="1:23" x14ac:dyDescent="0.25">
      <c r="A1032" t="s">
        <v>1608</v>
      </c>
      <c r="B1032" s="1">
        <v>45967</v>
      </c>
      <c r="C1032" t="s">
        <v>394</v>
      </c>
      <c r="D1032" t="s">
        <v>63</v>
      </c>
      <c r="E1032" t="s">
        <v>36</v>
      </c>
      <c r="F1032" t="s">
        <v>86</v>
      </c>
      <c r="G1032" t="s">
        <v>87</v>
      </c>
      <c r="H1032">
        <v>1</v>
      </c>
      <c r="I1032" s="21">
        <v>13550</v>
      </c>
      <c r="J1032">
        <v>5</v>
      </c>
      <c r="K1032" s="21">
        <v>677.5</v>
      </c>
      <c r="L1032" s="21">
        <v>12872.5</v>
      </c>
      <c r="M1032" s="21">
        <v>7861.58</v>
      </c>
      <c r="N1032" s="21">
        <v>5010.92</v>
      </c>
      <c r="O1032" t="s">
        <v>60</v>
      </c>
      <c r="P1032" s="21">
        <v>279.89</v>
      </c>
      <c r="Q1032" t="s">
        <v>68</v>
      </c>
      <c r="R1032" t="s">
        <v>31</v>
      </c>
      <c r="S1032">
        <v>5</v>
      </c>
      <c r="T1032">
        <v>4</v>
      </c>
      <c r="U1032" t="s">
        <v>32</v>
      </c>
      <c r="V1032" t="s">
        <v>33</v>
      </c>
      <c r="W1032">
        <v>5</v>
      </c>
    </row>
    <row r="1033" spans="1:23" x14ac:dyDescent="0.25">
      <c r="A1033" t="s">
        <v>1609</v>
      </c>
      <c r="B1033" s="1">
        <v>45786</v>
      </c>
      <c r="C1033" t="s">
        <v>447</v>
      </c>
      <c r="D1033" t="s">
        <v>97</v>
      </c>
      <c r="E1033" t="s">
        <v>46</v>
      </c>
      <c r="F1033" t="s">
        <v>53</v>
      </c>
      <c r="G1033" t="s">
        <v>151</v>
      </c>
      <c r="H1033">
        <v>1</v>
      </c>
      <c r="I1033" s="21">
        <v>103210</v>
      </c>
      <c r="J1033">
        <v>10</v>
      </c>
      <c r="K1033" s="21">
        <v>10321</v>
      </c>
      <c r="L1033" s="21">
        <v>92889</v>
      </c>
      <c r="M1033" s="21">
        <v>63613.4</v>
      </c>
      <c r="N1033" s="21">
        <v>29275.599999999999</v>
      </c>
      <c r="O1033" t="s">
        <v>60</v>
      </c>
      <c r="P1033" s="21">
        <v>1837.84</v>
      </c>
      <c r="Q1033" t="s">
        <v>73</v>
      </c>
      <c r="R1033" t="s">
        <v>41</v>
      </c>
      <c r="S1033">
        <v>2</v>
      </c>
      <c r="T1033">
        <v>1</v>
      </c>
      <c r="U1033" t="s">
        <v>32</v>
      </c>
      <c r="V1033" t="s">
        <v>33</v>
      </c>
      <c r="W1033">
        <v>5</v>
      </c>
    </row>
    <row r="1034" spans="1:23" x14ac:dyDescent="0.25">
      <c r="A1034" t="s">
        <v>1610</v>
      </c>
      <c r="B1034" s="1">
        <v>45671</v>
      </c>
      <c r="C1034" t="s">
        <v>81</v>
      </c>
      <c r="D1034" t="s">
        <v>124</v>
      </c>
      <c r="E1034" t="s">
        <v>46</v>
      </c>
      <c r="F1034" t="s">
        <v>86</v>
      </c>
      <c r="G1034" t="s">
        <v>87</v>
      </c>
      <c r="H1034">
        <v>1</v>
      </c>
      <c r="I1034" s="21">
        <v>56680</v>
      </c>
      <c r="J1034">
        <v>15</v>
      </c>
      <c r="K1034" s="21">
        <v>8502</v>
      </c>
      <c r="L1034" s="21">
        <v>48178</v>
      </c>
      <c r="M1034" s="21">
        <v>39015.230000000003</v>
      </c>
      <c r="N1034" s="21">
        <v>9162.77</v>
      </c>
      <c r="O1034" t="s">
        <v>60</v>
      </c>
      <c r="P1034" s="21">
        <v>2283.67</v>
      </c>
      <c r="Q1034" t="s">
        <v>68</v>
      </c>
      <c r="R1034" t="s">
        <v>41</v>
      </c>
      <c r="S1034">
        <v>2</v>
      </c>
      <c r="T1034">
        <v>2</v>
      </c>
      <c r="U1034" t="s">
        <v>32</v>
      </c>
      <c r="V1034" t="s">
        <v>33</v>
      </c>
      <c r="W1034">
        <v>2</v>
      </c>
    </row>
    <row r="1035" spans="1:23" x14ac:dyDescent="0.25">
      <c r="A1035" t="s">
        <v>1611</v>
      </c>
      <c r="B1035" s="1">
        <v>45704</v>
      </c>
      <c r="C1035" t="s">
        <v>245</v>
      </c>
      <c r="D1035" t="s">
        <v>63</v>
      </c>
      <c r="E1035" t="s">
        <v>46</v>
      </c>
      <c r="F1035" t="s">
        <v>53</v>
      </c>
      <c r="G1035" t="s">
        <v>268</v>
      </c>
      <c r="H1035">
        <v>2</v>
      </c>
      <c r="I1035" s="21">
        <v>10038</v>
      </c>
      <c r="J1035">
        <v>25</v>
      </c>
      <c r="K1035" s="21">
        <v>5019</v>
      </c>
      <c r="L1035" s="21">
        <v>15057</v>
      </c>
      <c r="M1035" s="21">
        <v>8637.23</v>
      </c>
      <c r="N1035" s="21">
        <v>6419.77</v>
      </c>
      <c r="O1035" t="s">
        <v>39</v>
      </c>
      <c r="P1035" s="21">
        <v>1117.93</v>
      </c>
      <c r="Q1035" t="s">
        <v>68</v>
      </c>
      <c r="R1035" t="s">
        <v>31</v>
      </c>
      <c r="S1035">
        <v>5</v>
      </c>
      <c r="T1035">
        <v>6</v>
      </c>
      <c r="U1035" t="s">
        <v>56</v>
      </c>
      <c r="V1035" t="s">
        <v>33</v>
      </c>
      <c r="W1035">
        <v>5</v>
      </c>
    </row>
    <row r="1036" spans="1:23" x14ac:dyDescent="0.25">
      <c r="A1036" t="s">
        <v>1612</v>
      </c>
      <c r="B1036" s="1">
        <v>45775</v>
      </c>
      <c r="C1036" t="s">
        <v>1028</v>
      </c>
      <c r="D1036" t="s">
        <v>71</v>
      </c>
      <c r="E1036" t="s">
        <v>46</v>
      </c>
      <c r="F1036" t="s">
        <v>86</v>
      </c>
      <c r="G1036" t="s">
        <v>94</v>
      </c>
      <c r="H1036">
        <v>1</v>
      </c>
      <c r="I1036" s="21">
        <v>7775</v>
      </c>
      <c r="J1036">
        <v>0</v>
      </c>
      <c r="K1036" s="21">
        <v>0</v>
      </c>
      <c r="L1036" s="21">
        <v>7775</v>
      </c>
      <c r="M1036" s="21">
        <v>4779.22</v>
      </c>
      <c r="N1036" s="21">
        <v>2995.78</v>
      </c>
      <c r="O1036" t="s">
        <v>60</v>
      </c>
      <c r="P1036" s="21">
        <v>1085.05</v>
      </c>
      <c r="Q1036" t="s">
        <v>73</v>
      </c>
      <c r="R1036" t="s">
        <v>31</v>
      </c>
      <c r="S1036">
        <v>5</v>
      </c>
      <c r="T1036">
        <v>2</v>
      </c>
      <c r="U1036" t="s">
        <v>32</v>
      </c>
      <c r="V1036" t="s">
        <v>50</v>
      </c>
      <c r="W1036">
        <v>2</v>
      </c>
    </row>
    <row r="1037" spans="1:23" x14ac:dyDescent="0.25">
      <c r="A1037" t="s">
        <v>1613</v>
      </c>
      <c r="B1037" s="1">
        <v>46003</v>
      </c>
      <c r="C1037" t="s">
        <v>170</v>
      </c>
      <c r="D1037" t="s">
        <v>45</v>
      </c>
      <c r="E1037" t="s">
        <v>46</v>
      </c>
      <c r="F1037" t="s">
        <v>53</v>
      </c>
      <c r="G1037" t="s">
        <v>59</v>
      </c>
      <c r="H1037">
        <v>3</v>
      </c>
      <c r="I1037" s="21">
        <v>63454</v>
      </c>
      <c r="J1037">
        <v>10</v>
      </c>
      <c r="K1037" s="21">
        <v>19036.2</v>
      </c>
      <c r="L1037" s="21">
        <v>171325.8</v>
      </c>
      <c r="M1037" s="21">
        <v>104104.85</v>
      </c>
      <c r="N1037" s="21">
        <v>67220.95</v>
      </c>
      <c r="O1037" t="s">
        <v>91</v>
      </c>
      <c r="P1037" s="21">
        <v>1149.0899999999999</v>
      </c>
      <c r="Q1037" t="s">
        <v>30</v>
      </c>
      <c r="R1037" t="s">
        <v>41</v>
      </c>
      <c r="S1037">
        <v>2</v>
      </c>
      <c r="T1037">
        <v>5</v>
      </c>
      <c r="U1037" t="s">
        <v>56</v>
      </c>
      <c r="V1037" t="s">
        <v>33</v>
      </c>
      <c r="W1037">
        <v>5</v>
      </c>
    </row>
    <row r="1038" spans="1:23" x14ac:dyDescent="0.25">
      <c r="A1038" t="s">
        <v>1614</v>
      </c>
      <c r="B1038" s="1">
        <v>45952</v>
      </c>
      <c r="C1038" t="s">
        <v>1615</v>
      </c>
      <c r="D1038" t="s">
        <v>90</v>
      </c>
      <c r="E1038" t="s">
        <v>26</v>
      </c>
      <c r="F1038" t="s">
        <v>47</v>
      </c>
      <c r="G1038" t="s">
        <v>138</v>
      </c>
      <c r="H1038">
        <v>2</v>
      </c>
      <c r="I1038" s="21">
        <v>41788</v>
      </c>
      <c r="J1038">
        <v>0</v>
      </c>
      <c r="K1038" s="21">
        <v>0</v>
      </c>
      <c r="L1038" s="21">
        <v>83576</v>
      </c>
      <c r="M1038" s="21">
        <v>47758.52</v>
      </c>
      <c r="N1038" s="21">
        <v>35817.480000000003</v>
      </c>
      <c r="O1038" t="s">
        <v>29</v>
      </c>
      <c r="P1038" s="21">
        <v>845.96</v>
      </c>
      <c r="Q1038" t="s">
        <v>68</v>
      </c>
      <c r="R1038" t="s">
        <v>41</v>
      </c>
      <c r="S1038">
        <v>2</v>
      </c>
      <c r="T1038">
        <v>0</v>
      </c>
      <c r="U1038" t="s">
        <v>32</v>
      </c>
      <c r="V1038" t="s">
        <v>50</v>
      </c>
      <c r="W1038">
        <v>5</v>
      </c>
    </row>
    <row r="1039" spans="1:23" x14ac:dyDescent="0.25">
      <c r="A1039" t="s">
        <v>1616</v>
      </c>
      <c r="B1039" s="1">
        <v>45958</v>
      </c>
      <c r="C1039" t="s">
        <v>1567</v>
      </c>
      <c r="D1039" t="s">
        <v>154</v>
      </c>
      <c r="E1039" t="s">
        <v>36</v>
      </c>
      <c r="F1039" t="s">
        <v>47</v>
      </c>
      <c r="G1039" t="s">
        <v>48</v>
      </c>
      <c r="H1039">
        <v>1</v>
      </c>
      <c r="I1039" s="21">
        <v>24023</v>
      </c>
      <c r="J1039">
        <v>0</v>
      </c>
      <c r="K1039" s="21">
        <v>0</v>
      </c>
      <c r="L1039" s="21">
        <v>24023</v>
      </c>
      <c r="M1039" s="21">
        <v>13941.89</v>
      </c>
      <c r="N1039" s="21">
        <v>10081.11</v>
      </c>
      <c r="O1039" t="s">
        <v>60</v>
      </c>
      <c r="P1039" s="21">
        <v>1690.64</v>
      </c>
      <c r="Q1039" t="s">
        <v>83</v>
      </c>
      <c r="R1039" t="s">
        <v>31</v>
      </c>
      <c r="S1039">
        <v>5</v>
      </c>
      <c r="T1039">
        <v>2</v>
      </c>
      <c r="U1039" t="s">
        <v>32</v>
      </c>
      <c r="V1039" t="s">
        <v>33</v>
      </c>
      <c r="W1039">
        <v>5</v>
      </c>
    </row>
    <row r="1040" spans="1:23" x14ac:dyDescent="0.25">
      <c r="A1040" t="s">
        <v>1617</v>
      </c>
      <c r="B1040" s="1">
        <v>45668</v>
      </c>
      <c r="C1040" t="s">
        <v>1618</v>
      </c>
      <c r="D1040" t="s">
        <v>154</v>
      </c>
      <c r="E1040" t="s">
        <v>36</v>
      </c>
      <c r="F1040" t="s">
        <v>37</v>
      </c>
      <c r="G1040" t="s">
        <v>100</v>
      </c>
      <c r="H1040">
        <v>1</v>
      </c>
      <c r="I1040" s="21">
        <v>25228</v>
      </c>
      <c r="J1040">
        <v>15</v>
      </c>
      <c r="K1040" s="21">
        <v>3784.2</v>
      </c>
      <c r="L1040" s="21">
        <v>21443.8</v>
      </c>
      <c r="M1040" s="21">
        <v>12884.32</v>
      </c>
      <c r="N1040" s="21">
        <v>8559.48</v>
      </c>
      <c r="O1040" t="s">
        <v>91</v>
      </c>
      <c r="P1040" s="21">
        <v>840.91</v>
      </c>
      <c r="Q1040" t="s">
        <v>83</v>
      </c>
      <c r="R1040" t="s">
        <v>31</v>
      </c>
      <c r="S1040">
        <v>5</v>
      </c>
      <c r="T1040">
        <v>5</v>
      </c>
      <c r="U1040" t="s">
        <v>32</v>
      </c>
      <c r="V1040" t="s">
        <v>33</v>
      </c>
      <c r="W1040">
        <v>1</v>
      </c>
    </row>
    <row r="1041" spans="1:23" x14ac:dyDescent="0.25">
      <c r="A1041" t="s">
        <v>1619</v>
      </c>
      <c r="B1041" s="1">
        <v>46002</v>
      </c>
      <c r="C1041" t="s">
        <v>255</v>
      </c>
      <c r="D1041" t="s">
        <v>67</v>
      </c>
      <c r="E1041" t="s">
        <v>46</v>
      </c>
      <c r="F1041" t="s">
        <v>53</v>
      </c>
      <c r="G1041" t="s">
        <v>59</v>
      </c>
      <c r="H1041">
        <v>3</v>
      </c>
      <c r="I1041" s="21">
        <v>57167</v>
      </c>
      <c r="J1041">
        <v>0</v>
      </c>
      <c r="K1041" s="21">
        <v>0</v>
      </c>
      <c r="L1041" s="21">
        <v>171501</v>
      </c>
      <c r="M1041" s="21">
        <v>95497.87</v>
      </c>
      <c r="N1041" s="21">
        <v>76003.13</v>
      </c>
      <c r="O1041" t="s">
        <v>29</v>
      </c>
      <c r="P1041" s="21">
        <v>1769.56</v>
      </c>
      <c r="Q1041" t="s">
        <v>68</v>
      </c>
      <c r="R1041" t="s">
        <v>41</v>
      </c>
      <c r="S1041">
        <v>2</v>
      </c>
      <c r="T1041">
        <v>4</v>
      </c>
      <c r="U1041" t="s">
        <v>56</v>
      </c>
      <c r="V1041" t="s">
        <v>33</v>
      </c>
      <c r="W1041">
        <v>5</v>
      </c>
    </row>
    <row r="1042" spans="1:23" x14ac:dyDescent="0.25">
      <c r="A1042" t="s">
        <v>1620</v>
      </c>
      <c r="B1042" s="1">
        <v>45795</v>
      </c>
      <c r="C1042" t="s">
        <v>228</v>
      </c>
      <c r="D1042" t="s">
        <v>25</v>
      </c>
      <c r="E1042" t="s">
        <v>26</v>
      </c>
      <c r="F1042" t="s">
        <v>53</v>
      </c>
      <c r="G1042" t="s">
        <v>59</v>
      </c>
      <c r="H1042">
        <v>3</v>
      </c>
      <c r="I1042" s="21">
        <v>24717</v>
      </c>
      <c r="J1042">
        <v>5</v>
      </c>
      <c r="K1042" s="21">
        <v>3707.55</v>
      </c>
      <c r="L1042" s="21">
        <v>70443.45</v>
      </c>
      <c r="M1042" s="21">
        <v>57148.52</v>
      </c>
      <c r="N1042" s="21">
        <v>13294.93</v>
      </c>
      <c r="O1042" t="s">
        <v>60</v>
      </c>
      <c r="P1042" s="21">
        <v>1955.05</v>
      </c>
      <c r="Q1042" t="s">
        <v>40</v>
      </c>
      <c r="R1042" t="s">
        <v>31</v>
      </c>
      <c r="S1042">
        <v>5</v>
      </c>
      <c r="T1042">
        <v>6</v>
      </c>
      <c r="U1042" t="s">
        <v>32</v>
      </c>
      <c r="V1042" t="s">
        <v>50</v>
      </c>
      <c r="W1042">
        <v>2</v>
      </c>
    </row>
    <row r="1043" spans="1:23" x14ac:dyDescent="0.25">
      <c r="A1043" t="s">
        <v>1621</v>
      </c>
      <c r="B1043" s="1">
        <v>45953</v>
      </c>
      <c r="C1043" t="s">
        <v>274</v>
      </c>
      <c r="D1043" t="s">
        <v>90</v>
      </c>
      <c r="E1043" t="s">
        <v>46</v>
      </c>
      <c r="F1043" t="s">
        <v>53</v>
      </c>
      <c r="G1043" t="s">
        <v>54</v>
      </c>
      <c r="H1043">
        <v>1</v>
      </c>
      <c r="I1043" s="21">
        <v>54332</v>
      </c>
      <c r="J1043">
        <v>0</v>
      </c>
      <c r="K1043" s="21">
        <v>0</v>
      </c>
      <c r="L1043" s="21">
        <v>54332</v>
      </c>
      <c r="M1043" s="21">
        <v>43180.4</v>
      </c>
      <c r="N1043" s="21">
        <v>11151.6</v>
      </c>
      <c r="O1043" t="s">
        <v>91</v>
      </c>
      <c r="P1043" s="21">
        <v>1870.39</v>
      </c>
      <c r="Q1043" t="s">
        <v>30</v>
      </c>
      <c r="R1043" t="s">
        <v>31</v>
      </c>
      <c r="S1043">
        <v>5</v>
      </c>
      <c r="T1043">
        <v>4</v>
      </c>
      <c r="U1043" t="s">
        <v>32</v>
      </c>
      <c r="V1043" t="s">
        <v>33</v>
      </c>
      <c r="W1043">
        <v>5</v>
      </c>
    </row>
    <row r="1044" spans="1:23" x14ac:dyDescent="0.25">
      <c r="A1044" t="s">
        <v>1622</v>
      </c>
      <c r="B1044" s="1">
        <v>45678</v>
      </c>
      <c r="C1044" t="s">
        <v>1623</v>
      </c>
      <c r="D1044" t="s">
        <v>25</v>
      </c>
      <c r="E1044" t="s">
        <v>46</v>
      </c>
      <c r="F1044" t="s">
        <v>47</v>
      </c>
      <c r="G1044" t="s">
        <v>48</v>
      </c>
      <c r="H1044">
        <v>3</v>
      </c>
      <c r="I1044" s="21">
        <v>51753</v>
      </c>
      <c r="J1044">
        <v>0</v>
      </c>
      <c r="K1044" s="21">
        <v>0</v>
      </c>
      <c r="L1044" s="21">
        <v>155259</v>
      </c>
      <c r="M1044" s="21">
        <v>91712.98</v>
      </c>
      <c r="N1044" s="21">
        <v>63546.02</v>
      </c>
      <c r="O1044" t="s">
        <v>29</v>
      </c>
      <c r="P1044" s="21">
        <v>1616.68</v>
      </c>
      <c r="Q1044" t="s">
        <v>40</v>
      </c>
      <c r="R1044" t="s">
        <v>41</v>
      </c>
      <c r="S1044">
        <v>2</v>
      </c>
      <c r="T1044">
        <v>1</v>
      </c>
      <c r="U1044" t="s">
        <v>32</v>
      </c>
      <c r="V1044" t="s">
        <v>50</v>
      </c>
      <c r="W1044">
        <v>5</v>
      </c>
    </row>
    <row r="1045" spans="1:23" x14ac:dyDescent="0.25">
      <c r="A1045" t="s">
        <v>1624</v>
      </c>
      <c r="B1045" s="1">
        <v>45747</v>
      </c>
      <c r="C1045" t="s">
        <v>714</v>
      </c>
      <c r="D1045" t="s">
        <v>90</v>
      </c>
      <c r="E1045" t="s">
        <v>46</v>
      </c>
      <c r="F1045" t="s">
        <v>37</v>
      </c>
      <c r="G1045" t="s">
        <v>38</v>
      </c>
      <c r="H1045">
        <v>1</v>
      </c>
      <c r="I1045" s="21">
        <v>12467</v>
      </c>
      <c r="J1045">
        <v>5</v>
      </c>
      <c r="K1045" s="21">
        <v>623.35</v>
      </c>
      <c r="L1045" s="21">
        <v>11843.65</v>
      </c>
      <c r="M1045" s="21">
        <v>7867.4</v>
      </c>
      <c r="N1045" s="21">
        <v>3976.25</v>
      </c>
      <c r="O1045" t="s">
        <v>39</v>
      </c>
      <c r="P1045" s="21">
        <v>1279.95</v>
      </c>
      <c r="Q1045" t="s">
        <v>83</v>
      </c>
      <c r="R1045" t="s">
        <v>41</v>
      </c>
      <c r="S1045">
        <v>2</v>
      </c>
      <c r="T1045">
        <v>1</v>
      </c>
      <c r="U1045" t="s">
        <v>32</v>
      </c>
      <c r="V1045" t="s">
        <v>33</v>
      </c>
      <c r="W1045">
        <v>1</v>
      </c>
    </row>
    <row r="1046" spans="1:23" x14ac:dyDescent="0.25">
      <c r="A1046" t="s">
        <v>1625</v>
      </c>
      <c r="B1046" s="1">
        <v>45898</v>
      </c>
      <c r="C1046" t="s">
        <v>140</v>
      </c>
      <c r="D1046" t="s">
        <v>90</v>
      </c>
      <c r="E1046" t="s">
        <v>46</v>
      </c>
      <c r="F1046" t="s">
        <v>53</v>
      </c>
      <c r="G1046" t="s">
        <v>82</v>
      </c>
      <c r="H1046">
        <v>2</v>
      </c>
      <c r="I1046" s="21">
        <v>112273</v>
      </c>
      <c r="J1046">
        <v>5</v>
      </c>
      <c r="K1046" s="21">
        <v>11227.3</v>
      </c>
      <c r="L1046" s="21">
        <v>213318.7</v>
      </c>
      <c r="M1046" s="21">
        <v>139277.04</v>
      </c>
      <c r="N1046" s="21">
        <v>74041.66</v>
      </c>
      <c r="O1046" t="s">
        <v>29</v>
      </c>
      <c r="P1046" s="21">
        <v>486.77</v>
      </c>
      <c r="Q1046" t="s">
        <v>30</v>
      </c>
      <c r="R1046" t="s">
        <v>31</v>
      </c>
      <c r="S1046">
        <v>5</v>
      </c>
      <c r="T1046">
        <v>4</v>
      </c>
      <c r="U1046" t="s">
        <v>32</v>
      </c>
      <c r="V1046" t="s">
        <v>33</v>
      </c>
      <c r="W1046">
        <v>4</v>
      </c>
    </row>
    <row r="1047" spans="1:23" x14ac:dyDescent="0.25">
      <c r="A1047" t="s">
        <v>1626</v>
      </c>
      <c r="B1047" s="1">
        <v>45923</v>
      </c>
      <c r="C1047" t="s">
        <v>265</v>
      </c>
      <c r="D1047" t="s">
        <v>124</v>
      </c>
      <c r="E1047" t="s">
        <v>26</v>
      </c>
      <c r="F1047" t="s">
        <v>53</v>
      </c>
      <c r="G1047" t="s">
        <v>59</v>
      </c>
      <c r="H1047">
        <v>2</v>
      </c>
      <c r="I1047" s="21">
        <v>32971</v>
      </c>
      <c r="J1047">
        <v>10</v>
      </c>
      <c r="K1047" s="21">
        <v>6594.2</v>
      </c>
      <c r="L1047" s="21">
        <v>59347.8</v>
      </c>
      <c r="M1047" s="21">
        <v>41200.18</v>
      </c>
      <c r="N1047" s="21">
        <v>18147.62</v>
      </c>
      <c r="O1047" t="s">
        <v>29</v>
      </c>
      <c r="P1047" s="21">
        <v>660.7</v>
      </c>
      <c r="Q1047" t="s">
        <v>30</v>
      </c>
      <c r="R1047" t="s">
        <v>41</v>
      </c>
      <c r="S1047">
        <v>2</v>
      </c>
      <c r="T1047">
        <v>3</v>
      </c>
      <c r="U1047" t="s">
        <v>56</v>
      </c>
      <c r="V1047" t="s">
        <v>33</v>
      </c>
      <c r="W1047">
        <v>4</v>
      </c>
    </row>
    <row r="1048" spans="1:23" x14ac:dyDescent="0.25">
      <c r="A1048" t="s">
        <v>1627</v>
      </c>
      <c r="B1048" s="1">
        <v>45991</v>
      </c>
      <c r="C1048" t="s">
        <v>500</v>
      </c>
      <c r="D1048" t="s">
        <v>124</v>
      </c>
      <c r="E1048" t="s">
        <v>36</v>
      </c>
      <c r="F1048" t="s">
        <v>86</v>
      </c>
      <c r="G1048" t="s">
        <v>87</v>
      </c>
      <c r="H1048">
        <v>4</v>
      </c>
      <c r="I1048" s="21">
        <v>72631</v>
      </c>
      <c r="J1048">
        <v>10</v>
      </c>
      <c r="K1048" s="21">
        <v>29052.400000000001</v>
      </c>
      <c r="L1048" s="21">
        <v>261471.6</v>
      </c>
      <c r="M1048" s="21">
        <v>161723.9</v>
      </c>
      <c r="N1048" s="21">
        <v>99747.7</v>
      </c>
      <c r="O1048" t="s">
        <v>91</v>
      </c>
      <c r="P1048" s="21">
        <v>2477.9</v>
      </c>
      <c r="Q1048" t="s">
        <v>40</v>
      </c>
      <c r="R1048" t="s">
        <v>41</v>
      </c>
      <c r="S1048">
        <v>2</v>
      </c>
      <c r="T1048">
        <v>3</v>
      </c>
      <c r="U1048" t="s">
        <v>56</v>
      </c>
      <c r="V1048" t="s">
        <v>33</v>
      </c>
      <c r="W1048">
        <v>5</v>
      </c>
    </row>
    <row r="1049" spans="1:23" x14ac:dyDescent="0.25">
      <c r="A1049" t="s">
        <v>1628</v>
      </c>
      <c r="B1049" s="1">
        <v>45884</v>
      </c>
      <c r="C1049" t="s">
        <v>1097</v>
      </c>
      <c r="D1049" t="s">
        <v>25</v>
      </c>
      <c r="E1049" t="s">
        <v>46</v>
      </c>
      <c r="F1049" t="s">
        <v>47</v>
      </c>
      <c r="G1049" t="s">
        <v>146</v>
      </c>
      <c r="H1049">
        <v>1</v>
      </c>
      <c r="I1049" s="21">
        <v>29120</v>
      </c>
      <c r="J1049">
        <v>15</v>
      </c>
      <c r="K1049" s="21">
        <v>4368</v>
      </c>
      <c r="L1049" s="21">
        <v>24752</v>
      </c>
      <c r="M1049" s="21">
        <v>15232.52</v>
      </c>
      <c r="N1049" s="21">
        <v>9519.48</v>
      </c>
      <c r="O1049" t="s">
        <v>60</v>
      </c>
      <c r="P1049" s="21">
        <v>762.68</v>
      </c>
      <c r="Q1049" t="s">
        <v>83</v>
      </c>
      <c r="R1049" t="s">
        <v>41</v>
      </c>
      <c r="S1049">
        <v>2</v>
      </c>
      <c r="T1049">
        <v>6</v>
      </c>
      <c r="U1049" t="s">
        <v>32</v>
      </c>
      <c r="V1049" t="s">
        <v>50</v>
      </c>
      <c r="W1049">
        <v>5</v>
      </c>
    </row>
    <row r="1050" spans="1:23" x14ac:dyDescent="0.25">
      <c r="A1050" t="s">
        <v>1629</v>
      </c>
      <c r="B1050" s="1">
        <v>45800</v>
      </c>
      <c r="C1050" t="s">
        <v>451</v>
      </c>
      <c r="D1050" t="s">
        <v>71</v>
      </c>
      <c r="E1050" t="s">
        <v>26</v>
      </c>
      <c r="F1050" t="s">
        <v>37</v>
      </c>
      <c r="G1050" t="s">
        <v>224</v>
      </c>
      <c r="H1050">
        <v>1</v>
      </c>
      <c r="I1050" s="21">
        <v>24660</v>
      </c>
      <c r="J1050">
        <v>5</v>
      </c>
      <c r="K1050" s="21">
        <v>1233</v>
      </c>
      <c r="L1050" s="21">
        <v>23427</v>
      </c>
      <c r="M1050" s="21">
        <v>18304.18</v>
      </c>
      <c r="N1050" s="21">
        <v>5122.82</v>
      </c>
      <c r="O1050" t="s">
        <v>49</v>
      </c>
      <c r="P1050" s="21">
        <v>302.76</v>
      </c>
      <c r="Q1050" t="s">
        <v>68</v>
      </c>
      <c r="R1050" t="s">
        <v>31</v>
      </c>
      <c r="S1050">
        <v>5</v>
      </c>
      <c r="T1050">
        <v>7</v>
      </c>
      <c r="U1050" t="s">
        <v>56</v>
      </c>
      <c r="V1050" t="s">
        <v>33</v>
      </c>
      <c r="W1050">
        <v>5</v>
      </c>
    </row>
    <row r="1051" spans="1:23" x14ac:dyDescent="0.25">
      <c r="A1051" t="s">
        <v>1630</v>
      </c>
      <c r="B1051" s="1">
        <v>45750</v>
      </c>
      <c r="C1051" t="s">
        <v>584</v>
      </c>
      <c r="D1051" t="s">
        <v>71</v>
      </c>
      <c r="E1051" t="s">
        <v>46</v>
      </c>
      <c r="F1051" t="s">
        <v>53</v>
      </c>
      <c r="G1051" t="s">
        <v>151</v>
      </c>
      <c r="H1051">
        <v>1</v>
      </c>
      <c r="I1051" s="21">
        <v>111831</v>
      </c>
      <c r="J1051">
        <v>10</v>
      </c>
      <c r="K1051" s="21">
        <v>11183.1</v>
      </c>
      <c r="L1051" s="21">
        <v>100647.9</v>
      </c>
      <c r="M1051" s="21">
        <v>65849.03</v>
      </c>
      <c r="N1051" s="21">
        <v>34798.870000000003</v>
      </c>
      <c r="O1051" t="s">
        <v>91</v>
      </c>
      <c r="P1051" s="21">
        <v>1295.1300000000001</v>
      </c>
      <c r="Q1051" t="s">
        <v>73</v>
      </c>
      <c r="R1051" t="s">
        <v>41</v>
      </c>
      <c r="S1051">
        <v>2</v>
      </c>
      <c r="T1051">
        <v>4</v>
      </c>
      <c r="U1051" t="s">
        <v>56</v>
      </c>
      <c r="V1051" t="s">
        <v>33</v>
      </c>
      <c r="W1051">
        <v>5</v>
      </c>
    </row>
    <row r="1052" spans="1:23" x14ac:dyDescent="0.25">
      <c r="A1052" t="s">
        <v>1631</v>
      </c>
      <c r="B1052" s="1">
        <v>45957</v>
      </c>
      <c r="C1052" t="s">
        <v>804</v>
      </c>
      <c r="D1052" t="s">
        <v>79</v>
      </c>
      <c r="E1052" t="s">
        <v>36</v>
      </c>
      <c r="F1052" t="s">
        <v>86</v>
      </c>
      <c r="G1052" t="s">
        <v>94</v>
      </c>
      <c r="H1052">
        <v>2</v>
      </c>
      <c r="I1052" s="21">
        <v>62114</v>
      </c>
      <c r="J1052">
        <v>0</v>
      </c>
      <c r="K1052" s="21">
        <v>0</v>
      </c>
      <c r="L1052" s="21">
        <v>124228</v>
      </c>
      <c r="M1052" s="21">
        <v>70924.639999999999</v>
      </c>
      <c r="N1052" s="21">
        <v>53303.360000000001</v>
      </c>
      <c r="O1052" t="s">
        <v>91</v>
      </c>
      <c r="P1052" s="21">
        <v>824.72</v>
      </c>
      <c r="Q1052" t="s">
        <v>40</v>
      </c>
      <c r="R1052" t="s">
        <v>41</v>
      </c>
      <c r="S1052">
        <v>2</v>
      </c>
      <c r="T1052">
        <v>2</v>
      </c>
      <c r="U1052" t="s">
        <v>32</v>
      </c>
      <c r="V1052" t="s">
        <v>50</v>
      </c>
      <c r="W1052">
        <v>4</v>
      </c>
    </row>
    <row r="1053" spans="1:23" x14ac:dyDescent="0.25">
      <c r="A1053" t="s">
        <v>1632</v>
      </c>
      <c r="B1053" s="1">
        <v>45881</v>
      </c>
      <c r="C1053" t="s">
        <v>299</v>
      </c>
      <c r="D1053" t="s">
        <v>45</v>
      </c>
      <c r="E1053" t="s">
        <v>26</v>
      </c>
      <c r="F1053" t="s">
        <v>53</v>
      </c>
      <c r="G1053" t="s">
        <v>82</v>
      </c>
      <c r="H1053">
        <v>1</v>
      </c>
      <c r="I1053" s="21">
        <v>74097</v>
      </c>
      <c r="J1053">
        <v>0</v>
      </c>
      <c r="K1053" s="21">
        <v>0</v>
      </c>
      <c r="L1053" s="21">
        <v>74097</v>
      </c>
      <c r="M1053" s="21">
        <v>56982.44</v>
      </c>
      <c r="N1053" s="21">
        <v>17114.560000000001</v>
      </c>
      <c r="O1053" t="s">
        <v>91</v>
      </c>
      <c r="P1053" s="21">
        <v>1199.57</v>
      </c>
      <c r="Q1053" t="s">
        <v>68</v>
      </c>
      <c r="R1053" t="s">
        <v>41</v>
      </c>
      <c r="S1053">
        <v>2</v>
      </c>
      <c r="T1053">
        <v>2</v>
      </c>
      <c r="U1053" t="s">
        <v>32</v>
      </c>
      <c r="V1053" t="s">
        <v>33</v>
      </c>
      <c r="W1053">
        <v>2</v>
      </c>
    </row>
    <row r="1054" spans="1:23" x14ac:dyDescent="0.25">
      <c r="A1054" t="s">
        <v>1633</v>
      </c>
      <c r="B1054" s="1">
        <v>45983</v>
      </c>
      <c r="C1054" t="s">
        <v>1634</v>
      </c>
      <c r="D1054" t="s">
        <v>79</v>
      </c>
      <c r="E1054" t="s">
        <v>26</v>
      </c>
      <c r="F1054" t="s">
        <v>53</v>
      </c>
      <c r="G1054" t="s">
        <v>151</v>
      </c>
      <c r="H1054">
        <v>1</v>
      </c>
      <c r="I1054" s="21">
        <v>49302</v>
      </c>
      <c r="J1054">
        <v>15</v>
      </c>
      <c r="K1054" s="21">
        <v>7395.3</v>
      </c>
      <c r="L1054" s="21">
        <v>41906.699999999997</v>
      </c>
      <c r="M1054" s="21">
        <v>33299.19</v>
      </c>
      <c r="N1054" s="21">
        <v>8607.51</v>
      </c>
      <c r="O1054" t="s">
        <v>91</v>
      </c>
      <c r="P1054" s="21">
        <v>1423.55</v>
      </c>
      <c r="Q1054" t="s">
        <v>30</v>
      </c>
      <c r="R1054" t="s">
        <v>41</v>
      </c>
      <c r="S1054">
        <v>2</v>
      </c>
      <c r="T1054">
        <v>3</v>
      </c>
      <c r="U1054" t="s">
        <v>32</v>
      </c>
      <c r="V1054" t="s">
        <v>42</v>
      </c>
    </row>
    <row r="1055" spans="1:23" x14ac:dyDescent="0.25">
      <c r="A1055" t="s">
        <v>1635</v>
      </c>
      <c r="B1055" s="1">
        <v>45909</v>
      </c>
      <c r="C1055" t="s">
        <v>1177</v>
      </c>
      <c r="D1055" t="s">
        <v>97</v>
      </c>
      <c r="E1055" t="s">
        <v>46</v>
      </c>
      <c r="F1055" t="s">
        <v>27</v>
      </c>
      <c r="G1055" t="s">
        <v>164</v>
      </c>
      <c r="H1055">
        <v>1</v>
      </c>
      <c r="I1055" s="21">
        <v>6118</v>
      </c>
      <c r="J1055">
        <v>0</v>
      </c>
      <c r="K1055" s="21">
        <v>0</v>
      </c>
      <c r="L1055" s="21">
        <v>6118</v>
      </c>
      <c r="M1055" s="21">
        <v>4088.17</v>
      </c>
      <c r="N1055" s="21">
        <v>2029.83</v>
      </c>
      <c r="O1055" t="s">
        <v>60</v>
      </c>
      <c r="P1055" s="21">
        <v>2406.0300000000002</v>
      </c>
      <c r="Q1055" t="s">
        <v>40</v>
      </c>
      <c r="R1055" t="s">
        <v>31</v>
      </c>
      <c r="S1055">
        <v>5</v>
      </c>
      <c r="T1055">
        <v>5</v>
      </c>
      <c r="U1055" t="s">
        <v>32</v>
      </c>
      <c r="V1055" t="s">
        <v>33</v>
      </c>
      <c r="W1055">
        <v>4</v>
      </c>
    </row>
    <row r="1056" spans="1:23" x14ac:dyDescent="0.25">
      <c r="A1056" t="s">
        <v>1636</v>
      </c>
      <c r="B1056" s="1">
        <v>45704</v>
      </c>
      <c r="C1056" t="s">
        <v>1637</v>
      </c>
      <c r="D1056" t="s">
        <v>97</v>
      </c>
      <c r="E1056" t="s">
        <v>46</v>
      </c>
      <c r="F1056" t="s">
        <v>37</v>
      </c>
      <c r="G1056" t="s">
        <v>38</v>
      </c>
      <c r="H1056">
        <v>2</v>
      </c>
      <c r="I1056" s="21">
        <v>24235</v>
      </c>
      <c r="J1056">
        <v>5</v>
      </c>
      <c r="K1056" s="21">
        <v>2423.5</v>
      </c>
      <c r="L1056" s="21">
        <v>46046.5</v>
      </c>
      <c r="M1056" s="21">
        <v>26758.9</v>
      </c>
      <c r="N1056" s="21">
        <v>19287.599999999999</v>
      </c>
      <c r="O1056" t="s">
        <v>60</v>
      </c>
      <c r="P1056" s="21">
        <v>910.16</v>
      </c>
      <c r="Q1056" t="s">
        <v>83</v>
      </c>
      <c r="R1056" t="s">
        <v>41</v>
      </c>
      <c r="S1056">
        <v>2</v>
      </c>
      <c r="T1056">
        <v>1</v>
      </c>
      <c r="U1056" t="s">
        <v>32</v>
      </c>
      <c r="V1056" t="s">
        <v>33</v>
      </c>
      <c r="W1056">
        <v>3</v>
      </c>
    </row>
    <row r="1057" spans="1:23" x14ac:dyDescent="0.25">
      <c r="A1057" t="s">
        <v>1638</v>
      </c>
      <c r="B1057" s="1">
        <v>45898</v>
      </c>
      <c r="C1057" t="s">
        <v>591</v>
      </c>
      <c r="D1057" t="s">
        <v>154</v>
      </c>
      <c r="E1057" t="s">
        <v>46</v>
      </c>
      <c r="F1057" t="s">
        <v>37</v>
      </c>
      <c r="G1057" t="s">
        <v>38</v>
      </c>
      <c r="H1057">
        <v>1</v>
      </c>
      <c r="I1057" s="21">
        <v>5541</v>
      </c>
      <c r="J1057">
        <v>10</v>
      </c>
      <c r="K1057" s="21">
        <v>554.1</v>
      </c>
      <c r="L1057" s="21">
        <v>4986.8999999999996</v>
      </c>
      <c r="M1057" s="21">
        <v>3397.57</v>
      </c>
      <c r="N1057" s="21">
        <v>1589.33</v>
      </c>
      <c r="O1057" t="s">
        <v>91</v>
      </c>
      <c r="P1057" s="21">
        <v>1494.99</v>
      </c>
      <c r="Q1057" t="s">
        <v>30</v>
      </c>
      <c r="R1057" t="s">
        <v>41</v>
      </c>
      <c r="S1057">
        <v>2</v>
      </c>
      <c r="T1057">
        <v>1</v>
      </c>
      <c r="U1057" t="s">
        <v>32</v>
      </c>
      <c r="V1057" t="s">
        <v>33</v>
      </c>
      <c r="W1057">
        <v>3</v>
      </c>
    </row>
    <row r="1058" spans="1:23" x14ac:dyDescent="0.25">
      <c r="A1058" t="s">
        <v>1639</v>
      </c>
      <c r="B1058" s="1">
        <v>45836</v>
      </c>
      <c r="C1058" t="s">
        <v>587</v>
      </c>
      <c r="D1058" t="s">
        <v>90</v>
      </c>
      <c r="E1058" t="s">
        <v>46</v>
      </c>
      <c r="F1058" t="s">
        <v>86</v>
      </c>
      <c r="G1058" t="s">
        <v>127</v>
      </c>
      <c r="H1058">
        <v>3</v>
      </c>
      <c r="I1058" s="21">
        <v>46130</v>
      </c>
      <c r="J1058">
        <v>15</v>
      </c>
      <c r="K1058" s="21">
        <v>20758.5</v>
      </c>
      <c r="L1058" s="21">
        <v>117631.5</v>
      </c>
      <c r="M1058" s="21">
        <v>80463.61</v>
      </c>
      <c r="N1058" s="21">
        <v>37167.89</v>
      </c>
      <c r="O1058" t="s">
        <v>55</v>
      </c>
      <c r="P1058" s="21">
        <v>1235.32</v>
      </c>
      <c r="Q1058" t="s">
        <v>73</v>
      </c>
      <c r="R1058" t="s">
        <v>41</v>
      </c>
      <c r="S1058">
        <v>2</v>
      </c>
      <c r="T1058">
        <v>1</v>
      </c>
      <c r="U1058" t="s">
        <v>32</v>
      </c>
      <c r="V1058" t="s">
        <v>33</v>
      </c>
      <c r="W1058">
        <v>5</v>
      </c>
    </row>
    <row r="1059" spans="1:23" x14ac:dyDescent="0.25">
      <c r="A1059" t="s">
        <v>1640</v>
      </c>
      <c r="B1059" s="1">
        <v>45867</v>
      </c>
      <c r="C1059" t="s">
        <v>89</v>
      </c>
      <c r="D1059" t="s">
        <v>71</v>
      </c>
      <c r="E1059" t="s">
        <v>46</v>
      </c>
      <c r="F1059" t="s">
        <v>53</v>
      </c>
      <c r="G1059" t="s">
        <v>54</v>
      </c>
      <c r="H1059">
        <v>4</v>
      </c>
      <c r="I1059" s="21">
        <v>42676</v>
      </c>
      <c r="J1059">
        <v>5</v>
      </c>
      <c r="K1059" s="21">
        <v>8535.2000000000007</v>
      </c>
      <c r="L1059" s="21">
        <v>162168.79999999999</v>
      </c>
      <c r="M1059" s="21">
        <v>104649.29</v>
      </c>
      <c r="N1059" s="21">
        <v>57519.51</v>
      </c>
      <c r="O1059" t="s">
        <v>39</v>
      </c>
      <c r="P1059" s="21">
        <v>286.56</v>
      </c>
      <c r="Q1059" t="s">
        <v>30</v>
      </c>
      <c r="R1059" t="s">
        <v>31</v>
      </c>
      <c r="S1059">
        <v>5</v>
      </c>
      <c r="T1059">
        <v>3</v>
      </c>
      <c r="U1059" t="s">
        <v>32</v>
      </c>
      <c r="V1059" t="s">
        <v>50</v>
      </c>
      <c r="W1059">
        <v>2</v>
      </c>
    </row>
    <row r="1060" spans="1:23" x14ac:dyDescent="0.25">
      <c r="A1060" t="s">
        <v>1641</v>
      </c>
      <c r="B1060" s="1">
        <v>45828</v>
      </c>
      <c r="C1060" t="s">
        <v>282</v>
      </c>
      <c r="D1060" t="s">
        <v>45</v>
      </c>
      <c r="E1060" t="s">
        <v>36</v>
      </c>
      <c r="F1060" t="s">
        <v>86</v>
      </c>
      <c r="G1060" t="s">
        <v>110</v>
      </c>
      <c r="H1060">
        <v>1</v>
      </c>
      <c r="I1060" s="21">
        <v>80112</v>
      </c>
      <c r="J1060">
        <v>0</v>
      </c>
      <c r="K1060" s="21">
        <v>0</v>
      </c>
      <c r="L1060" s="21">
        <v>80112</v>
      </c>
      <c r="M1060" s="21">
        <v>56375.91</v>
      </c>
      <c r="N1060" s="21">
        <v>23736.09</v>
      </c>
      <c r="O1060" t="s">
        <v>91</v>
      </c>
      <c r="P1060" s="21">
        <v>673.54</v>
      </c>
      <c r="Q1060" t="s">
        <v>73</v>
      </c>
      <c r="R1060" t="s">
        <v>31</v>
      </c>
      <c r="S1060">
        <v>5</v>
      </c>
      <c r="T1060">
        <v>6</v>
      </c>
      <c r="U1060" t="s">
        <v>56</v>
      </c>
      <c r="V1060" t="s">
        <v>33</v>
      </c>
      <c r="W1060">
        <v>3</v>
      </c>
    </row>
    <row r="1061" spans="1:23" x14ac:dyDescent="0.25">
      <c r="A1061" t="s">
        <v>1642</v>
      </c>
      <c r="B1061" s="1">
        <v>45822</v>
      </c>
      <c r="C1061" t="s">
        <v>546</v>
      </c>
      <c r="D1061" t="s">
        <v>154</v>
      </c>
      <c r="E1061" t="s">
        <v>46</v>
      </c>
      <c r="F1061" t="s">
        <v>37</v>
      </c>
      <c r="G1061" t="s">
        <v>100</v>
      </c>
      <c r="H1061">
        <v>1</v>
      </c>
      <c r="I1061" s="21">
        <v>17524</v>
      </c>
      <c r="J1061">
        <v>15</v>
      </c>
      <c r="K1061" s="21">
        <v>2628.6</v>
      </c>
      <c r="L1061" s="21">
        <v>14895.4</v>
      </c>
      <c r="M1061" s="21">
        <v>9397.83</v>
      </c>
      <c r="N1061" s="21">
        <v>5497.57</v>
      </c>
      <c r="O1061" t="s">
        <v>39</v>
      </c>
      <c r="P1061" s="21">
        <v>866.96</v>
      </c>
      <c r="Q1061" t="s">
        <v>40</v>
      </c>
      <c r="R1061" t="s">
        <v>41</v>
      </c>
      <c r="S1061">
        <v>2</v>
      </c>
      <c r="T1061">
        <v>1</v>
      </c>
      <c r="U1061" t="s">
        <v>32</v>
      </c>
      <c r="V1061" t="s">
        <v>33</v>
      </c>
      <c r="W1061">
        <v>5</v>
      </c>
    </row>
    <row r="1062" spans="1:23" x14ac:dyDescent="0.25">
      <c r="A1062" t="s">
        <v>1643</v>
      </c>
      <c r="B1062" s="1">
        <v>46001</v>
      </c>
      <c r="C1062" t="s">
        <v>185</v>
      </c>
      <c r="D1062" t="s">
        <v>25</v>
      </c>
      <c r="E1062" t="s">
        <v>46</v>
      </c>
      <c r="F1062" t="s">
        <v>37</v>
      </c>
      <c r="G1062" t="s">
        <v>38</v>
      </c>
      <c r="H1062">
        <v>3</v>
      </c>
      <c r="I1062" s="21">
        <v>23564</v>
      </c>
      <c r="J1062">
        <v>10</v>
      </c>
      <c r="K1062" s="21">
        <v>7069.2</v>
      </c>
      <c r="L1062" s="21">
        <v>63622.8</v>
      </c>
      <c r="M1062" s="21">
        <v>47940.05</v>
      </c>
      <c r="N1062" s="21">
        <v>15682.75</v>
      </c>
      <c r="O1062" t="s">
        <v>29</v>
      </c>
      <c r="P1062" s="21">
        <v>1830.78</v>
      </c>
      <c r="Q1062" t="s">
        <v>83</v>
      </c>
      <c r="R1062" t="s">
        <v>31</v>
      </c>
      <c r="S1062">
        <v>5</v>
      </c>
      <c r="T1062">
        <v>6</v>
      </c>
      <c r="U1062" t="s">
        <v>56</v>
      </c>
      <c r="V1062" t="s">
        <v>33</v>
      </c>
      <c r="W1062">
        <v>3</v>
      </c>
    </row>
    <row r="1063" spans="1:23" x14ac:dyDescent="0.25">
      <c r="A1063" t="s">
        <v>1644</v>
      </c>
      <c r="B1063" s="1">
        <v>45711</v>
      </c>
      <c r="C1063" t="s">
        <v>1358</v>
      </c>
      <c r="D1063" t="s">
        <v>71</v>
      </c>
      <c r="E1063" t="s">
        <v>36</v>
      </c>
      <c r="F1063" t="s">
        <v>86</v>
      </c>
      <c r="G1063" t="s">
        <v>110</v>
      </c>
      <c r="H1063">
        <v>2</v>
      </c>
      <c r="I1063" s="21">
        <v>37779</v>
      </c>
      <c r="J1063">
        <v>10</v>
      </c>
      <c r="K1063" s="21">
        <v>7555.8</v>
      </c>
      <c r="L1063" s="21">
        <v>68002.2</v>
      </c>
      <c r="M1063" s="21">
        <v>48019.5</v>
      </c>
      <c r="N1063" s="21">
        <v>19982.7</v>
      </c>
      <c r="O1063" t="s">
        <v>29</v>
      </c>
      <c r="P1063" s="21">
        <v>2226.11</v>
      </c>
      <c r="Q1063" t="s">
        <v>30</v>
      </c>
      <c r="R1063" t="s">
        <v>31</v>
      </c>
      <c r="S1063">
        <v>5</v>
      </c>
      <c r="T1063">
        <v>1</v>
      </c>
      <c r="U1063" t="s">
        <v>32</v>
      </c>
      <c r="V1063" t="s">
        <v>33</v>
      </c>
      <c r="W1063">
        <v>5</v>
      </c>
    </row>
    <row r="1064" spans="1:23" x14ac:dyDescent="0.25">
      <c r="A1064" t="s">
        <v>1645</v>
      </c>
      <c r="B1064" s="1">
        <v>45740</v>
      </c>
      <c r="C1064" t="s">
        <v>1411</v>
      </c>
      <c r="D1064" t="s">
        <v>97</v>
      </c>
      <c r="E1064" t="s">
        <v>46</v>
      </c>
      <c r="F1064" t="s">
        <v>86</v>
      </c>
      <c r="G1064" t="s">
        <v>180</v>
      </c>
      <c r="H1064">
        <v>1</v>
      </c>
      <c r="I1064" s="21">
        <v>61067</v>
      </c>
      <c r="J1064">
        <v>5</v>
      </c>
      <c r="K1064" s="21">
        <v>3053.35</v>
      </c>
      <c r="L1064" s="21">
        <v>58013.65</v>
      </c>
      <c r="M1064" s="21">
        <v>47388.35</v>
      </c>
      <c r="N1064" s="21">
        <v>10625.3</v>
      </c>
      <c r="O1064" t="s">
        <v>91</v>
      </c>
      <c r="P1064" s="21">
        <v>562.69000000000005</v>
      </c>
      <c r="Q1064" t="s">
        <v>83</v>
      </c>
      <c r="R1064" t="s">
        <v>41</v>
      </c>
      <c r="S1064">
        <v>2</v>
      </c>
      <c r="T1064">
        <v>0</v>
      </c>
      <c r="U1064" t="s">
        <v>32</v>
      </c>
      <c r="V1064" t="s">
        <v>50</v>
      </c>
      <c r="W1064">
        <v>2</v>
      </c>
    </row>
    <row r="1065" spans="1:23" x14ac:dyDescent="0.25">
      <c r="A1065" t="s">
        <v>1646</v>
      </c>
      <c r="B1065" s="1">
        <v>45826</v>
      </c>
      <c r="C1065" t="s">
        <v>990</v>
      </c>
      <c r="D1065" t="s">
        <v>90</v>
      </c>
      <c r="E1065" t="s">
        <v>46</v>
      </c>
      <c r="F1065" t="s">
        <v>37</v>
      </c>
      <c r="G1065" t="s">
        <v>100</v>
      </c>
      <c r="H1065">
        <v>3</v>
      </c>
      <c r="I1065" s="21">
        <v>23749</v>
      </c>
      <c r="J1065">
        <v>25</v>
      </c>
      <c r="K1065" s="21">
        <v>17811.75</v>
      </c>
      <c r="L1065" s="21">
        <v>53435.25</v>
      </c>
      <c r="M1065" s="21">
        <v>34406.519999999997</v>
      </c>
      <c r="N1065" s="21">
        <v>19028.73</v>
      </c>
      <c r="O1065" t="s">
        <v>49</v>
      </c>
      <c r="P1065" s="21">
        <v>201.51</v>
      </c>
      <c r="Q1065" t="s">
        <v>40</v>
      </c>
      <c r="R1065" t="s">
        <v>41</v>
      </c>
      <c r="S1065">
        <v>2</v>
      </c>
      <c r="T1065">
        <v>1</v>
      </c>
      <c r="U1065" t="s">
        <v>32</v>
      </c>
      <c r="V1065" t="s">
        <v>33</v>
      </c>
      <c r="W1065">
        <v>3</v>
      </c>
    </row>
    <row r="1066" spans="1:23" x14ac:dyDescent="0.25">
      <c r="A1066" t="s">
        <v>1647</v>
      </c>
      <c r="B1066" s="1">
        <v>45868</v>
      </c>
      <c r="C1066" t="s">
        <v>1648</v>
      </c>
      <c r="D1066" t="s">
        <v>124</v>
      </c>
      <c r="E1066" t="s">
        <v>46</v>
      </c>
      <c r="F1066" t="s">
        <v>47</v>
      </c>
      <c r="G1066" t="s">
        <v>146</v>
      </c>
      <c r="H1066">
        <v>1</v>
      </c>
      <c r="I1066" s="21">
        <v>26948</v>
      </c>
      <c r="J1066">
        <v>5</v>
      </c>
      <c r="K1066" s="21">
        <v>1347.4</v>
      </c>
      <c r="L1066" s="21">
        <v>25600.6</v>
      </c>
      <c r="M1066" s="21">
        <v>17996.580000000002</v>
      </c>
      <c r="N1066" s="21">
        <v>7604.02</v>
      </c>
      <c r="O1066" t="s">
        <v>55</v>
      </c>
      <c r="P1066" s="21">
        <v>2211.6799999999998</v>
      </c>
      <c r="Q1066" t="s">
        <v>83</v>
      </c>
      <c r="R1066" t="s">
        <v>31</v>
      </c>
      <c r="S1066">
        <v>5</v>
      </c>
      <c r="T1066">
        <v>4</v>
      </c>
      <c r="U1066" t="s">
        <v>32</v>
      </c>
      <c r="V1066" t="s">
        <v>33</v>
      </c>
      <c r="W1066">
        <v>5</v>
      </c>
    </row>
    <row r="1067" spans="1:23" x14ac:dyDescent="0.25">
      <c r="A1067" t="s">
        <v>1649</v>
      </c>
      <c r="B1067" s="1">
        <v>46013</v>
      </c>
      <c r="C1067" t="s">
        <v>1538</v>
      </c>
      <c r="D1067" t="s">
        <v>67</v>
      </c>
      <c r="E1067" t="s">
        <v>36</v>
      </c>
      <c r="F1067" t="s">
        <v>47</v>
      </c>
      <c r="G1067" t="s">
        <v>138</v>
      </c>
      <c r="H1067">
        <v>3</v>
      </c>
      <c r="I1067" s="21">
        <v>53332</v>
      </c>
      <c r="J1067">
        <v>10</v>
      </c>
      <c r="K1067" s="21">
        <v>15999.6</v>
      </c>
      <c r="L1067" s="21">
        <v>143996.4</v>
      </c>
      <c r="M1067" s="21">
        <v>101839.23</v>
      </c>
      <c r="N1067" s="21">
        <v>42157.17</v>
      </c>
      <c r="O1067" t="s">
        <v>39</v>
      </c>
      <c r="P1067" s="21">
        <v>2361.8200000000002</v>
      </c>
      <c r="Q1067" t="s">
        <v>83</v>
      </c>
      <c r="R1067" t="s">
        <v>41</v>
      </c>
      <c r="S1067">
        <v>2</v>
      </c>
      <c r="T1067">
        <v>0</v>
      </c>
      <c r="U1067" t="s">
        <v>32</v>
      </c>
      <c r="V1067" t="s">
        <v>50</v>
      </c>
      <c r="W1067">
        <v>5</v>
      </c>
    </row>
    <row r="1068" spans="1:23" x14ac:dyDescent="0.25">
      <c r="A1068" t="s">
        <v>1650</v>
      </c>
      <c r="B1068" s="1">
        <v>45911</v>
      </c>
      <c r="C1068" t="s">
        <v>233</v>
      </c>
      <c r="D1068" t="s">
        <v>79</v>
      </c>
      <c r="E1068" t="s">
        <v>26</v>
      </c>
      <c r="F1068" t="s">
        <v>37</v>
      </c>
      <c r="G1068" t="s">
        <v>38</v>
      </c>
      <c r="H1068">
        <v>2</v>
      </c>
      <c r="I1068" s="21">
        <v>29420</v>
      </c>
      <c r="J1068">
        <v>5</v>
      </c>
      <c r="K1068" s="21">
        <v>2942</v>
      </c>
      <c r="L1068" s="21">
        <v>55898</v>
      </c>
      <c r="M1068" s="21">
        <v>32021.360000000001</v>
      </c>
      <c r="N1068" s="21">
        <v>23876.639999999999</v>
      </c>
      <c r="O1068" t="s">
        <v>39</v>
      </c>
      <c r="P1068" s="21">
        <v>2235.54</v>
      </c>
      <c r="Q1068" t="s">
        <v>73</v>
      </c>
      <c r="R1068" t="s">
        <v>41</v>
      </c>
      <c r="S1068">
        <v>2</v>
      </c>
      <c r="T1068">
        <v>1</v>
      </c>
      <c r="U1068" t="s">
        <v>32</v>
      </c>
      <c r="V1068" t="s">
        <v>33</v>
      </c>
      <c r="W1068">
        <v>1</v>
      </c>
    </row>
    <row r="1069" spans="1:23" x14ac:dyDescent="0.25">
      <c r="A1069" t="s">
        <v>1651</v>
      </c>
      <c r="B1069" s="1">
        <v>45805</v>
      </c>
      <c r="C1069" t="s">
        <v>1195</v>
      </c>
      <c r="D1069" t="s">
        <v>154</v>
      </c>
      <c r="E1069" t="s">
        <v>26</v>
      </c>
      <c r="F1069" t="s">
        <v>47</v>
      </c>
      <c r="G1069" t="s">
        <v>146</v>
      </c>
      <c r="H1069">
        <v>1</v>
      </c>
      <c r="I1069" s="21">
        <v>19773</v>
      </c>
      <c r="J1069">
        <v>0</v>
      </c>
      <c r="K1069" s="21">
        <v>0</v>
      </c>
      <c r="L1069" s="21">
        <v>19773</v>
      </c>
      <c r="M1069" s="21">
        <v>12290.57</v>
      </c>
      <c r="N1069" s="21">
        <v>7482.43</v>
      </c>
      <c r="O1069" t="s">
        <v>49</v>
      </c>
      <c r="P1069" s="21">
        <v>185.57</v>
      </c>
      <c r="Q1069" t="s">
        <v>30</v>
      </c>
      <c r="R1069" t="s">
        <v>31</v>
      </c>
      <c r="S1069">
        <v>5</v>
      </c>
      <c r="T1069">
        <v>7</v>
      </c>
      <c r="U1069" t="s">
        <v>56</v>
      </c>
      <c r="V1069" t="s">
        <v>33</v>
      </c>
      <c r="W1069">
        <v>1</v>
      </c>
    </row>
    <row r="1070" spans="1:23" x14ac:dyDescent="0.25">
      <c r="A1070" t="s">
        <v>1652</v>
      </c>
      <c r="B1070" s="1">
        <v>45997</v>
      </c>
      <c r="C1070" t="s">
        <v>341</v>
      </c>
      <c r="D1070" t="s">
        <v>71</v>
      </c>
      <c r="E1070" t="s">
        <v>36</v>
      </c>
      <c r="F1070" t="s">
        <v>37</v>
      </c>
      <c r="G1070" t="s">
        <v>100</v>
      </c>
      <c r="H1070">
        <v>1</v>
      </c>
      <c r="I1070" s="21">
        <v>13231</v>
      </c>
      <c r="J1070">
        <v>10</v>
      </c>
      <c r="K1070" s="21">
        <v>1323.1</v>
      </c>
      <c r="L1070" s="21">
        <v>11907.9</v>
      </c>
      <c r="M1070" s="21">
        <v>7775.69</v>
      </c>
      <c r="N1070" s="21">
        <v>4132.21</v>
      </c>
      <c r="O1070" t="s">
        <v>29</v>
      </c>
      <c r="P1070" s="21">
        <v>2238.08</v>
      </c>
      <c r="Q1070" t="s">
        <v>83</v>
      </c>
      <c r="R1070" t="s">
        <v>31</v>
      </c>
      <c r="S1070">
        <v>5</v>
      </c>
      <c r="T1070">
        <v>1</v>
      </c>
      <c r="U1070" t="s">
        <v>32</v>
      </c>
      <c r="V1070" t="s">
        <v>42</v>
      </c>
    </row>
    <row r="1071" spans="1:23" x14ac:dyDescent="0.25">
      <c r="A1071" t="s">
        <v>1653</v>
      </c>
      <c r="B1071" s="1">
        <v>45863</v>
      </c>
      <c r="C1071" t="s">
        <v>1654</v>
      </c>
      <c r="D1071" t="s">
        <v>79</v>
      </c>
      <c r="E1071" t="s">
        <v>46</v>
      </c>
      <c r="F1071" t="s">
        <v>27</v>
      </c>
      <c r="G1071" t="s">
        <v>113</v>
      </c>
      <c r="H1071">
        <v>4</v>
      </c>
      <c r="I1071" s="21">
        <v>5415</v>
      </c>
      <c r="J1071">
        <v>5</v>
      </c>
      <c r="K1071" s="21">
        <v>1083</v>
      </c>
      <c r="L1071" s="21">
        <v>20577</v>
      </c>
      <c r="M1071" s="21">
        <v>14298.37</v>
      </c>
      <c r="N1071" s="21">
        <v>6278.63</v>
      </c>
      <c r="O1071" t="s">
        <v>60</v>
      </c>
      <c r="P1071" s="21">
        <v>572.57000000000005</v>
      </c>
      <c r="Q1071" t="s">
        <v>40</v>
      </c>
      <c r="R1071" t="s">
        <v>31</v>
      </c>
      <c r="S1071">
        <v>5</v>
      </c>
      <c r="T1071">
        <v>5</v>
      </c>
      <c r="U1071" t="s">
        <v>32</v>
      </c>
      <c r="V1071" t="s">
        <v>33</v>
      </c>
      <c r="W1071">
        <v>2</v>
      </c>
    </row>
    <row r="1072" spans="1:23" x14ac:dyDescent="0.25">
      <c r="A1072" t="s">
        <v>1655</v>
      </c>
      <c r="B1072" s="1">
        <v>45939</v>
      </c>
      <c r="C1072" t="s">
        <v>706</v>
      </c>
      <c r="D1072" t="s">
        <v>71</v>
      </c>
      <c r="E1072" t="s">
        <v>46</v>
      </c>
      <c r="F1072" t="s">
        <v>37</v>
      </c>
      <c r="G1072" t="s">
        <v>313</v>
      </c>
      <c r="H1072">
        <v>2</v>
      </c>
      <c r="I1072" s="21">
        <v>12747</v>
      </c>
      <c r="J1072">
        <v>25</v>
      </c>
      <c r="K1072" s="21">
        <v>6373.5</v>
      </c>
      <c r="L1072" s="21">
        <v>19120.5</v>
      </c>
      <c r="M1072" s="21">
        <v>15647.92</v>
      </c>
      <c r="N1072" s="21">
        <v>3472.58</v>
      </c>
      <c r="O1072" t="s">
        <v>39</v>
      </c>
      <c r="P1072" s="21">
        <v>513.47</v>
      </c>
      <c r="Q1072" t="s">
        <v>68</v>
      </c>
      <c r="R1072" t="s">
        <v>31</v>
      </c>
      <c r="S1072">
        <v>5</v>
      </c>
      <c r="T1072">
        <v>0</v>
      </c>
      <c r="U1072" t="s">
        <v>32</v>
      </c>
      <c r="V1072" t="s">
        <v>42</v>
      </c>
    </row>
    <row r="1073" spans="1:23" x14ac:dyDescent="0.25">
      <c r="A1073" t="s">
        <v>1656</v>
      </c>
      <c r="B1073" s="1">
        <v>45676</v>
      </c>
      <c r="C1073" t="s">
        <v>993</v>
      </c>
      <c r="D1073" t="s">
        <v>79</v>
      </c>
      <c r="E1073" t="s">
        <v>46</v>
      </c>
      <c r="F1073" t="s">
        <v>86</v>
      </c>
      <c r="G1073" t="s">
        <v>127</v>
      </c>
      <c r="H1073">
        <v>1</v>
      </c>
      <c r="I1073" s="21">
        <v>31856</v>
      </c>
      <c r="J1073">
        <v>20</v>
      </c>
      <c r="K1073" s="21">
        <v>6371.2</v>
      </c>
      <c r="L1073" s="21">
        <v>25484.799999999999</v>
      </c>
      <c r="M1073" s="21">
        <v>17050.93</v>
      </c>
      <c r="N1073" s="21">
        <v>8433.8700000000008</v>
      </c>
      <c r="O1073" t="s">
        <v>91</v>
      </c>
      <c r="P1073" s="21">
        <v>2001.62</v>
      </c>
      <c r="Q1073" t="s">
        <v>73</v>
      </c>
      <c r="R1073" t="s">
        <v>31</v>
      </c>
      <c r="S1073">
        <v>5</v>
      </c>
      <c r="T1073">
        <v>5</v>
      </c>
      <c r="U1073" t="s">
        <v>32</v>
      </c>
      <c r="V1073" t="s">
        <v>50</v>
      </c>
      <c r="W1073">
        <v>4</v>
      </c>
    </row>
    <row r="1074" spans="1:23" x14ac:dyDescent="0.25">
      <c r="A1074" t="s">
        <v>1657</v>
      </c>
      <c r="B1074" s="1">
        <v>45890</v>
      </c>
      <c r="C1074" t="s">
        <v>1332</v>
      </c>
      <c r="D1074" t="s">
        <v>154</v>
      </c>
      <c r="E1074" t="s">
        <v>26</v>
      </c>
      <c r="F1074" t="s">
        <v>53</v>
      </c>
      <c r="G1074" t="s">
        <v>54</v>
      </c>
      <c r="H1074">
        <v>1</v>
      </c>
      <c r="I1074" s="21">
        <v>115670</v>
      </c>
      <c r="J1074">
        <v>0</v>
      </c>
      <c r="K1074" s="21">
        <v>0</v>
      </c>
      <c r="L1074" s="21">
        <v>115670</v>
      </c>
      <c r="M1074" s="21">
        <v>72300.5</v>
      </c>
      <c r="N1074" s="21">
        <v>43369.5</v>
      </c>
      <c r="O1074" t="s">
        <v>60</v>
      </c>
      <c r="P1074" s="21">
        <v>379.96</v>
      </c>
      <c r="Q1074" t="s">
        <v>68</v>
      </c>
      <c r="R1074" t="s">
        <v>31</v>
      </c>
      <c r="S1074">
        <v>5</v>
      </c>
      <c r="T1074">
        <v>5</v>
      </c>
      <c r="U1074" t="s">
        <v>32</v>
      </c>
      <c r="V1074" t="s">
        <v>33</v>
      </c>
      <c r="W1074">
        <v>1</v>
      </c>
    </row>
    <row r="1075" spans="1:23" x14ac:dyDescent="0.25">
      <c r="A1075" t="s">
        <v>1658</v>
      </c>
      <c r="B1075" s="1">
        <v>45703</v>
      </c>
      <c r="C1075" t="s">
        <v>478</v>
      </c>
      <c r="D1075" t="s">
        <v>63</v>
      </c>
      <c r="E1075" t="s">
        <v>46</v>
      </c>
      <c r="F1075" t="s">
        <v>47</v>
      </c>
      <c r="G1075" t="s">
        <v>64</v>
      </c>
      <c r="H1075">
        <v>1</v>
      </c>
      <c r="I1075" s="21">
        <v>53972</v>
      </c>
      <c r="J1075">
        <v>25</v>
      </c>
      <c r="K1075" s="21">
        <v>13493</v>
      </c>
      <c r="L1075" s="21">
        <v>40479</v>
      </c>
      <c r="M1075" s="21">
        <v>25498.59</v>
      </c>
      <c r="N1075" s="21">
        <v>14980.41</v>
      </c>
      <c r="O1075" t="s">
        <v>60</v>
      </c>
      <c r="P1075" s="21">
        <v>1244.7</v>
      </c>
      <c r="Q1075" t="s">
        <v>68</v>
      </c>
      <c r="R1075" t="s">
        <v>31</v>
      </c>
      <c r="S1075">
        <v>5</v>
      </c>
      <c r="T1075">
        <v>2</v>
      </c>
      <c r="U1075" t="s">
        <v>32</v>
      </c>
      <c r="V1075" t="s">
        <v>33</v>
      </c>
      <c r="W1075">
        <v>1</v>
      </c>
    </row>
    <row r="1076" spans="1:23" x14ac:dyDescent="0.25">
      <c r="A1076" t="s">
        <v>1659</v>
      </c>
      <c r="B1076" s="1">
        <v>45819</v>
      </c>
      <c r="C1076" t="s">
        <v>717</v>
      </c>
      <c r="D1076" t="s">
        <v>90</v>
      </c>
      <c r="E1076" t="s">
        <v>46</v>
      </c>
      <c r="F1076" t="s">
        <v>47</v>
      </c>
      <c r="G1076" t="s">
        <v>146</v>
      </c>
      <c r="H1076">
        <v>2</v>
      </c>
      <c r="I1076" s="21">
        <v>34104</v>
      </c>
      <c r="J1076">
        <v>20</v>
      </c>
      <c r="K1076" s="21">
        <v>13641.6</v>
      </c>
      <c r="L1076" s="21">
        <v>54566.400000000001</v>
      </c>
      <c r="M1076" s="21">
        <v>40761.360000000001</v>
      </c>
      <c r="N1076" s="21">
        <v>13805.04</v>
      </c>
      <c r="O1076" t="s">
        <v>39</v>
      </c>
      <c r="P1076" s="21">
        <v>1662.94</v>
      </c>
      <c r="Q1076" t="s">
        <v>30</v>
      </c>
      <c r="R1076" t="s">
        <v>41</v>
      </c>
      <c r="S1076">
        <v>2</v>
      </c>
      <c r="T1076">
        <v>3</v>
      </c>
      <c r="U1076" t="s">
        <v>56</v>
      </c>
      <c r="V1076" t="s">
        <v>33</v>
      </c>
      <c r="W1076">
        <v>5</v>
      </c>
    </row>
    <row r="1077" spans="1:23" x14ac:dyDescent="0.25">
      <c r="A1077" t="s">
        <v>1660</v>
      </c>
      <c r="B1077" s="1">
        <v>45787</v>
      </c>
      <c r="C1077" t="s">
        <v>487</v>
      </c>
      <c r="D1077" t="s">
        <v>79</v>
      </c>
      <c r="E1077" t="s">
        <v>26</v>
      </c>
      <c r="F1077" t="s">
        <v>86</v>
      </c>
      <c r="G1077" t="s">
        <v>94</v>
      </c>
      <c r="H1077">
        <v>2</v>
      </c>
      <c r="I1077" s="21">
        <v>12559</v>
      </c>
      <c r="J1077">
        <v>25</v>
      </c>
      <c r="K1077" s="21">
        <v>6279.5</v>
      </c>
      <c r="L1077" s="21">
        <v>18838.5</v>
      </c>
      <c r="M1077" s="21">
        <v>11517.77</v>
      </c>
      <c r="N1077" s="21">
        <v>7320.73</v>
      </c>
      <c r="O1077" t="s">
        <v>29</v>
      </c>
      <c r="P1077" s="21">
        <v>1758.57</v>
      </c>
      <c r="Q1077" t="s">
        <v>68</v>
      </c>
      <c r="R1077" t="s">
        <v>31</v>
      </c>
      <c r="S1077">
        <v>5</v>
      </c>
      <c r="T1077">
        <v>4</v>
      </c>
      <c r="U1077" t="s">
        <v>32</v>
      </c>
      <c r="V1077" t="s">
        <v>33</v>
      </c>
      <c r="W1077">
        <v>5</v>
      </c>
    </row>
    <row r="1078" spans="1:23" x14ac:dyDescent="0.25">
      <c r="A1078" t="s">
        <v>1661</v>
      </c>
      <c r="B1078" s="1">
        <v>45823</v>
      </c>
      <c r="C1078" t="s">
        <v>1451</v>
      </c>
      <c r="D1078" t="s">
        <v>154</v>
      </c>
      <c r="E1078" t="s">
        <v>46</v>
      </c>
      <c r="F1078" t="s">
        <v>86</v>
      </c>
      <c r="G1078" t="s">
        <v>110</v>
      </c>
      <c r="H1078">
        <v>1</v>
      </c>
      <c r="I1078" s="21">
        <v>50989</v>
      </c>
      <c r="J1078">
        <v>25</v>
      </c>
      <c r="K1078" s="21">
        <v>12747.25</v>
      </c>
      <c r="L1078" s="21">
        <v>38241.75</v>
      </c>
      <c r="M1078" s="21">
        <v>23942.080000000002</v>
      </c>
      <c r="N1078" s="21">
        <v>14299.67</v>
      </c>
      <c r="O1078" t="s">
        <v>91</v>
      </c>
      <c r="P1078" s="21">
        <v>1316.58</v>
      </c>
      <c r="Q1078" t="s">
        <v>68</v>
      </c>
      <c r="R1078" t="s">
        <v>31</v>
      </c>
      <c r="S1078">
        <v>5</v>
      </c>
      <c r="T1078">
        <v>1</v>
      </c>
      <c r="U1078" t="s">
        <v>32</v>
      </c>
      <c r="V1078" t="s">
        <v>33</v>
      </c>
      <c r="W1078">
        <v>2</v>
      </c>
    </row>
    <row r="1079" spans="1:23" x14ac:dyDescent="0.25">
      <c r="A1079" t="s">
        <v>1662</v>
      </c>
      <c r="B1079" s="1">
        <v>45717</v>
      </c>
      <c r="C1079" t="s">
        <v>1663</v>
      </c>
      <c r="D1079" t="s">
        <v>154</v>
      </c>
      <c r="E1079" t="s">
        <v>46</v>
      </c>
      <c r="F1079" t="s">
        <v>27</v>
      </c>
      <c r="G1079" t="s">
        <v>28</v>
      </c>
      <c r="H1079">
        <v>1</v>
      </c>
      <c r="I1079" s="21">
        <v>18504</v>
      </c>
      <c r="J1079">
        <v>0</v>
      </c>
      <c r="K1079" s="21">
        <v>0</v>
      </c>
      <c r="L1079" s="21">
        <v>18504</v>
      </c>
      <c r="M1079" s="21">
        <v>11354.81</v>
      </c>
      <c r="N1079" s="21">
        <v>7149.19</v>
      </c>
      <c r="O1079" t="s">
        <v>55</v>
      </c>
      <c r="P1079" s="21">
        <v>2311.89</v>
      </c>
      <c r="Q1079" t="s">
        <v>40</v>
      </c>
      <c r="R1079" t="s">
        <v>41</v>
      </c>
      <c r="S1079">
        <v>2</v>
      </c>
      <c r="T1079">
        <v>1</v>
      </c>
      <c r="U1079" t="s">
        <v>32</v>
      </c>
      <c r="V1079" t="s">
        <v>33</v>
      </c>
      <c r="W1079">
        <v>5</v>
      </c>
    </row>
    <row r="1080" spans="1:23" x14ac:dyDescent="0.25">
      <c r="A1080" t="s">
        <v>1664</v>
      </c>
      <c r="B1080" s="1">
        <v>45864</v>
      </c>
      <c r="C1080" t="s">
        <v>595</v>
      </c>
      <c r="D1080" t="s">
        <v>90</v>
      </c>
      <c r="E1080" t="s">
        <v>46</v>
      </c>
      <c r="F1080" t="s">
        <v>53</v>
      </c>
      <c r="G1080" t="s">
        <v>151</v>
      </c>
      <c r="H1080">
        <v>1</v>
      </c>
      <c r="I1080" s="21">
        <v>91480</v>
      </c>
      <c r="J1080">
        <v>0</v>
      </c>
      <c r="K1080" s="21">
        <v>0</v>
      </c>
      <c r="L1080" s="21">
        <v>91480</v>
      </c>
      <c r="M1080" s="21">
        <v>64831.360000000001</v>
      </c>
      <c r="N1080" s="21">
        <v>26648.639999999999</v>
      </c>
      <c r="O1080" t="s">
        <v>60</v>
      </c>
      <c r="P1080" s="21">
        <v>1016.41</v>
      </c>
      <c r="Q1080" t="s">
        <v>40</v>
      </c>
      <c r="R1080" t="s">
        <v>41</v>
      </c>
      <c r="S1080">
        <v>2</v>
      </c>
      <c r="T1080">
        <v>5</v>
      </c>
      <c r="U1080" t="s">
        <v>32</v>
      </c>
      <c r="V1080" t="s">
        <v>42</v>
      </c>
    </row>
    <row r="1081" spans="1:23" x14ac:dyDescent="0.25">
      <c r="A1081" t="s">
        <v>1665</v>
      </c>
      <c r="B1081" s="1">
        <v>45921</v>
      </c>
      <c r="C1081" t="s">
        <v>954</v>
      </c>
      <c r="E1081" t="s">
        <v>46</v>
      </c>
      <c r="F1081" t="s">
        <v>86</v>
      </c>
      <c r="G1081" t="s">
        <v>180</v>
      </c>
      <c r="H1081">
        <v>3</v>
      </c>
      <c r="I1081" s="21">
        <v>38738</v>
      </c>
      <c r="J1081">
        <v>0</v>
      </c>
      <c r="K1081" s="21">
        <v>0</v>
      </c>
      <c r="L1081" s="21">
        <v>116214</v>
      </c>
      <c r="M1081" s="21">
        <v>69049.53</v>
      </c>
      <c r="N1081" s="21">
        <v>47164.47</v>
      </c>
      <c r="O1081" t="s">
        <v>91</v>
      </c>
      <c r="P1081" s="21">
        <v>531.99</v>
      </c>
      <c r="Q1081" t="s">
        <v>30</v>
      </c>
      <c r="R1081" t="s">
        <v>41</v>
      </c>
      <c r="S1081">
        <v>2</v>
      </c>
      <c r="T1081">
        <v>3</v>
      </c>
      <c r="U1081" t="s">
        <v>56</v>
      </c>
      <c r="V1081" t="s">
        <v>33</v>
      </c>
      <c r="W1081">
        <v>2</v>
      </c>
    </row>
    <row r="1082" spans="1:23" x14ac:dyDescent="0.25">
      <c r="A1082" t="s">
        <v>1666</v>
      </c>
      <c r="B1082" s="1">
        <v>45658</v>
      </c>
      <c r="C1082" t="s">
        <v>1523</v>
      </c>
      <c r="D1082" t="s">
        <v>63</v>
      </c>
      <c r="E1082" t="s">
        <v>36</v>
      </c>
      <c r="F1082" t="s">
        <v>47</v>
      </c>
      <c r="G1082" t="s">
        <v>105</v>
      </c>
      <c r="H1082">
        <v>1</v>
      </c>
      <c r="I1082" s="21">
        <v>19799</v>
      </c>
      <c r="J1082">
        <v>5</v>
      </c>
      <c r="K1082" s="21">
        <v>989.95</v>
      </c>
      <c r="L1082" s="21">
        <v>18809.05</v>
      </c>
      <c r="M1082" s="21">
        <v>11372.63</v>
      </c>
      <c r="N1082" s="21">
        <v>7436.42</v>
      </c>
      <c r="O1082" t="s">
        <v>29</v>
      </c>
      <c r="P1082" s="21">
        <v>1218.48</v>
      </c>
      <c r="Q1082" t="s">
        <v>83</v>
      </c>
      <c r="R1082" t="s">
        <v>41</v>
      </c>
      <c r="S1082">
        <v>2</v>
      </c>
      <c r="T1082">
        <v>1</v>
      </c>
      <c r="U1082" t="s">
        <v>32</v>
      </c>
      <c r="V1082" t="s">
        <v>33</v>
      </c>
      <c r="W1082">
        <v>3</v>
      </c>
    </row>
    <row r="1083" spans="1:23" x14ac:dyDescent="0.25">
      <c r="A1083" t="s">
        <v>1667</v>
      </c>
      <c r="B1083" s="1">
        <v>45994</v>
      </c>
      <c r="C1083" t="s">
        <v>506</v>
      </c>
      <c r="D1083" t="s">
        <v>67</v>
      </c>
      <c r="E1083" t="s">
        <v>26</v>
      </c>
      <c r="F1083" t="s">
        <v>86</v>
      </c>
      <c r="G1083" t="s">
        <v>110</v>
      </c>
      <c r="H1083">
        <v>3</v>
      </c>
      <c r="I1083" s="21">
        <v>66899</v>
      </c>
      <c r="J1083">
        <v>0</v>
      </c>
      <c r="K1083" s="21">
        <v>0</v>
      </c>
      <c r="L1083" s="21">
        <v>200697</v>
      </c>
      <c r="M1083" s="21">
        <v>156995.01999999999</v>
      </c>
      <c r="N1083" s="21">
        <v>43701.98</v>
      </c>
      <c r="O1083" t="s">
        <v>29</v>
      </c>
      <c r="P1083" s="21">
        <v>1367.22</v>
      </c>
      <c r="Q1083" t="s">
        <v>73</v>
      </c>
      <c r="R1083" t="s">
        <v>41</v>
      </c>
      <c r="S1083">
        <v>2</v>
      </c>
      <c r="T1083">
        <v>6</v>
      </c>
      <c r="U1083" t="s">
        <v>32</v>
      </c>
      <c r="V1083" t="s">
        <v>42</v>
      </c>
    </row>
    <row r="1084" spans="1:23" x14ac:dyDescent="0.25">
      <c r="A1084" t="s">
        <v>1668</v>
      </c>
      <c r="B1084" s="1">
        <v>45935</v>
      </c>
      <c r="C1084" t="s">
        <v>123</v>
      </c>
      <c r="D1084" t="s">
        <v>124</v>
      </c>
      <c r="E1084" t="s">
        <v>46</v>
      </c>
      <c r="F1084" t="s">
        <v>53</v>
      </c>
      <c r="G1084" t="s">
        <v>82</v>
      </c>
      <c r="H1084">
        <v>1</v>
      </c>
      <c r="I1084" s="21">
        <v>101011</v>
      </c>
      <c r="J1084">
        <v>0</v>
      </c>
      <c r="K1084" s="21">
        <v>0</v>
      </c>
      <c r="L1084" s="21">
        <v>101011</v>
      </c>
      <c r="M1084" s="21">
        <v>81400.7</v>
      </c>
      <c r="N1084" s="21">
        <v>19610.3</v>
      </c>
      <c r="O1084" t="s">
        <v>49</v>
      </c>
      <c r="P1084" s="21">
        <v>154.93</v>
      </c>
      <c r="Q1084" t="s">
        <v>68</v>
      </c>
      <c r="R1084" t="s">
        <v>41</v>
      </c>
      <c r="S1084">
        <v>2</v>
      </c>
      <c r="T1084">
        <v>3</v>
      </c>
      <c r="U1084" t="s">
        <v>32</v>
      </c>
      <c r="V1084" t="s">
        <v>42</v>
      </c>
    </row>
    <row r="1085" spans="1:23" x14ac:dyDescent="0.25">
      <c r="A1085" t="s">
        <v>1669</v>
      </c>
      <c r="B1085" s="1">
        <v>45894</v>
      </c>
      <c r="C1085" t="s">
        <v>1138</v>
      </c>
      <c r="D1085" t="s">
        <v>25</v>
      </c>
      <c r="E1085" t="s">
        <v>46</v>
      </c>
      <c r="F1085" t="s">
        <v>27</v>
      </c>
      <c r="G1085" t="s">
        <v>113</v>
      </c>
      <c r="H1085">
        <v>1</v>
      </c>
      <c r="I1085" s="21">
        <v>6139</v>
      </c>
      <c r="J1085">
        <v>10</v>
      </c>
      <c r="K1085" s="21">
        <v>613.9</v>
      </c>
      <c r="L1085" s="21">
        <v>5525.1</v>
      </c>
      <c r="M1085" s="21">
        <v>3848.45</v>
      </c>
      <c r="N1085" s="21">
        <v>1676.65</v>
      </c>
      <c r="O1085" t="s">
        <v>91</v>
      </c>
      <c r="P1085" s="21">
        <v>1704.48</v>
      </c>
      <c r="Q1085" t="s">
        <v>40</v>
      </c>
      <c r="R1085" t="s">
        <v>31</v>
      </c>
      <c r="S1085">
        <v>5</v>
      </c>
      <c r="T1085">
        <v>9</v>
      </c>
      <c r="U1085" t="s">
        <v>56</v>
      </c>
      <c r="V1085" t="s">
        <v>33</v>
      </c>
      <c r="W1085">
        <v>1</v>
      </c>
    </row>
    <row r="1086" spans="1:23" x14ac:dyDescent="0.25">
      <c r="A1086" t="s">
        <v>1670</v>
      </c>
      <c r="B1086" s="1">
        <v>45869</v>
      </c>
      <c r="C1086" t="s">
        <v>1654</v>
      </c>
      <c r="D1086" t="s">
        <v>79</v>
      </c>
      <c r="E1086" t="s">
        <v>46</v>
      </c>
      <c r="F1086" t="s">
        <v>47</v>
      </c>
      <c r="G1086" t="s">
        <v>146</v>
      </c>
      <c r="H1086">
        <v>3</v>
      </c>
      <c r="I1086" s="21">
        <v>33903</v>
      </c>
      <c r="J1086">
        <v>10</v>
      </c>
      <c r="K1086" s="21">
        <v>10170.9</v>
      </c>
      <c r="L1086" s="21">
        <v>91538.1</v>
      </c>
      <c r="M1086" s="21">
        <v>58151.16</v>
      </c>
      <c r="N1086" s="21">
        <v>33386.94</v>
      </c>
      <c r="O1086" t="s">
        <v>55</v>
      </c>
      <c r="P1086" s="21">
        <v>762.04</v>
      </c>
      <c r="Q1086" t="s">
        <v>68</v>
      </c>
      <c r="R1086" t="s">
        <v>41</v>
      </c>
      <c r="S1086">
        <v>2</v>
      </c>
      <c r="T1086">
        <v>1</v>
      </c>
      <c r="U1086" t="s">
        <v>32</v>
      </c>
      <c r="V1086" t="s">
        <v>50</v>
      </c>
      <c r="W1086">
        <v>4</v>
      </c>
    </row>
    <row r="1087" spans="1:23" x14ac:dyDescent="0.25">
      <c r="A1087" t="s">
        <v>1671</v>
      </c>
      <c r="B1087" s="1">
        <v>45685</v>
      </c>
      <c r="C1087" t="s">
        <v>1186</v>
      </c>
      <c r="D1087" t="s">
        <v>154</v>
      </c>
      <c r="E1087" t="s">
        <v>46</v>
      </c>
      <c r="F1087" t="s">
        <v>27</v>
      </c>
      <c r="G1087" t="s">
        <v>76</v>
      </c>
      <c r="H1087">
        <v>1</v>
      </c>
      <c r="I1087" s="21">
        <v>4386</v>
      </c>
      <c r="J1087">
        <v>0</v>
      </c>
      <c r="K1087" s="21">
        <v>0</v>
      </c>
      <c r="L1087" s="21">
        <v>4386</v>
      </c>
      <c r="M1087" s="21">
        <v>2642.67</v>
      </c>
      <c r="N1087" s="21">
        <v>1743.33</v>
      </c>
      <c r="O1087" t="s">
        <v>55</v>
      </c>
      <c r="P1087" s="21">
        <v>1438.11</v>
      </c>
      <c r="Q1087" t="s">
        <v>83</v>
      </c>
      <c r="R1087" t="s">
        <v>31</v>
      </c>
      <c r="S1087">
        <v>5</v>
      </c>
      <c r="T1087">
        <v>1</v>
      </c>
      <c r="U1087" t="s">
        <v>32</v>
      </c>
      <c r="V1087" t="s">
        <v>50</v>
      </c>
      <c r="W1087">
        <v>5</v>
      </c>
    </row>
    <row r="1088" spans="1:23" x14ac:dyDescent="0.25">
      <c r="A1088" t="s">
        <v>1672</v>
      </c>
      <c r="B1088" s="1">
        <v>45754</v>
      </c>
      <c r="C1088" t="s">
        <v>993</v>
      </c>
      <c r="D1088" t="s">
        <v>97</v>
      </c>
      <c r="E1088" t="s">
        <v>26</v>
      </c>
      <c r="F1088" t="s">
        <v>53</v>
      </c>
      <c r="G1088" t="s">
        <v>59</v>
      </c>
      <c r="H1088">
        <v>1</v>
      </c>
      <c r="I1088" s="21">
        <v>116337</v>
      </c>
      <c r="J1088">
        <v>0</v>
      </c>
      <c r="K1088" s="21">
        <v>0</v>
      </c>
      <c r="L1088" s="21">
        <v>116337</v>
      </c>
      <c r="M1088" s="21">
        <v>93818.15</v>
      </c>
      <c r="N1088" s="21">
        <v>22518.85</v>
      </c>
      <c r="O1088" t="s">
        <v>91</v>
      </c>
      <c r="P1088" s="21">
        <v>1923.12</v>
      </c>
      <c r="Q1088" t="s">
        <v>40</v>
      </c>
      <c r="R1088" t="s">
        <v>31</v>
      </c>
      <c r="S1088">
        <v>5</v>
      </c>
      <c r="T1088">
        <v>7</v>
      </c>
      <c r="U1088" t="s">
        <v>56</v>
      </c>
      <c r="V1088" t="s">
        <v>33</v>
      </c>
      <c r="W1088">
        <v>3</v>
      </c>
    </row>
    <row r="1089" spans="1:23" x14ac:dyDescent="0.25">
      <c r="A1089" t="s">
        <v>1673</v>
      </c>
      <c r="B1089" s="1">
        <v>45923</v>
      </c>
      <c r="C1089" t="s">
        <v>1674</v>
      </c>
      <c r="D1089" t="s">
        <v>154</v>
      </c>
      <c r="E1089" t="s">
        <v>26</v>
      </c>
      <c r="F1089" t="s">
        <v>53</v>
      </c>
      <c r="G1089" t="s">
        <v>59</v>
      </c>
      <c r="H1089">
        <v>1</v>
      </c>
      <c r="I1089" s="21">
        <v>61620</v>
      </c>
      <c r="J1089">
        <v>25</v>
      </c>
      <c r="K1089" s="21">
        <v>15405</v>
      </c>
      <c r="L1089" s="21">
        <v>46215</v>
      </c>
      <c r="M1089" s="21">
        <v>29495.040000000001</v>
      </c>
      <c r="N1089" s="21">
        <v>16719.96</v>
      </c>
      <c r="O1089" t="s">
        <v>60</v>
      </c>
      <c r="P1089" s="21">
        <v>911.4</v>
      </c>
      <c r="Q1089" t="s">
        <v>73</v>
      </c>
      <c r="R1089" t="s">
        <v>31</v>
      </c>
      <c r="S1089">
        <v>5</v>
      </c>
      <c r="T1089">
        <v>3</v>
      </c>
      <c r="U1089" t="s">
        <v>32</v>
      </c>
      <c r="V1089" t="s">
        <v>42</v>
      </c>
    </row>
    <row r="1090" spans="1:23" x14ac:dyDescent="0.25">
      <c r="A1090" t="s">
        <v>1675</v>
      </c>
      <c r="B1090" s="1">
        <v>45843</v>
      </c>
      <c r="C1090" t="s">
        <v>860</v>
      </c>
      <c r="D1090" t="s">
        <v>71</v>
      </c>
      <c r="E1090" t="s">
        <v>26</v>
      </c>
      <c r="F1090" t="s">
        <v>47</v>
      </c>
      <c r="G1090" t="s">
        <v>138</v>
      </c>
      <c r="H1090">
        <v>1</v>
      </c>
      <c r="I1090" s="21">
        <v>35982</v>
      </c>
      <c r="J1090">
        <v>10</v>
      </c>
      <c r="K1090" s="21">
        <v>3598.2</v>
      </c>
      <c r="L1090" s="21">
        <v>32383.8</v>
      </c>
      <c r="M1090" s="21">
        <v>22364.6</v>
      </c>
      <c r="N1090" s="21">
        <v>10019.200000000001</v>
      </c>
      <c r="O1090" t="s">
        <v>91</v>
      </c>
      <c r="P1090" s="21">
        <v>848.07</v>
      </c>
      <c r="Q1090" t="s">
        <v>30</v>
      </c>
      <c r="R1090" t="s">
        <v>41</v>
      </c>
      <c r="S1090">
        <v>2</v>
      </c>
      <c r="T1090">
        <v>5</v>
      </c>
      <c r="U1090" t="s">
        <v>32</v>
      </c>
      <c r="V1090" t="s">
        <v>50</v>
      </c>
      <c r="W1090">
        <v>4</v>
      </c>
    </row>
    <row r="1091" spans="1:23" x14ac:dyDescent="0.25">
      <c r="A1091" t="s">
        <v>1676</v>
      </c>
      <c r="B1091" s="1">
        <v>45976</v>
      </c>
      <c r="C1091" t="s">
        <v>1677</v>
      </c>
      <c r="D1091" t="s">
        <v>154</v>
      </c>
      <c r="E1091" t="s">
        <v>46</v>
      </c>
      <c r="F1091" t="s">
        <v>86</v>
      </c>
      <c r="G1091" t="s">
        <v>180</v>
      </c>
      <c r="H1091">
        <v>1</v>
      </c>
      <c r="I1091" s="21">
        <v>63162</v>
      </c>
      <c r="J1091">
        <v>0</v>
      </c>
      <c r="K1091" s="21">
        <v>0</v>
      </c>
      <c r="L1091" s="21">
        <v>63162</v>
      </c>
      <c r="M1091" s="21">
        <v>36019.9</v>
      </c>
      <c r="N1091" s="21">
        <v>27142.1</v>
      </c>
      <c r="O1091" t="s">
        <v>91</v>
      </c>
      <c r="P1091" s="21">
        <v>1787.41</v>
      </c>
      <c r="Q1091" t="s">
        <v>83</v>
      </c>
      <c r="R1091" t="s">
        <v>31</v>
      </c>
      <c r="S1091">
        <v>5</v>
      </c>
      <c r="T1091">
        <v>4</v>
      </c>
      <c r="U1091" t="s">
        <v>32</v>
      </c>
      <c r="V1091" t="s">
        <v>33</v>
      </c>
      <c r="W1091">
        <v>3</v>
      </c>
    </row>
    <row r="1092" spans="1:23" x14ac:dyDescent="0.25">
      <c r="A1092" t="s">
        <v>1678</v>
      </c>
      <c r="B1092" s="1">
        <v>45913</v>
      </c>
      <c r="C1092" t="s">
        <v>1476</v>
      </c>
      <c r="D1092" t="s">
        <v>97</v>
      </c>
      <c r="E1092" t="s">
        <v>26</v>
      </c>
      <c r="F1092" t="s">
        <v>86</v>
      </c>
      <c r="G1092" t="s">
        <v>87</v>
      </c>
      <c r="H1092">
        <v>1</v>
      </c>
      <c r="I1092" s="21">
        <v>72988</v>
      </c>
      <c r="J1092">
        <v>0</v>
      </c>
      <c r="K1092" s="21">
        <v>0</v>
      </c>
      <c r="L1092" s="21">
        <v>72988</v>
      </c>
      <c r="M1092" s="21">
        <v>49426.46</v>
      </c>
      <c r="N1092" s="21">
        <v>23561.54</v>
      </c>
      <c r="O1092" t="s">
        <v>91</v>
      </c>
      <c r="P1092" s="21">
        <v>2098.38</v>
      </c>
      <c r="Q1092" t="s">
        <v>30</v>
      </c>
      <c r="R1092" t="s">
        <v>41</v>
      </c>
      <c r="S1092">
        <v>2</v>
      </c>
      <c r="T1092">
        <v>1</v>
      </c>
      <c r="U1092" t="s">
        <v>32</v>
      </c>
      <c r="V1092" t="s">
        <v>42</v>
      </c>
    </row>
    <row r="1093" spans="1:23" x14ac:dyDescent="0.25">
      <c r="A1093" t="s">
        <v>1679</v>
      </c>
      <c r="B1093" s="1">
        <v>45978</v>
      </c>
      <c r="C1093" t="s">
        <v>1680</v>
      </c>
      <c r="D1093" t="s">
        <v>45</v>
      </c>
      <c r="E1093" t="s">
        <v>26</v>
      </c>
      <c r="F1093" t="s">
        <v>37</v>
      </c>
      <c r="G1093" t="s">
        <v>38</v>
      </c>
      <c r="H1093">
        <v>2</v>
      </c>
      <c r="I1093" s="21">
        <v>5304</v>
      </c>
      <c r="J1093">
        <v>0</v>
      </c>
      <c r="K1093" s="21">
        <v>0</v>
      </c>
      <c r="L1093" s="21">
        <v>10608</v>
      </c>
      <c r="M1093" s="21">
        <v>6462.63</v>
      </c>
      <c r="N1093" s="21">
        <v>4145.37</v>
      </c>
      <c r="O1093" t="s">
        <v>49</v>
      </c>
      <c r="P1093" s="21">
        <v>59.42</v>
      </c>
      <c r="Q1093" t="s">
        <v>68</v>
      </c>
      <c r="R1093" t="s">
        <v>41</v>
      </c>
      <c r="S1093">
        <v>2</v>
      </c>
      <c r="T1093">
        <v>1</v>
      </c>
      <c r="U1093" t="s">
        <v>32</v>
      </c>
      <c r="V1093" t="s">
        <v>33</v>
      </c>
      <c r="W1093">
        <v>4</v>
      </c>
    </row>
    <row r="1094" spans="1:23" x14ac:dyDescent="0.25">
      <c r="A1094" t="s">
        <v>1681</v>
      </c>
      <c r="B1094" s="1">
        <v>45884</v>
      </c>
      <c r="C1094" t="s">
        <v>1060</v>
      </c>
      <c r="D1094" t="s">
        <v>25</v>
      </c>
      <c r="E1094" t="s">
        <v>26</v>
      </c>
      <c r="F1094" t="s">
        <v>53</v>
      </c>
      <c r="G1094" t="s">
        <v>151</v>
      </c>
      <c r="H1094">
        <v>1</v>
      </c>
      <c r="I1094" s="21">
        <v>34348</v>
      </c>
      <c r="J1094">
        <v>0</v>
      </c>
      <c r="K1094" s="21">
        <v>0</v>
      </c>
      <c r="L1094" s="21">
        <v>34348</v>
      </c>
      <c r="M1094" s="21">
        <v>21875.439999999999</v>
      </c>
      <c r="N1094" s="21">
        <v>12472.56</v>
      </c>
      <c r="O1094" t="s">
        <v>91</v>
      </c>
      <c r="P1094" s="21">
        <v>612.76</v>
      </c>
      <c r="Q1094" t="s">
        <v>68</v>
      </c>
      <c r="R1094" t="s">
        <v>41</v>
      </c>
      <c r="S1094">
        <v>2</v>
      </c>
      <c r="T1094">
        <v>3</v>
      </c>
      <c r="U1094" t="s">
        <v>56</v>
      </c>
      <c r="V1094" t="s">
        <v>33</v>
      </c>
      <c r="W1094">
        <v>5</v>
      </c>
    </row>
    <row r="1095" spans="1:23" x14ac:dyDescent="0.25">
      <c r="A1095" t="s">
        <v>1682</v>
      </c>
      <c r="B1095" s="1">
        <v>45684</v>
      </c>
      <c r="C1095" t="s">
        <v>358</v>
      </c>
      <c r="D1095" t="s">
        <v>90</v>
      </c>
      <c r="E1095" t="s">
        <v>26</v>
      </c>
      <c r="F1095" t="s">
        <v>37</v>
      </c>
      <c r="G1095" t="s">
        <v>161</v>
      </c>
      <c r="H1095">
        <v>1</v>
      </c>
      <c r="I1095" s="21">
        <v>8092</v>
      </c>
      <c r="J1095">
        <v>0</v>
      </c>
      <c r="K1095" s="21">
        <v>0</v>
      </c>
      <c r="L1095" s="21">
        <v>8092</v>
      </c>
      <c r="M1095" s="21">
        <v>5436.19</v>
      </c>
      <c r="N1095" s="21">
        <v>2655.81</v>
      </c>
      <c r="O1095" t="s">
        <v>39</v>
      </c>
      <c r="P1095" s="21">
        <v>2092.06</v>
      </c>
      <c r="Q1095" t="s">
        <v>30</v>
      </c>
      <c r="R1095" t="s">
        <v>41</v>
      </c>
      <c r="S1095">
        <v>2</v>
      </c>
      <c r="T1095">
        <v>1</v>
      </c>
      <c r="U1095" t="s">
        <v>32</v>
      </c>
      <c r="V1095" t="s">
        <v>42</v>
      </c>
    </row>
    <row r="1096" spans="1:23" x14ac:dyDescent="0.25">
      <c r="A1096" t="s">
        <v>1683</v>
      </c>
      <c r="B1096" s="1">
        <v>45762</v>
      </c>
      <c r="C1096" t="s">
        <v>504</v>
      </c>
      <c r="D1096" t="s">
        <v>97</v>
      </c>
      <c r="E1096" t="s">
        <v>36</v>
      </c>
      <c r="F1096" t="s">
        <v>47</v>
      </c>
      <c r="G1096" t="s">
        <v>146</v>
      </c>
      <c r="H1096">
        <v>1</v>
      </c>
      <c r="I1096" s="21">
        <v>51117</v>
      </c>
      <c r="J1096">
        <v>15</v>
      </c>
      <c r="K1096" s="21">
        <v>7667.55</v>
      </c>
      <c r="L1096" s="21">
        <v>43449.45</v>
      </c>
      <c r="M1096" s="21">
        <v>34456.92</v>
      </c>
      <c r="N1096" s="21">
        <v>8992.5300000000007</v>
      </c>
      <c r="O1096" t="s">
        <v>91</v>
      </c>
      <c r="P1096" s="21">
        <v>462.3</v>
      </c>
      <c r="Q1096" t="s">
        <v>40</v>
      </c>
      <c r="R1096" t="s">
        <v>41</v>
      </c>
      <c r="S1096">
        <v>2</v>
      </c>
      <c r="T1096">
        <v>3</v>
      </c>
      <c r="U1096" t="s">
        <v>56</v>
      </c>
      <c r="V1096" t="s">
        <v>33</v>
      </c>
      <c r="W1096">
        <v>5</v>
      </c>
    </row>
    <row r="1097" spans="1:23" x14ac:dyDescent="0.25">
      <c r="A1097" t="s">
        <v>1684</v>
      </c>
      <c r="B1097" s="1">
        <v>45794</v>
      </c>
      <c r="C1097" t="s">
        <v>1005</v>
      </c>
      <c r="D1097" t="s">
        <v>67</v>
      </c>
      <c r="E1097" t="s">
        <v>46</v>
      </c>
      <c r="F1097" t="s">
        <v>27</v>
      </c>
      <c r="G1097" t="s">
        <v>76</v>
      </c>
      <c r="H1097">
        <v>2</v>
      </c>
      <c r="I1097" s="21">
        <v>5937</v>
      </c>
      <c r="J1097">
        <v>0</v>
      </c>
      <c r="K1097" s="21">
        <v>0</v>
      </c>
      <c r="L1097" s="21">
        <v>11874</v>
      </c>
      <c r="M1097" s="21">
        <v>8658.91</v>
      </c>
      <c r="N1097" s="21">
        <v>3215.09</v>
      </c>
      <c r="O1097" t="s">
        <v>55</v>
      </c>
      <c r="P1097" s="21">
        <v>1848.86</v>
      </c>
      <c r="Q1097" t="s">
        <v>68</v>
      </c>
      <c r="R1097" t="s">
        <v>31</v>
      </c>
      <c r="S1097">
        <v>5</v>
      </c>
      <c r="T1097">
        <v>4</v>
      </c>
      <c r="U1097" t="s">
        <v>32</v>
      </c>
      <c r="V1097" t="s">
        <v>33</v>
      </c>
      <c r="W1097">
        <v>2</v>
      </c>
    </row>
    <row r="1098" spans="1:23" x14ac:dyDescent="0.25">
      <c r="A1098" t="s">
        <v>1685</v>
      </c>
      <c r="B1098" s="1">
        <v>45939</v>
      </c>
      <c r="C1098" t="s">
        <v>52</v>
      </c>
      <c r="D1098" t="s">
        <v>124</v>
      </c>
      <c r="E1098" t="s">
        <v>36</v>
      </c>
      <c r="F1098" t="s">
        <v>53</v>
      </c>
      <c r="G1098" t="s">
        <v>82</v>
      </c>
      <c r="H1098">
        <v>1</v>
      </c>
      <c r="I1098" s="21">
        <v>87654</v>
      </c>
      <c r="J1098">
        <v>10</v>
      </c>
      <c r="K1098" s="21">
        <v>8765.4</v>
      </c>
      <c r="L1098" s="21">
        <v>78888.600000000006</v>
      </c>
      <c r="M1098" s="21">
        <v>58474.34</v>
      </c>
      <c r="N1098" s="21">
        <v>20414.259999999998</v>
      </c>
      <c r="O1098" t="s">
        <v>39</v>
      </c>
      <c r="P1098" s="21">
        <v>1333.92</v>
      </c>
      <c r="Q1098" t="s">
        <v>83</v>
      </c>
      <c r="R1098" t="s">
        <v>31</v>
      </c>
      <c r="S1098">
        <v>5</v>
      </c>
      <c r="T1098">
        <v>3</v>
      </c>
      <c r="U1098" t="s">
        <v>32</v>
      </c>
      <c r="V1098" t="s">
        <v>50</v>
      </c>
      <c r="W1098">
        <v>4</v>
      </c>
    </row>
    <row r="1099" spans="1:23" x14ac:dyDescent="0.25">
      <c r="A1099" t="s">
        <v>1686</v>
      </c>
      <c r="B1099" s="1">
        <v>45725</v>
      </c>
      <c r="C1099" t="s">
        <v>121</v>
      </c>
      <c r="D1099" t="s">
        <v>45</v>
      </c>
      <c r="E1099" t="s">
        <v>46</v>
      </c>
      <c r="F1099" t="s">
        <v>53</v>
      </c>
      <c r="G1099" t="s">
        <v>54</v>
      </c>
      <c r="H1099">
        <v>3</v>
      </c>
      <c r="I1099" s="21">
        <v>79546</v>
      </c>
      <c r="J1099">
        <v>5</v>
      </c>
      <c r="K1099" s="21">
        <v>11931.9</v>
      </c>
      <c r="L1099" s="21">
        <v>226706.1</v>
      </c>
      <c r="M1099" s="21">
        <v>171840.42</v>
      </c>
      <c r="N1099" s="21">
        <v>54865.68</v>
      </c>
      <c r="O1099" t="s">
        <v>91</v>
      </c>
      <c r="P1099" s="21">
        <v>1595.41</v>
      </c>
      <c r="Q1099" t="s">
        <v>30</v>
      </c>
      <c r="R1099" t="s">
        <v>31</v>
      </c>
      <c r="S1099">
        <v>5</v>
      </c>
      <c r="T1099">
        <v>3</v>
      </c>
      <c r="U1099" t="s">
        <v>32</v>
      </c>
      <c r="V1099" t="s">
        <v>42</v>
      </c>
    </row>
    <row r="1100" spans="1:23" x14ac:dyDescent="0.25">
      <c r="A1100" t="s">
        <v>1687</v>
      </c>
      <c r="B1100" s="1">
        <v>45805</v>
      </c>
      <c r="C1100" t="s">
        <v>1086</v>
      </c>
      <c r="D1100" t="s">
        <v>79</v>
      </c>
      <c r="E1100" t="s">
        <v>36</v>
      </c>
      <c r="F1100" t="s">
        <v>53</v>
      </c>
      <c r="G1100" t="s">
        <v>54</v>
      </c>
      <c r="H1100">
        <v>1</v>
      </c>
      <c r="I1100" s="21">
        <v>78892</v>
      </c>
      <c r="J1100">
        <v>10</v>
      </c>
      <c r="K1100" s="21">
        <v>7889.2</v>
      </c>
      <c r="L1100" s="21">
        <v>71002.8</v>
      </c>
      <c r="M1100" s="21">
        <v>51718.45</v>
      </c>
      <c r="N1100" s="21">
        <v>19284.349999999999</v>
      </c>
      <c r="O1100" t="s">
        <v>39</v>
      </c>
      <c r="P1100" s="21">
        <v>2090.39</v>
      </c>
      <c r="Q1100" t="s">
        <v>68</v>
      </c>
      <c r="R1100" t="s">
        <v>31</v>
      </c>
      <c r="S1100">
        <v>5</v>
      </c>
      <c r="T1100">
        <v>6</v>
      </c>
      <c r="U1100" t="s">
        <v>56</v>
      </c>
      <c r="V1100" t="s">
        <v>33</v>
      </c>
    </row>
    <row r="1101" spans="1:23" x14ac:dyDescent="0.25">
      <c r="A1101" t="s">
        <v>1688</v>
      </c>
      <c r="B1101" s="1">
        <v>45882</v>
      </c>
      <c r="C1101" t="s">
        <v>470</v>
      </c>
      <c r="D1101" t="s">
        <v>71</v>
      </c>
      <c r="E1101" t="s">
        <v>46</v>
      </c>
      <c r="F1101" t="s">
        <v>27</v>
      </c>
      <c r="G1101" t="s">
        <v>113</v>
      </c>
      <c r="H1101">
        <v>1</v>
      </c>
      <c r="I1101" s="21">
        <v>8033</v>
      </c>
      <c r="J1101">
        <v>20</v>
      </c>
      <c r="K1101" s="21">
        <v>1606.6</v>
      </c>
      <c r="L1101" s="21">
        <v>6426.4</v>
      </c>
      <c r="M1101" s="21">
        <v>3888.73</v>
      </c>
      <c r="N1101" s="21">
        <v>2537.67</v>
      </c>
      <c r="O1101" t="s">
        <v>29</v>
      </c>
      <c r="P1101" s="21">
        <v>950.15</v>
      </c>
      <c r="Q1101" t="s">
        <v>40</v>
      </c>
      <c r="R1101" t="s">
        <v>31</v>
      </c>
      <c r="S1101">
        <v>5</v>
      </c>
      <c r="T1101">
        <v>2</v>
      </c>
      <c r="U1101" t="s">
        <v>32</v>
      </c>
      <c r="V1101" t="s">
        <v>42</v>
      </c>
    </row>
    <row r="1102" spans="1:23" x14ac:dyDescent="0.25">
      <c r="A1102" t="s">
        <v>1689</v>
      </c>
      <c r="B1102" s="1">
        <v>46015</v>
      </c>
      <c r="C1102" t="s">
        <v>1063</v>
      </c>
      <c r="D1102" t="s">
        <v>67</v>
      </c>
      <c r="E1102" t="s">
        <v>46</v>
      </c>
      <c r="F1102" t="s">
        <v>86</v>
      </c>
      <c r="G1102" t="s">
        <v>127</v>
      </c>
      <c r="H1102">
        <v>1</v>
      </c>
      <c r="I1102" s="21">
        <v>64333</v>
      </c>
      <c r="J1102">
        <v>0</v>
      </c>
      <c r="K1102" s="21">
        <v>0</v>
      </c>
      <c r="L1102" s="21">
        <v>64333</v>
      </c>
      <c r="M1102" s="21">
        <v>48668.22</v>
      </c>
      <c r="N1102" s="21">
        <v>15664.78</v>
      </c>
      <c r="O1102" t="s">
        <v>49</v>
      </c>
      <c r="P1102" s="21">
        <v>494.81</v>
      </c>
      <c r="Q1102" t="s">
        <v>73</v>
      </c>
      <c r="R1102" t="s">
        <v>41</v>
      </c>
      <c r="S1102">
        <v>2</v>
      </c>
      <c r="T1102">
        <v>3</v>
      </c>
      <c r="U1102" t="s">
        <v>56</v>
      </c>
      <c r="V1102" t="s">
        <v>33</v>
      </c>
      <c r="W1102">
        <v>5</v>
      </c>
    </row>
    <row r="1103" spans="1:23" x14ac:dyDescent="0.25">
      <c r="A1103" t="s">
        <v>1690</v>
      </c>
      <c r="B1103" s="1">
        <v>45906</v>
      </c>
      <c r="C1103" t="s">
        <v>993</v>
      </c>
      <c r="D1103" t="s">
        <v>45</v>
      </c>
      <c r="E1103" t="s">
        <v>26</v>
      </c>
      <c r="F1103" t="s">
        <v>53</v>
      </c>
      <c r="G1103" t="s">
        <v>54</v>
      </c>
      <c r="H1103">
        <v>2</v>
      </c>
      <c r="I1103" s="21">
        <v>81515</v>
      </c>
      <c r="J1103">
        <v>10</v>
      </c>
      <c r="K1103" s="21">
        <v>16303</v>
      </c>
      <c r="L1103" s="21">
        <v>146727</v>
      </c>
      <c r="M1103" s="21">
        <v>102851.3</v>
      </c>
      <c r="N1103" s="21">
        <v>43875.7</v>
      </c>
      <c r="O1103" t="s">
        <v>60</v>
      </c>
      <c r="P1103" s="21">
        <v>373.12</v>
      </c>
      <c r="Q1103" t="s">
        <v>40</v>
      </c>
      <c r="R1103" t="s">
        <v>41</v>
      </c>
      <c r="S1103">
        <v>2</v>
      </c>
      <c r="T1103">
        <v>3</v>
      </c>
      <c r="U1103" t="s">
        <v>32</v>
      </c>
      <c r="V1103" t="s">
        <v>50</v>
      </c>
      <c r="W1103">
        <v>3</v>
      </c>
    </row>
    <row r="1104" spans="1:23" x14ac:dyDescent="0.25">
      <c r="A1104" t="s">
        <v>1691</v>
      </c>
      <c r="B1104" s="1">
        <v>45720</v>
      </c>
      <c r="C1104" t="s">
        <v>341</v>
      </c>
      <c r="D1104" t="s">
        <v>63</v>
      </c>
      <c r="E1104" t="s">
        <v>46</v>
      </c>
      <c r="F1104" t="s">
        <v>47</v>
      </c>
      <c r="G1104" t="s">
        <v>64</v>
      </c>
      <c r="H1104">
        <v>1</v>
      </c>
      <c r="I1104" s="21">
        <v>37037</v>
      </c>
      <c r="J1104">
        <v>5</v>
      </c>
      <c r="K1104" s="21">
        <v>1851.85</v>
      </c>
      <c r="L1104" s="21">
        <v>35185.15</v>
      </c>
      <c r="M1104" s="21">
        <v>23139.17</v>
      </c>
      <c r="N1104" s="21">
        <v>12045.98</v>
      </c>
      <c r="O1104" t="s">
        <v>55</v>
      </c>
      <c r="P1104" s="21">
        <v>873.82</v>
      </c>
      <c r="Q1104" t="s">
        <v>40</v>
      </c>
      <c r="R1104" t="s">
        <v>31</v>
      </c>
      <c r="S1104">
        <v>5</v>
      </c>
      <c r="T1104">
        <v>3</v>
      </c>
      <c r="U1104" t="s">
        <v>32</v>
      </c>
      <c r="V1104" t="s">
        <v>42</v>
      </c>
    </row>
    <row r="1105" spans="1:23" x14ac:dyDescent="0.25">
      <c r="A1105" t="s">
        <v>1692</v>
      </c>
      <c r="B1105" s="1">
        <v>45672</v>
      </c>
      <c r="C1105" t="s">
        <v>135</v>
      </c>
      <c r="D1105" t="s">
        <v>63</v>
      </c>
      <c r="E1105" t="s">
        <v>46</v>
      </c>
      <c r="F1105" t="s">
        <v>37</v>
      </c>
      <c r="G1105" t="s">
        <v>224</v>
      </c>
      <c r="H1105">
        <v>2</v>
      </c>
      <c r="I1105" s="21">
        <v>29853</v>
      </c>
      <c r="J1105">
        <v>0</v>
      </c>
      <c r="K1105" s="21">
        <v>0</v>
      </c>
      <c r="L1105" s="21">
        <v>59706</v>
      </c>
      <c r="M1105" s="21">
        <v>38104.370000000003</v>
      </c>
      <c r="N1105" s="21">
        <v>21601.63</v>
      </c>
      <c r="O1105" t="s">
        <v>39</v>
      </c>
      <c r="P1105" s="21">
        <v>2241.5500000000002</v>
      </c>
      <c r="Q1105" t="s">
        <v>83</v>
      </c>
      <c r="R1105" t="s">
        <v>31</v>
      </c>
      <c r="S1105">
        <v>5</v>
      </c>
      <c r="T1105">
        <v>4</v>
      </c>
      <c r="U1105" t="s">
        <v>32</v>
      </c>
      <c r="V1105" t="s">
        <v>33</v>
      </c>
      <c r="W1105">
        <v>5</v>
      </c>
    </row>
    <row r="1106" spans="1:23" x14ac:dyDescent="0.25">
      <c r="A1106" t="s">
        <v>1693</v>
      </c>
      <c r="B1106" s="1">
        <v>45980</v>
      </c>
      <c r="C1106" t="s">
        <v>1300</v>
      </c>
      <c r="D1106" t="s">
        <v>67</v>
      </c>
      <c r="E1106" t="s">
        <v>46</v>
      </c>
      <c r="F1106" t="s">
        <v>47</v>
      </c>
      <c r="G1106" t="s">
        <v>105</v>
      </c>
      <c r="H1106">
        <v>1</v>
      </c>
      <c r="I1106" s="21">
        <v>11011</v>
      </c>
      <c r="J1106">
        <v>10</v>
      </c>
      <c r="K1106" s="21">
        <v>1101.0999999999999</v>
      </c>
      <c r="L1106" s="21">
        <v>9909.9</v>
      </c>
      <c r="M1106" s="21">
        <v>6880.97</v>
      </c>
      <c r="N1106" s="21">
        <v>3028.93</v>
      </c>
      <c r="O1106" t="s">
        <v>55</v>
      </c>
      <c r="P1106" s="21">
        <v>440.06</v>
      </c>
      <c r="Q1106" t="s">
        <v>68</v>
      </c>
      <c r="R1106" t="s">
        <v>41</v>
      </c>
      <c r="S1106">
        <v>2</v>
      </c>
      <c r="T1106">
        <v>4</v>
      </c>
      <c r="U1106" t="s">
        <v>56</v>
      </c>
      <c r="V1106" t="s">
        <v>33</v>
      </c>
      <c r="W1106">
        <v>5</v>
      </c>
    </row>
    <row r="1107" spans="1:23" x14ac:dyDescent="0.25">
      <c r="A1107" t="s">
        <v>1694</v>
      </c>
      <c r="B1107" s="1">
        <v>45969</v>
      </c>
      <c r="C1107" t="s">
        <v>1695</v>
      </c>
      <c r="D1107" t="s">
        <v>45</v>
      </c>
      <c r="E1107" t="s">
        <v>46</v>
      </c>
      <c r="F1107" t="s">
        <v>53</v>
      </c>
      <c r="G1107" t="s">
        <v>82</v>
      </c>
      <c r="H1107">
        <v>2</v>
      </c>
      <c r="I1107" s="21">
        <v>14393</v>
      </c>
      <c r="J1107">
        <v>25</v>
      </c>
      <c r="K1107" s="21">
        <v>7196.5</v>
      </c>
      <c r="L1107" s="21">
        <v>21589.5</v>
      </c>
      <c r="M1107" s="21">
        <v>13255.51</v>
      </c>
      <c r="N1107" s="21">
        <v>8333.99</v>
      </c>
      <c r="O1107" t="s">
        <v>29</v>
      </c>
      <c r="P1107" s="21">
        <v>2116.84</v>
      </c>
      <c r="Q1107" t="s">
        <v>83</v>
      </c>
      <c r="R1107" t="s">
        <v>41</v>
      </c>
      <c r="S1107">
        <v>2</v>
      </c>
      <c r="T1107">
        <v>2</v>
      </c>
      <c r="U1107" t="s">
        <v>32</v>
      </c>
      <c r="V1107" t="s">
        <v>42</v>
      </c>
    </row>
    <row r="1108" spans="1:23" x14ac:dyDescent="0.25">
      <c r="A1108" t="s">
        <v>1696</v>
      </c>
      <c r="B1108" s="1">
        <v>45780</v>
      </c>
      <c r="C1108" t="s">
        <v>217</v>
      </c>
      <c r="D1108" t="s">
        <v>124</v>
      </c>
      <c r="E1108" t="s">
        <v>46</v>
      </c>
      <c r="F1108" t="s">
        <v>37</v>
      </c>
      <c r="G1108" t="s">
        <v>313</v>
      </c>
      <c r="H1108">
        <v>3</v>
      </c>
      <c r="I1108" s="21">
        <v>4041</v>
      </c>
      <c r="J1108">
        <v>5</v>
      </c>
      <c r="K1108" s="21">
        <v>606.15</v>
      </c>
      <c r="L1108" s="21">
        <v>11516.85</v>
      </c>
      <c r="M1108" s="21">
        <v>6477.07</v>
      </c>
      <c r="N1108" s="21">
        <v>5039.78</v>
      </c>
      <c r="O1108" t="s">
        <v>55</v>
      </c>
      <c r="P1108" s="21">
        <v>1761.3</v>
      </c>
      <c r="Q1108" t="s">
        <v>83</v>
      </c>
      <c r="R1108" t="s">
        <v>41</v>
      </c>
      <c r="S1108">
        <v>2</v>
      </c>
      <c r="T1108">
        <v>3</v>
      </c>
      <c r="U1108" t="s">
        <v>56</v>
      </c>
      <c r="V1108" t="s">
        <v>33</v>
      </c>
      <c r="W1108">
        <v>5</v>
      </c>
    </row>
    <row r="1109" spans="1:23" x14ac:dyDescent="0.25">
      <c r="A1109" t="s">
        <v>1697</v>
      </c>
      <c r="B1109" s="1">
        <v>46021</v>
      </c>
      <c r="C1109" t="s">
        <v>1360</v>
      </c>
      <c r="D1109" t="s">
        <v>124</v>
      </c>
      <c r="E1109" t="s">
        <v>36</v>
      </c>
      <c r="F1109" t="s">
        <v>37</v>
      </c>
      <c r="G1109" t="s">
        <v>38</v>
      </c>
      <c r="H1109">
        <v>3</v>
      </c>
      <c r="I1109" s="21">
        <v>21108</v>
      </c>
      <c r="J1109">
        <v>5</v>
      </c>
      <c r="K1109" s="21">
        <v>3166.2</v>
      </c>
      <c r="L1109" s="21">
        <v>60157.8</v>
      </c>
      <c r="M1109" s="21">
        <v>46494.54</v>
      </c>
      <c r="N1109" s="21">
        <v>13663.26</v>
      </c>
      <c r="O1109" t="s">
        <v>55</v>
      </c>
      <c r="P1109" s="21">
        <v>1232.3</v>
      </c>
      <c r="Q1109" t="s">
        <v>83</v>
      </c>
      <c r="R1109" t="s">
        <v>41</v>
      </c>
      <c r="S1109">
        <v>2</v>
      </c>
      <c r="T1109">
        <v>3</v>
      </c>
      <c r="U1109" t="s">
        <v>32</v>
      </c>
      <c r="V1109" t="s">
        <v>42</v>
      </c>
    </row>
    <row r="1110" spans="1:23" x14ac:dyDescent="0.25">
      <c r="A1110" t="s">
        <v>1698</v>
      </c>
      <c r="B1110" s="1">
        <v>45739</v>
      </c>
      <c r="C1110" t="s">
        <v>453</v>
      </c>
      <c r="D1110" t="s">
        <v>79</v>
      </c>
      <c r="E1110" t="s">
        <v>26</v>
      </c>
      <c r="F1110" t="s">
        <v>37</v>
      </c>
      <c r="G1110" t="s">
        <v>100</v>
      </c>
      <c r="H1110">
        <v>1</v>
      </c>
      <c r="I1110" s="21">
        <v>17372</v>
      </c>
      <c r="J1110">
        <v>15</v>
      </c>
      <c r="K1110" s="21">
        <v>2605.8000000000002</v>
      </c>
      <c r="L1110" s="21">
        <v>14766.2</v>
      </c>
      <c r="M1110" s="21">
        <v>9605.9699999999993</v>
      </c>
      <c r="N1110" s="21">
        <v>5160.2299999999996</v>
      </c>
      <c r="O1110" t="s">
        <v>29</v>
      </c>
      <c r="P1110" s="21">
        <v>824.18</v>
      </c>
      <c r="Q1110" t="s">
        <v>73</v>
      </c>
      <c r="R1110" t="s">
        <v>31</v>
      </c>
      <c r="S1110">
        <v>5</v>
      </c>
      <c r="T1110">
        <v>0</v>
      </c>
      <c r="U1110" t="s">
        <v>32</v>
      </c>
      <c r="V1110" t="s">
        <v>50</v>
      </c>
      <c r="W1110">
        <v>2</v>
      </c>
    </row>
    <row r="1111" spans="1:23" x14ac:dyDescent="0.25">
      <c r="A1111" t="s">
        <v>1699</v>
      </c>
      <c r="B1111" s="1">
        <v>45817</v>
      </c>
      <c r="C1111" t="s">
        <v>58</v>
      </c>
      <c r="D1111" t="s">
        <v>45</v>
      </c>
      <c r="E1111" t="s">
        <v>36</v>
      </c>
      <c r="F1111" t="s">
        <v>86</v>
      </c>
      <c r="G1111" t="s">
        <v>94</v>
      </c>
      <c r="H1111">
        <v>1</v>
      </c>
      <c r="I1111" s="21">
        <v>50950</v>
      </c>
      <c r="J1111">
        <v>10</v>
      </c>
      <c r="K1111" s="21">
        <v>5095</v>
      </c>
      <c r="L1111" s="21">
        <v>45855</v>
      </c>
      <c r="M1111" s="21">
        <v>27261.040000000001</v>
      </c>
      <c r="N1111" s="21">
        <v>18593.96</v>
      </c>
      <c r="O1111" t="s">
        <v>29</v>
      </c>
      <c r="P1111" s="21">
        <v>2011.01</v>
      </c>
      <c r="Q1111" t="s">
        <v>68</v>
      </c>
      <c r="R1111" t="s">
        <v>41</v>
      </c>
      <c r="S1111">
        <v>2</v>
      </c>
      <c r="T1111">
        <v>5</v>
      </c>
      <c r="U1111" t="s">
        <v>56</v>
      </c>
      <c r="V1111" t="s">
        <v>33</v>
      </c>
      <c r="W1111">
        <v>2</v>
      </c>
    </row>
    <row r="1112" spans="1:23" x14ac:dyDescent="0.25">
      <c r="A1112" t="s">
        <v>1700</v>
      </c>
      <c r="B1112" s="1">
        <v>45940</v>
      </c>
      <c r="C1112" t="s">
        <v>390</v>
      </c>
      <c r="D1112" t="s">
        <v>45</v>
      </c>
      <c r="E1112" t="s">
        <v>46</v>
      </c>
      <c r="F1112" t="s">
        <v>53</v>
      </c>
      <c r="G1112" t="s">
        <v>59</v>
      </c>
      <c r="H1112">
        <v>1</v>
      </c>
      <c r="I1112" s="21">
        <v>50343</v>
      </c>
      <c r="J1112">
        <v>0</v>
      </c>
      <c r="K1112" s="21">
        <v>0</v>
      </c>
      <c r="L1112" s="21">
        <v>50343</v>
      </c>
      <c r="M1112" s="21">
        <v>35966.39</v>
      </c>
      <c r="N1112" s="21">
        <v>14376.61</v>
      </c>
      <c r="O1112" t="s">
        <v>29</v>
      </c>
      <c r="P1112" s="21">
        <v>2343.3000000000002</v>
      </c>
      <c r="Q1112" t="s">
        <v>73</v>
      </c>
      <c r="R1112" t="s">
        <v>31</v>
      </c>
      <c r="S1112">
        <v>5</v>
      </c>
      <c r="T1112">
        <v>4</v>
      </c>
      <c r="U1112" t="s">
        <v>32</v>
      </c>
      <c r="V1112" t="s">
        <v>33</v>
      </c>
      <c r="W1112">
        <v>2</v>
      </c>
    </row>
    <row r="1113" spans="1:23" x14ac:dyDescent="0.25">
      <c r="A1113" t="s">
        <v>1701</v>
      </c>
      <c r="B1113" s="1">
        <v>45665</v>
      </c>
      <c r="C1113" t="s">
        <v>570</v>
      </c>
      <c r="D1113" t="s">
        <v>67</v>
      </c>
      <c r="E1113" t="s">
        <v>26</v>
      </c>
      <c r="F1113" t="s">
        <v>27</v>
      </c>
      <c r="G1113" t="s">
        <v>164</v>
      </c>
      <c r="H1113">
        <v>1</v>
      </c>
      <c r="I1113" s="21">
        <v>15701</v>
      </c>
      <c r="J1113">
        <v>15</v>
      </c>
      <c r="K1113" s="21">
        <v>2355.15</v>
      </c>
      <c r="L1113" s="21">
        <v>13345.85</v>
      </c>
      <c r="M1113" s="21">
        <v>8515.85</v>
      </c>
      <c r="N1113" s="21">
        <v>4830</v>
      </c>
      <c r="O1113" t="s">
        <v>39</v>
      </c>
      <c r="P1113" s="21">
        <v>718.02</v>
      </c>
      <c r="Q1113" t="s">
        <v>83</v>
      </c>
      <c r="R1113" t="s">
        <v>31</v>
      </c>
      <c r="S1113">
        <v>5</v>
      </c>
      <c r="T1113">
        <v>5</v>
      </c>
      <c r="U1113" t="s">
        <v>32</v>
      </c>
      <c r="V1113" t="s">
        <v>33</v>
      </c>
      <c r="W1113">
        <v>5</v>
      </c>
    </row>
    <row r="1114" spans="1:23" x14ac:dyDescent="0.25">
      <c r="A1114" t="s">
        <v>1702</v>
      </c>
      <c r="B1114" s="1">
        <v>45940</v>
      </c>
      <c r="C1114" t="s">
        <v>1703</v>
      </c>
      <c r="D1114" t="s">
        <v>63</v>
      </c>
      <c r="E1114" t="s">
        <v>26</v>
      </c>
      <c r="F1114" t="s">
        <v>27</v>
      </c>
      <c r="G1114" t="s">
        <v>164</v>
      </c>
      <c r="H1114">
        <v>1</v>
      </c>
      <c r="I1114" s="21">
        <v>5346</v>
      </c>
      <c r="J1114">
        <v>5</v>
      </c>
      <c r="K1114" s="21">
        <v>267.3</v>
      </c>
      <c r="L1114" s="21">
        <v>5078.7</v>
      </c>
      <c r="M1114" s="21">
        <v>3334.09</v>
      </c>
      <c r="N1114" s="21">
        <v>1744.61</v>
      </c>
      <c r="O1114" t="s">
        <v>39</v>
      </c>
      <c r="P1114" s="21">
        <v>356.38</v>
      </c>
      <c r="Q1114" t="s">
        <v>30</v>
      </c>
      <c r="R1114" t="s">
        <v>31</v>
      </c>
      <c r="S1114">
        <v>5</v>
      </c>
      <c r="T1114">
        <v>0</v>
      </c>
      <c r="U1114" t="s">
        <v>32</v>
      </c>
      <c r="V1114" t="s">
        <v>50</v>
      </c>
      <c r="W1114">
        <v>5</v>
      </c>
    </row>
    <row r="1115" spans="1:23" x14ac:dyDescent="0.25">
      <c r="A1115" t="s">
        <v>1704</v>
      </c>
      <c r="B1115" s="1">
        <v>45866</v>
      </c>
      <c r="C1115" t="s">
        <v>543</v>
      </c>
      <c r="D1115" t="s">
        <v>67</v>
      </c>
      <c r="E1115" t="s">
        <v>46</v>
      </c>
      <c r="F1115" t="s">
        <v>47</v>
      </c>
      <c r="G1115" t="s">
        <v>146</v>
      </c>
      <c r="H1115">
        <v>1</v>
      </c>
      <c r="I1115" s="21">
        <v>42754</v>
      </c>
      <c r="J1115">
        <v>25</v>
      </c>
      <c r="K1115" s="21">
        <v>10688.5</v>
      </c>
      <c r="L1115" s="21">
        <v>32065.5</v>
      </c>
      <c r="M1115" s="21">
        <v>20415.009999999998</v>
      </c>
      <c r="N1115" s="21">
        <v>11650.49</v>
      </c>
      <c r="O1115" t="s">
        <v>91</v>
      </c>
      <c r="P1115" s="21">
        <v>593.23</v>
      </c>
      <c r="Q1115" t="s">
        <v>40</v>
      </c>
      <c r="R1115" t="s">
        <v>41</v>
      </c>
      <c r="S1115">
        <v>2</v>
      </c>
      <c r="T1115">
        <v>4</v>
      </c>
      <c r="U1115" t="s">
        <v>32</v>
      </c>
      <c r="V1115" t="s">
        <v>50</v>
      </c>
      <c r="W1115">
        <v>3</v>
      </c>
    </row>
    <row r="1116" spans="1:23" x14ac:dyDescent="0.25">
      <c r="A1116" t="s">
        <v>1705</v>
      </c>
      <c r="B1116" s="1">
        <v>45705</v>
      </c>
      <c r="C1116" t="s">
        <v>197</v>
      </c>
      <c r="D1116" t="s">
        <v>154</v>
      </c>
      <c r="E1116" t="s">
        <v>36</v>
      </c>
      <c r="F1116" t="s">
        <v>86</v>
      </c>
      <c r="G1116" t="s">
        <v>87</v>
      </c>
      <c r="H1116">
        <v>1</v>
      </c>
      <c r="I1116" s="21">
        <v>48951</v>
      </c>
      <c r="J1116">
        <v>0</v>
      </c>
      <c r="K1116" s="21">
        <v>0</v>
      </c>
      <c r="L1116" s="21">
        <v>48951</v>
      </c>
      <c r="M1116" s="21">
        <v>32852.449999999997</v>
      </c>
      <c r="N1116" s="21">
        <v>16098.55</v>
      </c>
      <c r="O1116" t="s">
        <v>49</v>
      </c>
      <c r="P1116" s="21">
        <v>288.08999999999997</v>
      </c>
      <c r="Q1116" t="s">
        <v>83</v>
      </c>
      <c r="R1116" t="s">
        <v>41</v>
      </c>
      <c r="S1116">
        <v>2</v>
      </c>
      <c r="T1116">
        <v>2</v>
      </c>
      <c r="U1116" t="s">
        <v>32</v>
      </c>
      <c r="V1116" t="s">
        <v>33</v>
      </c>
      <c r="W1116">
        <v>1</v>
      </c>
    </row>
    <row r="1117" spans="1:23" x14ac:dyDescent="0.25">
      <c r="A1117" t="s">
        <v>1706</v>
      </c>
      <c r="B1117" s="1">
        <v>45773</v>
      </c>
      <c r="C1117" t="s">
        <v>819</v>
      </c>
      <c r="D1117" t="s">
        <v>63</v>
      </c>
      <c r="E1117" t="s">
        <v>26</v>
      </c>
      <c r="F1117" t="s">
        <v>86</v>
      </c>
      <c r="G1117" t="s">
        <v>94</v>
      </c>
      <c r="H1117">
        <v>1</v>
      </c>
      <c r="I1117" s="21">
        <v>34157</v>
      </c>
      <c r="J1117">
        <v>10</v>
      </c>
      <c r="K1117" s="21">
        <v>3415.7</v>
      </c>
      <c r="L1117" s="21">
        <v>30741.3</v>
      </c>
      <c r="M1117" s="21">
        <v>20546.169999999998</v>
      </c>
      <c r="N1117" s="21">
        <v>10195.129999999999</v>
      </c>
      <c r="O1117" t="s">
        <v>60</v>
      </c>
      <c r="P1117" s="21">
        <v>2116.5100000000002</v>
      </c>
      <c r="Q1117" t="s">
        <v>30</v>
      </c>
      <c r="R1117" t="s">
        <v>41</v>
      </c>
      <c r="S1117">
        <v>2</v>
      </c>
      <c r="T1117">
        <v>0</v>
      </c>
      <c r="U1117" t="s">
        <v>32</v>
      </c>
      <c r="V1117" t="s">
        <v>42</v>
      </c>
    </row>
    <row r="1118" spans="1:23" x14ac:dyDescent="0.25">
      <c r="A1118" t="s">
        <v>1707</v>
      </c>
      <c r="B1118" s="1">
        <v>45716</v>
      </c>
      <c r="C1118" t="s">
        <v>898</v>
      </c>
      <c r="D1118" t="s">
        <v>63</v>
      </c>
      <c r="E1118" t="s">
        <v>36</v>
      </c>
      <c r="F1118" t="s">
        <v>53</v>
      </c>
      <c r="G1118" t="s">
        <v>59</v>
      </c>
      <c r="H1118">
        <v>2</v>
      </c>
      <c r="I1118" s="21">
        <v>35140</v>
      </c>
      <c r="J1118">
        <v>0</v>
      </c>
      <c r="K1118" s="21">
        <v>0</v>
      </c>
      <c r="L1118" s="21">
        <v>70280</v>
      </c>
      <c r="M1118" s="21">
        <v>44979.9</v>
      </c>
      <c r="N1118" s="21">
        <v>25300.1</v>
      </c>
      <c r="O1118" t="s">
        <v>49</v>
      </c>
      <c r="P1118" s="21">
        <v>137.86000000000001</v>
      </c>
      <c r="Q1118" t="s">
        <v>40</v>
      </c>
      <c r="R1118" t="s">
        <v>31</v>
      </c>
      <c r="S1118">
        <v>5</v>
      </c>
      <c r="T1118">
        <v>9</v>
      </c>
      <c r="U1118" t="s">
        <v>56</v>
      </c>
      <c r="V1118" t="s">
        <v>33</v>
      </c>
      <c r="W1118">
        <v>2</v>
      </c>
    </row>
    <row r="1119" spans="1:23" x14ac:dyDescent="0.25">
      <c r="A1119" t="s">
        <v>1708</v>
      </c>
      <c r="B1119" s="1">
        <v>45894</v>
      </c>
      <c r="C1119" t="s">
        <v>622</v>
      </c>
      <c r="D1119" t="s">
        <v>79</v>
      </c>
      <c r="E1119" t="s">
        <v>46</v>
      </c>
      <c r="F1119" t="s">
        <v>47</v>
      </c>
      <c r="G1119" t="s">
        <v>105</v>
      </c>
      <c r="H1119">
        <v>2</v>
      </c>
      <c r="I1119" s="21">
        <v>46378</v>
      </c>
      <c r="J1119">
        <v>25</v>
      </c>
      <c r="K1119" s="21">
        <v>23189</v>
      </c>
      <c r="L1119" s="21">
        <v>69567</v>
      </c>
      <c r="M1119" s="21">
        <v>47173.19</v>
      </c>
      <c r="N1119" s="21">
        <v>22393.81</v>
      </c>
      <c r="O1119" t="s">
        <v>49</v>
      </c>
      <c r="P1119" s="21">
        <v>461.12</v>
      </c>
      <c r="Q1119" t="s">
        <v>83</v>
      </c>
      <c r="R1119" t="s">
        <v>31</v>
      </c>
      <c r="S1119">
        <v>5</v>
      </c>
      <c r="T1119">
        <v>6</v>
      </c>
      <c r="U1119" t="s">
        <v>32</v>
      </c>
      <c r="V1119" t="s">
        <v>42</v>
      </c>
    </row>
    <row r="1120" spans="1:23" x14ac:dyDescent="0.25">
      <c r="A1120" t="s">
        <v>1709</v>
      </c>
      <c r="B1120" s="1">
        <v>45718</v>
      </c>
      <c r="C1120" t="s">
        <v>1202</v>
      </c>
      <c r="D1120" t="s">
        <v>97</v>
      </c>
      <c r="E1120" t="s">
        <v>46</v>
      </c>
      <c r="F1120" t="s">
        <v>86</v>
      </c>
      <c r="G1120" t="s">
        <v>87</v>
      </c>
      <c r="H1120">
        <v>1</v>
      </c>
      <c r="I1120" s="21">
        <v>30111</v>
      </c>
      <c r="J1120">
        <v>10</v>
      </c>
      <c r="K1120" s="21">
        <v>3011.1</v>
      </c>
      <c r="L1120" s="21">
        <v>27099.9</v>
      </c>
      <c r="M1120" s="21">
        <v>16233.26</v>
      </c>
      <c r="N1120" s="21">
        <v>10866.64</v>
      </c>
      <c r="O1120" t="s">
        <v>60</v>
      </c>
      <c r="P1120" s="21">
        <v>951.44</v>
      </c>
      <c r="Q1120" t="s">
        <v>68</v>
      </c>
      <c r="R1120" t="s">
        <v>41</v>
      </c>
      <c r="S1120">
        <v>2</v>
      </c>
      <c r="T1120">
        <v>2</v>
      </c>
      <c r="U1120" t="s">
        <v>32</v>
      </c>
      <c r="V1120" t="s">
        <v>33</v>
      </c>
      <c r="W1120">
        <v>4</v>
      </c>
    </row>
    <row r="1121" spans="1:23" x14ac:dyDescent="0.25">
      <c r="A1121" t="s">
        <v>1710</v>
      </c>
      <c r="B1121" s="1">
        <v>45989</v>
      </c>
      <c r="C1121" t="s">
        <v>480</v>
      </c>
      <c r="D1121" t="s">
        <v>97</v>
      </c>
      <c r="E1121" t="s">
        <v>46</v>
      </c>
      <c r="F1121" t="s">
        <v>86</v>
      </c>
      <c r="G1121" t="s">
        <v>87</v>
      </c>
      <c r="H1121">
        <v>2</v>
      </c>
      <c r="I1121" s="21">
        <v>61686</v>
      </c>
      <c r="J1121">
        <v>5</v>
      </c>
      <c r="K1121" s="21">
        <v>6168.6</v>
      </c>
      <c r="L1121" s="21">
        <v>117203.4</v>
      </c>
      <c r="M1121" s="21">
        <v>73719.19</v>
      </c>
      <c r="N1121" s="21">
        <v>43484.21</v>
      </c>
      <c r="O1121" t="s">
        <v>55</v>
      </c>
      <c r="P1121" s="21">
        <v>1891.01</v>
      </c>
      <c r="Q1121" t="s">
        <v>30</v>
      </c>
      <c r="R1121" t="s">
        <v>41</v>
      </c>
      <c r="S1121">
        <v>2</v>
      </c>
      <c r="T1121">
        <v>4</v>
      </c>
      <c r="U1121" t="s">
        <v>56</v>
      </c>
      <c r="V1121" t="s">
        <v>33</v>
      </c>
      <c r="W1121">
        <v>1</v>
      </c>
    </row>
    <row r="1122" spans="1:23" x14ac:dyDescent="0.25">
      <c r="A1122" t="s">
        <v>1711</v>
      </c>
      <c r="B1122" s="1">
        <v>45736</v>
      </c>
      <c r="C1122" t="s">
        <v>1005</v>
      </c>
      <c r="D1122" t="s">
        <v>45</v>
      </c>
      <c r="E1122" t="s">
        <v>36</v>
      </c>
      <c r="F1122" t="s">
        <v>27</v>
      </c>
      <c r="G1122" t="s">
        <v>76</v>
      </c>
      <c r="H1122">
        <v>1</v>
      </c>
      <c r="I1122" s="21">
        <v>22756</v>
      </c>
      <c r="J1122">
        <v>15</v>
      </c>
      <c r="K1122" s="21">
        <v>3413.4</v>
      </c>
      <c r="L1122" s="21">
        <v>19342.599999999999</v>
      </c>
      <c r="M1122" s="21">
        <v>13923.93</v>
      </c>
      <c r="N1122" s="21">
        <v>5418.67</v>
      </c>
      <c r="O1122" t="s">
        <v>55</v>
      </c>
      <c r="P1122" s="21">
        <v>321.11</v>
      </c>
      <c r="Q1122" t="s">
        <v>40</v>
      </c>
      <c r="R1122" t="s">
        <v>41</v>
      </c>
      <c r="S1122">
        <v>2</v>
      </c>
      <c r="T1122">
        <v>4</v>
      </c>
      <c r="U1122" t="s">
        <v>56</v>
      </c>
      <c r="V1122" t="s">
        <v>33</v>
      </c>
      <c r="W1122">
        <v>3</v>
      </c>
    </row>
    <row r="1123" spans="1:23" x14ac:dyDescent="0.25">
      <c r="A1123" t="s">
        <v>1712</v>
      </c>
      <c r="B1123" s="1">
        <v>45913</v>
      </c>
      <c r="C1123" t="s">
        <v>1158</v>
      </c>
      <c r="D1123" t="s">
        <v>90</v>
      </c>
      <c r="E1123" t="s">
        <v>46</v>
      </c>
      <c r="F1123" t="s">
        <v>37</v>
      </c>
      <c r="G1123" t="s">
        <v>38</v>
      </c>
      <c r="H1123">
        <v>2</v>
      </c>
      <c r="I1123" s="21">
        <v>5111</v>
      </c>
      <c r="J1123">
        <v>25</v>
      </c>
      <c r="K1123" s="21">
        <v>2555.5</v>
      </c>
      <c r="L1123" s="21">
        <v>7666.5</v>
      </c>
      <c r="M1123" s="21">
        <v>6091.79</v>
      </c>
      <c r="N1123" s="21">
        <v>1574.71</v>
      </c>
      <c r="O1123" t="s">
        <v>55</v>
      </c>
      <c r="P1123" s="21">
        <v>1819.83</v>
      </c>
      <c r="Q1123" t="s">
        <v>40</v>
      </c>
      <c r="R1123" t="s">
        <v>41</v>
      </c>
      <c r="S1123">
        <v>2</v>
      </c>
      <c r="T1123">
        <v>1</v>
      </c>
      <c r="U1123" t="s">
        <v>32</v>
      </c>
      <c r="V1123" t="s">
        <v>50</v>
      </c>
      <c r="W1123">
        <v>1</v>
      </c>
    </row>
    <row r="1124" spans="1:23" x14ac:dyDescent="0.25">
      <c r="A1124" t="s">
        <v>1713</v>
      </c>
      <c r="B1124" s="1">
        <v>45807</v>
      </c>
      <c r="C1124" t="s">
        <v>1069</v>
      </c>
      <c r="D1124" t="s">
        <v>63</v>
      </c>
      <c r="E1124" t="s">
        <v>46</v>
      </c>
      <c r="F1124" t="s">
        <v>37</v>
      </c>
      <c r="G1124" t="s">
        <v>100</v>
      </c>
      <c r="H1124">
        <v>1</v>
      </c>
      <c r="I1124" s="21">
        <v>34003</v>
      </c>
      <c r="J1124">
        <v>10</v>
      </c>
      <c r="K1124" s="21">
        <v>3400.3</v>
      </c>
      <c r="L1124" s="21">
        <v>30602.7</v>
      </c>
      <c r="M1124" s="21">
        <v>20450.89</v>
      </c>
      <c r="N1124" s="21">
        <v>10151.81</v>
      </c>
      <c r="O1124" t="s">
        <v>39</v>
      </c>
      <c r="P1124" s="21">
        <v>1982.8</v>
      </c>
      <c r="Q1124" t="s">
        <v>30</v>
      </c>
      <c r="R1124" t="s">
        <v>41</v>
      </c>
      <c r="S1124">
        <v>2</v>
      </c>
      <c r="T1124">
        <v>6</v>
      </c>
      <c r="U1124" t="s">
        <v>32</v>
      </c>
      <c r="V1124" t="s">
        <v>42</v>
      </c>
    </row>
    <row r="1125" spans="1:23" x14ac:dyDescent="0.25">
      <c r="A1125" t="s">
        <v>1714</v>
      </c>
      <c r="B1125" s="1">
        <v>45918</v>
      </c>
      <c r="C1125" t="s">
        <v>540</v>
      </c>
      <c r="D1125" t="s">
        <v>97</v>
      </c>
      <c r="E1125" t="s">
        <v>36</v>
      </c>
      <c r="F1125" t="s">
        <v>86</v>
      </c>
      <c r="G1125" t="s">
        <v>110</v>
      </c>
      <c r="H1125">
        <v>2</v>
      </c>
      <c r="I1125" s="21">
        <v>12729</v>
      </c>
      <c r="J1125">
        <v>0</v>
      </c>
      <c r="K1125" s="21">
        <v>0</v>
      </c>
      <c r="L1125" s="21">
        <v>25458</v>
      </c>
      <c r="M1125" s="21">
        <v>17033.919999999998</v>
      </c>
      <c r="N1125" s="21">
        <v>8424.08</v>
      </c>
      <c r="O1125" t="s">
        <v>91</v>
      </c>
      <c r="P1125" s="21">
        <v>1439.27</v>
      </c>
      <c r="Q1125" t="s">
        <v>83</v>
      </c>
      <c r="R1125" t="s">
        <v>41</v>
      </c>
      <c r="S1125">
        <v>2</v>
      </c>
      <c r="T1125">
        <v>5</v>
      </c>
      <c r="U1125" t="s">
        <v>32</v>
      </c>
      <c r="V1125" t="s">
        <v>42</v>
      </c>
    </row>
    <row r="1126" spans="1:23" x14ac:dyDescent="0.25">
      <c r="A1126" t="s">
        <v>1715</v>
      </c>
      <c r="B1126" s="1">
        <v>46019</v>
      </c>
      <c r="C1126" t="s">
        <v>640</v>
      </c>
      <c r="D1126" t="s">
        <v>97</v>
      </c>
      <c r="E1126" t="s">
        <v>26</v>
      </c>
      <c r="F1126" t="s">
        <v>47</v>
      </c>
      <c r="G1126" t="s">
        <v>48</v>
      </c>
      <c r="H1126">
        <v>3</v>
      </c>
      <c r="I1126" s="21">
        <v>12370</v>
      </c>
      <c r="J1126">
        <v>25</v>
      </c>
      <c r="K1126" s="21">
        <v>9277.5</v>
      </c>
      <c r="L1126" s="21">
        <v>27832.5</v>
      </c>
      <c r="M1126" s="21">
        <v>17556.66</v>
      </c>
      <c r="N1126" s="21">
        <v>10275.84</v>
      </c>
      <c r="O1126" t="s">
        <v>91</v>
      </c>
      <c r="P1126" s="21">
        <v>427.43</v>
      </c>
      <c r="Q1126" t="s">
        <v>73</v>
      </c>
      <c r="R1126" t="s">
        <v>41</v>
      </c>
      <c r="S1126">
        <v>2</v>
      </c>
      <c r="T1126">
        <v>5</v>
      </c>
      <c r="U1126" t="s">
        <v>56</v>
      </c>
      <c r="V1126" t="s">
        <v>33</v>
      </c>
      <c r="W1126">
        <v>5</v>
      </c>
    </row>
    <row r="1127" spans="1:23" x14ac:dyDescent="0.25">
      <c r="A1127" t="s">
        <v>1716</v>
      </c>
      <c r="B1127" s="1">
        <v>45797</v>
      </c>
      <c r="C1127" t="s">
        <v>1634</v>
      </c>
      <c r="D1127" t="s">
        <v>154</v>
      </c>
      <c r="E1127" t="s">
        <v>36</v>
      </c>
      <c r="F1127" t="s">
        <v>47</v>
      </c>
      <c r="G1127" t="s">
        <v>105</v>
      </c>
      <c r="H1127">
        <v>4</v>
      </c>
      <c r="I1127" s="21">
        <v>12439</v>
      </c>
      <c r="J1127">
        <v>0</v>
      </c>
      <c r="K1127" s="21">
        <v>0</v>
      </c>
      <c r="L1127" s="21">
        <v>49756</v>
      </c>
      <c r="M1127" s="21">
        <v>30185.89</v>
      </c>
      <c r="N1127" s="21">
        <v>19570.11</v>
      </c>
      <c r="O1127" t="s">
        <v>29</v>
      </c>
      <c r="P1127" s="21">
        <v>1199.1600000000001</v>
      </c>
      <c r="Q1127" t="s">
        <v>40</v>
      </c>
      <c r="R1127" t="s">
        <v>41</v>
      </c>
      <c r="S1127">
        <v>2</v>
      </c>
      <c r="T1127">
        <v>6</v>
      </c>
      <c r="U1127" t="s">
        <v>32</v>
      </c>
      <c r="V1127" t="s">
        <v>42</v>
      </c>
    </row>
    <row r="1128" spans="1:23" x14ac:dyDescent="0.25">
      <c r="A1128" t="s">
        <v>1717</v>
      </c>
      <c r="B1128" s="1">
        <v>45870</v>
      </c>
      <c r="C1128" t="s">
        <v>239</v>
      </c>
      <c r="D1128" t="s">
        <v>124</v>
      </c>
      <c r="E1128" t="s">
        <v>36</v>
      </c>
      <c r="F1128" t="s">
        <v>53</v>
      </c>
      <c r="G1128" t="s">
        <v>151</v>
      </c>
      <c r="H1128">
        <v>1</v>
      </c>
      <c r="I1128" s="21">
        <v>79617</v>
      </c>
      <c r="J1128">
        <v>0</v>
      </c>
      <c r="K1128" s="21">
        <v>0</v>
      </c>
      <c r="L1128" s="21">
        <v>79617</v>
      </c>
      <c r="M1128" s="21">
        <v>59651.44</v>
      </c>
      <c r="N1128" s="21">
        <v>19965.560000000001</v>
      </c>
      <c r="O1128" t="s">
        <v>29</v>
      </c>
      <c r="P1128" s="21">
        <v>442.34</v>
      </c>
      <c r="Q1128" t="s">
        <v>30</v>
      </c>
      <c r="R1128" t="s">
        <v>31</v>
      </c>
      <c r="S1128">
        <v>5</v>
      </c>
      <c r="T1128">
        <v>6</v>
      </c>
      <c r="U1128" t="s">
        <v>32</v>
      </c>
      <c r="V1128" t="s">
        <v>42</v>
      </c>
    </row>
    <row r="1129" spans="1:23" x14ac:dyDescent="0.25">
      <c r="A1129" t="s">
        <v>1718</v>
      </c>
      <c r="B1129" s="1">
        <v>45905</v>
      </c>
      <c r="C1129" t="s">
        <v>121</v>
      </c>
      <c r="D1129" t="s">
        <v>25</v>
      </c>
      <c r="E1129" t="s">
        <v>26</v>
      </c>
      <c r="F1129" t="s">
        <v>37</v>
      </c>
      <c r="G1129" t="s">
        <v>224</v>
      </c>
      <c r="H1129">
        <v>1</v>
      </c>
      <c r="I1129" s="21">
        <v>28488</v>
      </c>
      <c r="J1129">
        <v>0</v>
      </c>
      <c r="K1129" s="21">
        <v>0</v>
      </c>
      <c r="L1129" s="21">
        <v>28488</v>
      </c>
      <c r="M1129" s="21">
        <v>20498.86</v>
      </c>
      <c r="N1129" s="21">
        <v>7989.14</v>
      </c>
      <c r="O1129" t="s">
        <v>91</v>
      </c>
      <c r="P1129" s="21">
        <v>1438.46</v>
      </c>
      <c r="Q1129" t="s">
        <v>83</v>
      </c>
      <c r="R1129" t="s">
        <v>41</v>
      </c>
      <c r="S1129">
        <v>2</v>
      </c>
      <c r="T1129">
        <v>5</v>
      </c>
      <c r="U1129" t="s">
        <v>32</v>
      </c>
      <c r="V1129" t="s">
        <v>50</v>
      </c>
      <c r="W1129">
        <v>5</v>
      </c>
    </row>
    <row r="1130" spans="1:23" x14ac:dyDescent="0.25">
      <c r="A1130" t="s">
        <v>1719</v>
      </c>
      <c r="B1130" s="1">
        <v>45899</v>
      </c>
      <c r="C1130" t="s">
        <v>1007</v>
      </c>
      <c r="E1130" t="s">
        <v>26</v>
      </c>
      <c r="F1130" t="s">
        <v>27</v>
      </c>
      <c r="G1130" t="s">
        <v>164</v>
      </c>
      <c r="H1130">
        <v>1</v>
      </c>
      <c r="I1130" s="21">
        <v>22363</v>
      </c>
      <c r="J1130">
        <v>0</v>
      </c>
      <c r="K1130" s="21">
        <v>0</v>
      </c>
      <c r="L1130" s="21">
        <v>22363</v>
      </c>
      <c r="M1130" s="21">
        <v>12362.66</v>
      </c>
      <c r="N1130" s="21">
        <v>10000.34</v>
      </c>
      <c r="O1130" t="s">
        <v>91</v>
      </c>
      <c r="P1130" s="21">
        <v>1519.06</v>
      </c>
      <c r="Q1130" t="s">
        <v>30</v>
      </c>
      <c r="R1130" t="s">
        <v>31</v>
      </c>
      <c r="S1130">
        <v>5</v>
      </c>
      <c r="T1130">
        <v>6</v>
      </c>
      <c r="U1130" t="s">
        <v>32</v>
      </c>
      <c r="V1130" t="s">
        <v>42</v>
      </c>
    </row>
    <row r="1131" spans="1:23" x14ac:dyDescent="0.25">
      <c r="A1131" t="s">
        <v>1720</v>
      </c>
      <c r="B1131" s="1">
        <v>45782</v>
      </c>
      <c r="C1131" t="s">
        <v>1041</v>
      </c>
      <c r="D1131" t="s">
        <v>25</v>
      </c>
      <c r="E1131" t="s">
        <v>46</v>
      </c>
      <c r="F1131" t="s">
        <v>86</v>
      </c>
      <c r="G1131" t="s">
        <v>87</v>
      </c>
      <c r="H1131">
        <v>1</v>
      </c>
      <c r="I1131" s="21">
        <v>75614</v>
      </c>
      <c r="J1131">
        <v>0</v>
      </c>
      <c r="K1131" s="21">
        <v>0</v>
      </c>
      <c r="L1131" s="21">
        <v>75614</v>
      </c>
      <c r="M1131" s="21">
        <v>59055.14</v>
      </c>
      <c r="N1131" s="21">
        <v>16558.86</v>
      </c>
      <c r="O1131" t="s">
        <v>55</v>
      </c>
      <c r="P1131" s="21">
        <v>953.8</v>
      </c>
      <c r="Q1131" t="s">
        <v>68</v>
      </c>
      <c r="R1131" t="s">
        <v>31</v>
      </c>
      <c r="S1131">
        <v>5</v>
      </c>
      <c r="T1131">
        <v>0</v>
      </c>
      <c r="U1131" t="s">
        <v>32</v>
      </c>
      <c r="V1131" t="s">
        <v>50</v>
      </c>
      <c r="W1131">
        <v>3</v>
      </c>
    </row>
    <row r="1132" spans="1:23" x14ac:dyDescent="0.25">
      <c r="A1132" t="s">
        <v>1721</v>
      </c>
      <c r="B1132" s="1">
        <v>45891</v>
      </c>
      <c r="C1132" t="s">
        <v>961</v>
      </c>
      <c r="D1132" t="s">
        <v>124</v>
      </c>
      <c r="E1132" t="s">
        <v>46</v>
      </c>
      <c r="F1132" t="s">
        <v>86</v>
      </c>
      <c r="G1132" t="s">
        <v>87</v>
      </c>
      <c r="H1132">
        <v>1</v>
      </c>
      <c r="I1132" s="21">
        <v>71036</v>
      </c>
      <c r="J1132">
        <v>15</v>
      </c>
      <c r="K1132" s="21">
        <v>10655.4</v>
      </c>
      <c r="L1132" s="21">
        <v>60380.6</v>
      </c>
      <c r="M1132" s="21">
        <v>35489.449999999997</v>
      </c>
      <c r="N1132" s="21">
        <v>24891.15</v>
      </c>
      <c r="O1132" t="s">
        <v>60</v>
      </c>
      <c r="P1132" s="21">
        <v>1787.48</v>
      </c>
      <c r="Q1132" t="s">
        <v>40</v>
      </c>
      <c r="R1132" t="s">
        <v>31</v>
      </c>
      <c r="S1132">
        <v>5</v>
      </c>
      <c r="T1132">
        <v>5</v>
      </c>
      <c r="U1132" t="s">
        <v>32</v>
      </c>
      <c r="V1132" t="s">
        <v>33</v>
      </c>
      <c r="W1132">
        <v>2</v>
      </c>
    </row>
    <row r="1133" spans="1:23" x14ac:dyDescent="0.25">
      <c r="A1133" t="s">
        <v>1722</v>
      </c>
      <c r="B1133" s="1">
        <v>45940</v>
      </c>
      <c r="C1133" t="s">
        <v>1003</v>
      </c>
      <c r="D1133" t="s">
        <v>124</v>
      </c>
      <c r="E1133" t="s">
        <v>46</v>
      </c>
      <c r="F1133" t="s">
        <v>37</v>
      </c>
      <c r="G1133" t="s">
        <v>100</v>
      </c>
      <c r="H1133">
        <v>2</v>
      </c>
      <c r="I1133" s="21">
        <v>25880</v>
      </c>
      <c r="J1133">
        <v>25</v>
      </c>
      <c r="K1133" s="21">
        <v>12940</v>
      </c>
      <c r="L1133" s="21">
        <v>38820</v>
      </c>
      <c r="M1133" s="21">
        <v>24723.47</v>
      </c>
      <c r="N1133" s="21">
        <v>14096.53</v>
      </c>
      <c r="O1133" t="s">
        <v>91</v>
      </c>
      <c r="P1133" s="21">
        <v>1655.6</v>
      </c>
      <c r="Q1133" t="s">
        <v>73</v>
      </c>
      <c r="R1133" t="s">
        <v>31</v>
      </c>
      <c r="S1133">
        <v>5</v>
      </c>
      <c r="T1133">
        <v>5</v>
      </c>
      <c r="U1133" t="s">
        <v>32</v>
      </c>
      <c r="V1133" t="s">
        <v>33</v>
      </c>
      <c r="W1133">
        <v>3</v>
      </c>
    </row>
    <row r="1134" spans="1:23" x14ac:dyDescent="0.25">
      <c r="A1134" t="s">
        <v>1723</v>
      </c>
      <c r="B1134" s="1">
        <v>45732</v>
      </c>
      <c r="C1134" t="s">
        <v>423</v>
      </c>
      <c r="D1134" t="s">
        <v>25</v>
      </c>
      <c r="E1134" t="s">
        <v>36</v>
      </c>
      <c r="F1134" t="s">
        <v>27</v>
      </c>
      <c r="G1134" t="s">
        <v>76</v>
      </c>
      <c r="H1134">
        <v>1</v>
      </c>
      <c r="I1134" s="21">
        <v>15200</v>
      </c>
      <c r="J1134">
        <v>0</v>
      </c>
      <c r="K1134" s="21">
        <v>0</v>
      </c>
      <c r="L1134" s="21">
        <v>15200</v>
      </c>
      <c r="M1134" s="21">
        <v>8775.58</v>
      </c>
      <c r="N1134" s="21">
        <v>6424.42</v>
      </c>
      <c r="O1134" t="s">
        <v>60</v>
      </c>
      <c r="P1134" s="21">
        <v>2399.9899999999998</v>
      </c>
      <c r="Q1134" t="s">
        <v>40</v>
      </c>
      <c r="R1134" t="s">
        <v>31</v>
      </c>
      <c r="S1134">
        <v>5</v>
      </c>
      <c r="T1134">
        <v>8</v>
      </c>
      <c r="U1134" t="s">
        <v>56</v>
      </c>
      <c r="V1134" t="s">
        <v>33</v>
      </c>
      <c r="W1134">
        <v>4</v>
      </c>
    </row>
    <row r="1135" spans="1:23" x14ac:dyDescent="0.25">
      <c r="A1135" t="s">
        <v>1724</v>
      </c>
      <c r="B1135" s="1">
        <v>45854</v>
      </c>
      <c r="C1135" t="s">
        <v>52</v>
      </c>
      <c r="D1135" t="s">
        <v>124</v>
      </c>
      <c r="E1135" t="s">
        <v>26</v>
      </c>
      <c r="F1135" t="s">
        <v>53</v>
      </c>
      <c r="G1135" t="s">
        <v>268</v>
      </c>
      <c r="H1135">
        <v>1</v>
      </c>
      <c r="I1135" s="21">
        <v>29762</v>
      </c>
      <c r="J1135">
        <v>15</v>
      </c>
      <c r="K1135" s="21">
        <v>4464.3</v>
      </c>
      <c r="L1135" s="21">
        <v>25297.7</v>
      </c>
      <c r="M1135" s="21">
        <v>13945.74</v>
      </c>
      <c r="N1135" s="21">
        <v>11351.96</v>
      </c>
      <c r="P1135" s="21">
        <v>1398.85</v>
      </c>
      <c r="Q1135" t="s">
        <v>30</v>
      </c>
      <c r="R1135" t="s">
        <v>41</v>
      </c>
      <c r="S1135">
        <v>2</v>
      </c>
      <c r="T1135">
        <v>2</v>
      </c>
      <c r="U1135" t="s">
        <v>32</v>
      </c>
      <c r="V1135" t="s">
        <v>33</v>
      </c>
      <c r="W1135">
        <v>2</v>
      </c>
    </row>
    <row r="1136" spans="1:23" x14ac:dyDescent="0.25">
      <c r="A1136" t="s">
        <v>1725</v>
      </c>
      <c r="B1136" s="1">
        <v>45755</v>
      </c>
      <c r="C1136" t="s">
        <v>211</v>
      </c>
      <c r="D1136" t="s">
        <v>71</v>
      </c>
      <c r="E1136" t="s">
        <v>46</v>
      </c>
      <c r="F1136" t="s">
        <v>86</v>
      </c>
      <c r="G1136" t="s">
        <v>94</v>
      </c>
      <c r="H1136">
        <v>1</v>
      </c>
      <c r="I1136" s="21">
        <v>48379</v>
      </c>
      <c r="J1136">
        <v>10</v>
      </c>
      <c r="K1136" s="21">
        <v>4837.8999999999996</v>
      </c>
      <c r="L1136" s="21">
        <v>43541.1</v>
      </c>
      <c r="M1136" s="21">
        <v>30241.97</v>
      </c>
      <c r="N1136" s="21">
        <v>13299.13</v>
      </c>
      <c r="O1136" t="s">
        <v>55</v>
      </c>
      <c r="P1136" s="21">
        <v>810.88</v>
      </c>
      <c r="Q1136" t="s">
        <v>73</v>
      </c>
      <c r="R1136" t="s">
        <v>41</v>
      </c>
      <c r="S1136">
        <v>2</v>
      </c>
      <c r="T1136">
        <v>3</v>
      </c>
      <c r="U1136" t="s">
        <v>32</v>
      </c>
      <c r="V1136" t="s">
        <v>50</v>
      </c>
      <c r="W1136">
        <v>5</v>
      </c>
    </row>
    <row r="1137" spans="1:23" x14ac:dyDescent="0.25">
      <c r="A1137" t="s">
        <v>1726</v>
      </c>
      <c r="B1137" s="1">
        <v>45964</v>
      </c>
      <c r="C1137" t="s">
        <v>1303</v>
      </c>
      <c r="D1137" t="s">
        <v>97</v>
      </c>
      <c r="E1137" t="s">
        <v>46</v>
      </c>
      <c r="F1137" t="s">
        <v>53</v>
      </c>
      <c r="G1137" t="s">
        <v>151</v>
      </c>
      <c r="H1137">
        <v>1</v>
      </c>
      <c r="I1137" s="21">
        <v>37048</v>
      </c>
      <c r="J1137">
        <v>15</v>
      </c>
      <c r="K1137" s="21">
        <v>5557.2</v>
      </c>
      <c r="L1137" s="21">
        <v>31490.799999999999</v>
      </c>
      <c r="M1137" s="21">
        <v>19092.97</v>
      </c>
      <c r="N1137" s="21">
        <v>12397.83</v>
      </c>
      <c r="O1137" t="s">
        <v>29</v>
      </c>
      <c r="P1137" s="21">
        <v>1657.65</v>
      </c>
      <c r="Q1137" t="s">
        <v>73</v>
      </c>
      <c r="R1137" t="s">
        <v>31</v>
      </c>
      <c r="S1137">
        <v>5</v>
      </c>
      <c r="T1137">
        <v>6</v>
      </c>
      <c r="U1137" t="s">
        <v>56</v>
      </c>
      <c r="V1137" t="s">
        <v>33</v>
      </c>
      <c r="W1137">
        <v>3</v>
      </c>
    </row>
    <row r="1138" spans="1:23" x14ac:dyDescent="0.25">
      <c r="A1138" t="s">
        <v>1727</v>
      </c>
      <c r="B1138" s="1">
        <v>45918</v>
      </c>
      <c r="C1138" t="s">
        <v>640</v>
      </c>
      <c r="D1138" t="s">
        <v>45</v>
      </c>
      <c r="E1138" t="s">
        <v>26</v>
      </c>
      <c r="F1138" t="s">
        <v>27</v>
      </c>
      <c r="G1138" t="s">
        <v>164</v>
      </c>
      <c r="H1138">
        <v>2</v>
      </c>
      <c r="I1138" s="21">
        <v>22345</v>
      </c>
      <c r="J1138">
        <v>15</v>
      </c>
      <c r="K1138" s="21">
        <v>6703.5</v>
      </c>
      <c r="L1138" s="21">
        <v>37986.5</v>
      </c>
      <c r="M1138" s="21">
        <v>25972.52</v>
      </c>
      <c r="N1138" s="21">
        <v>12013.98</v>
      </c>
      <c r="O1138" t="s">
        <v>91</v>
      </c>
      <c r="P1138" s="21">
        <v>599.51</v>
      </c>
      <c r="Q1138" t="s">
        <v>40</v>
      </c>
      <c r="R1138" t="s">
        <v>31</v>
      </c>
      <c r="S1138">
        <v>5</v>
      </c>
      <c r="T1138">
        <v>7</v>
      </c>
      <c r="U1138" t="s">
        <v>56</v>
      </c>
      <c r="V1138" t="s">
        <v>33</v>
      </c>
      <c r="W1138">
        <v>5</v>
      </c>
    </row>
    <row r="1139" spans="1:23" x14ac:dyDescent="0.25">
      <c r="A1139" t="s">
        <v>1728</v>
      </c>
      <c r="B1139" s="1">
        <v>45727</v>
      </c>
      <c r="C1139" t="s">
        <v>1729</v>
      </c>
      <c r="D1139" t="s">
        <v>67</v>
      </c>
      <c r="E1139" t="s">
        <v>36</v>
      </c>
      <c r="F1139" t="s">
        <v>37</v>
      </c>
      <c r="G1139" t="s">
        <v>313</v>
      </c>
      <c r="H1139">
        <v>2</v>
      </c>
      <c r="I1139" s="21">
        <v>25538</v>
      </c>
      <c r="J1139">
        <v>25</v>
      </c>
      <c r="K1139" s="21">
        <v>12769</v>
      </c>
      <c r="L1139" s="21">
        <v>38307</v>
      </c>
      <c r="M1139" s="21">
        <v>28811.71</v>
      </c>
      <c r="N1139" s="21">
        <v>9495.2900000000009</v>
      </c>
      <c r="O1139" t="s">
        <v>39</v>
      </c>
      <c r="P1139" s="21">
        <v>1329.21</v>
      </c>
      <c r="Q1139" t="s">
        <v>30</v>
      </c>
      <c r="R1139" t="s">
        <v>31</v>
      </c>
      <c r="S1139">
        <v>5</v>
      </c>
      <c r="T1139">
        <v>2</v>
      </c>
      <c r="U1139" t="s">
        <v>32</v>
      </c>
      <c r="V1139" t="s">
        <v>33</v>
      </c>
      <c r="W1139">
        <v>5</v>
      </c>
    </row>
    <row r="1140" spans="1:23" x14ac:dyDescent="0.25">
      <c r="A1140" t="s">
        <v>1730</v>
      </c>
      <c r="B1140" s="1">
        <v>45693</v>
      </c>
      <c r="C1140" t="s">
        <v>1050</v>
      </c>
      <c r="D1140" t="s">
        <v>71</v>
      </c>
      <c r="E1140" t="s">
        <v>36</v>
      </c>
      <c r="F1140" t="s">
        <v>86</v>
      </c>
      <c r="G1140" t="s">
        <v>87</v>
      </c>
      <c r="H1140">
        <v>4</v>
      </c>
      <c r="I1140" s="21">
        <v>56298</v>
      </c>
      <c r="J1140">
        <v>5</v>
      </c>
      <c r="K1140" s="21">
        <v>11259.6</v>
      </c>
      <c r="L1140" s="21">
        <v>213932.4</v>
      </c>
      <c r="M1140" s="21">
        <v>135284.01999999999</v>
      </c>
      <c r="N1140" s="21">
        <v>78648.38</v>
      </c>
      <c r="O1140" t="s">
        <v>29</v>
      </c>
      <c r="P1140" s="21">
        <v>1334.86</v>
      </c>
      <c r="Q1140" t="s">
        <v>40</v>
      </c>
      <c r="R1140" t="s">
        <v>31</v>
      </c>
      <c r="S1140">
        <v>5</v>
      </c>
      <c r="T1140">
        <v>6</v>
      </c>
      <c r="U1140" t="s">
        <v>56</v>
      </c>
      <c r="V1140" t="s">
        <v>33</v>
      </c>
      <c r="W1140">
        <v>5</v>
      </c>
    </row>
    <row r="1141" spans="1:23" x14ac:dyDescent="0.25">
      <c r="A1141" t="s">
        <v>1731</v>
      </c>
      <c r="B1141" s="1">
        <v>45799</v>
      </c>
      <c r="C1141" t="s">
        <v>578</v>
      </c>
      <c r="D1141" t="s">
        <v>97</v>
      </c>
      <c r="E1141" t="s">
        <v>26</v>
      </c>
      <c r="F1141" t="s">
        <v>27</v>
      </c>
      <c r="G1141" t="s">
        <v>113</v>
      </c>
      <c r="H1141">
        <v>1</v>
      </c>
      <c r="I1141" s="21">
        <v>3956</v>
      </c>
      <c r="J1141">
        <v>0</v>
      </c>
      <c r="K1141" s="21">
        <v>0</v>
      </c>
      <c r="L1141" s="21">
        <v>3956</v>
      </c>
      <c r="M1141" s="21">
        <v>2424.19</v>
      </c>
      <c r="N1141" s="21">
        <v>1531.81</v>
      </c>
      <c r="O1141" t="s">
        <v>91</v>
      </c>
      <c r="P1141" s="21">
        <v>2300.23</v>
      </c>
      <c r="Q1141" t="s">
        <v>73</v>
      </c>
      <c r="R1141" t="s">
        <v>31</v>
      </c>
      <c r="S1141">
        <v>5</v>
      </c>
      <c r="T1141">
        <v>6</v>
      </c>
      <c r="U1141" t="s">
        <v>56</v>
      </c>
      <c r="V1141" t="s">
        <v>33</v>
      </c>
      <c r="W1141">
        <v>5</v>
      </c>
    </row>
    <row r="1142" spans="1:23" x14ac:dyDescent="0.25">
      <c r="A1142" t="s">
        <v>1732</v>
      </c>
      <c r="B1142" s="1">
        <v>45870</v>
      </c>
      <c r="C1142" t="s">
        <v>785</v>
      </c>
      <c r="D1142" t="s">
        <v>90</v>
      </c>
      <c r="E1142" t="s">
        <v>26</v>
      </c>
      <c r="F1142" t="s">
        <v>47</v>
      </c>
      <c r="G1142" t="s">
        <v>64</v>
      </c>
      <c r="H1142">
        <v>1</v>
      </c>
      <c r="I1142" s="21">
        <v>24334</v>
      </c>
      <c r="J1142">
        <v>0</v>
      </c>
      <c r="K1142" s="21">
        <v>0</v>
      </c>
      <c r="L1142" s="21">
        <v>24334</v>
      </c>
      <c r="M1142" s="21">
        <v>17688.54</v>
      </c>
      <c r="N1142" s="21">
        <v>6645.46</v>
      </c>
      <c r="O1142" t="s">
        <v>91</v>
      </c>
      <c r="P1142" s="21">
        <v>1605.79</v>
      </c>
      <c r="Q1142" t="s">
        <v>73</v>
      </c>
      <c r="R1142" t="s">
        <v>31</v>
      </c>
      <c r="S1142">
        <v>5</v>
      </c>
      <c r="T1142">
        <v>4</v>
      </c>
      <c r="U1142" t="s">
        <v>32</v>
      </c>
      <c r="V1142" t="s">
        <v>33</v>
      </c>
      <c r="W1142">
        <v>1</v>
      </c>
    </row>
    <row r="1143" spans="1:23" x14ac:dyDescent="0.25">
      <c r="A1143" t="s">
        <v>1733</v>
      </c>
      <c r="B1143" s="1">
        <v>45832</v>
      </c>
      <c r="C1143" t="s">
        <v>394</v>
      </c>
      <c r="D1143" t="s">
        <v>90</v>
      </c>
      <c r="E1143" t="s">
        <v>26</v>
      </c>
      <c r="F1143" t="s">
        <v>27</v>
      </c>
      <c r="G1143" t="s">
        <v>113</v>
      </c>
      <c r="H1143">
        <v>1</v>
      </c>
      <c r="I1143" s="21">
        <v>26092</v>
      </c>
      <c r="J1143">
        <v>0</v>
      </c>
      <c r="K1143" s="21">
        <v>0</v>
      </c>
      <c r="L1143" s="21">
        <v>26092</v>
      </c>
      <c r="M1143" s="21">
        <v>18331.12</v>
      </c>
      <c r="N1143" s="21">
        <v>7760.88</v>
      </c>
      <c r="O1143" t="s">
        <v>39</v>
      </c>
      <c r="P1143" s="21">
        <v>2495.0100000000002</v>
      </c>
      <c r="Q1143" t="s">
        <v>68</v>
      </c>
      <c r="R1143" t="s">
        <v>41</v>
      </c>
      <c r="S1143">
        <v>2</v>
      </c>
      <c r="T1143">
        <v>4</v>
      </c>
      <c r="U1143" t="s">
        <v>56</v>
      </c>
      <c r="V1143" t="s">
        <v>33</v>
      </c>
      <c r="W1143">
        <v>3</v>
      </c>
    </row>
    <row r="1144" spans="1:23" x14ac:dyDescent="0.25">
      <c r="A1144" t="s">
        <v>1734</v>
      </c>
      <c r="B1144" s="1">
        <v>45917</v>
      </c>
      <c r="C1144" t="s">
        <v>148</v>
      </c>
      <c r="D1144" t="s">
        <v>45</v>
      </c>
      <c r="E1144" t="s">
        <v>26</v>
      </c>
      <c r="F1144" t="s">
        <v>37</v>
      </c>
      <c r="G1144" t="s">
        <v>224</v>
      </c>
      <c r="H1144">
        <v>1</v>
      </c>
      <c r="I1144" s="21">
        <v>22156</v>
      </c>
      <c r="J1144">
        <v>25</v>
      </c>
      <c r="K1144" s="21">
        <v>5539</v>
      </c>
      <c r="L1144" s="21">
        <v>16617</v>
      </c>
      <c r="M1144" s="21">
        <v>13411.11</v>
      </c>
      <c r="N1144" s="21">
        <v>3205.89</v>
      </c>
      <c r="O1144" t="s">
        <v>60</v>
      </c>
      <c r="P1144" s="21">
        <v>1912.14</v>
      </c>
      <c r="Q1144" t="s">
        <v>73</v>
      </c>
      <c r="R1144" t="s">
        <v>41</v>
      </c>
      <c r="S1144">
        <v>2</v>
      </c>
      <c r="T1144">
        <v>1</v>
      </c>
      <c r="U1144" t="s">
        <v>32</v>
      </c>
      <c r="V1144" t="s">
        <v>33</v>
      </c>
      <c r="W1144">
        <v>2</v>
      </c>
    </row>
    <row r="1145" spans="1:23" x14ac:dyDescent="0.25">
      <c r="A1145" t="s">
        <v>1735</v>
      </c>
      <c r="B1145" s="1">
        <v>45794</v>
      </c>
      <c r="C1145" t="s">
        <v>983</v>
      </c>
      <c r="D1145" t="s">
        <v>154</v>
      </c>
      <c r="E1145" t="s">
        <v>46</v>
      </c>
      <c r="F1145" t="s">
        <v>37</v>
      </c>
      <c r="G1145" t="s">
        <v>100</v>
      </c>
      <c r="H1145">
        <v>4</v>
      </c>
      <c r="I1145" s="21">
        <v>22980</v>
      </c>
      <c r="J1145">
        <v>0</v>
      </c>
      <c r="K1145" s="21">
        <v>0</v>
      </c>
      <c r="L1145" s="21">
        <v>91920</v>
      </c>
      <c r="M1145" s="21">
        <v>57133.24</v>
      </c>
      <c r="N1145" s="21">
        <v>34786.76</v>
      </c>
      <c r="O1145" t="s">
        <v>91</v>
      </c>
      <c r="P1145" s="21">
        <v>429.26</v>
      </c>
      <c r="Q1145" t="s">
        <v>40</v>
      </c>
      <c r="R1145" t="s">
        <v>31</v>
      </c>
      <c r="S1145">
        <v>5</v>
      </c>
      <c r="T1145">
        <v>1</v>
      </c>
      <c r="U1145" t="s">
        <v>32</v>
      </c>
      <c r="V1145" t="s">
        <v>50</v>
      </c>
      <c r="W1145">
        <v>4</v>
      </c>
    </row>
    <row r="1146" spans="1:23" x14ac:dyDescent="0.25">
      <c r="A1146" t="s">
        <v>1736</v>
      </c>
      <c r="B1146" s="1">
        <v>45659</v>
      </c>
      <c r="C1146" t="s">
        <v>1449</v>
      </c>
      <c r="D1146" t="s">
        <v>124</v>
      </c>
      <c r="E1146" t="s">
        <v>46</v>
      </c>
      <c r="F1146" t="s">
        <v>37</v>
      </c>
      <c r="G1146" t="s">
        <v>224</v>
      </c>
      <c r="H1146">
        <v>1</v>
      </c>
      <c r="I1146" s="21">
        <v>35122</v>
      </c>
      <c r="J1146">
        <v>0</v>
      </c>
      <c r="K1146" s="21">
        <v>0</v>
      </c>
      <c r="L1146" s="21">
        <v>35122</v>
      </c>
      <c r="M1146" s="21">
        <v>20732.990000000002</v>
      </c>
      <c r="N1146" s="21">
        <v>14389.01</v>
      </c>
      <c r="O1146" t="s">
        <v>39</v>
      </c>
      <c r="P1146" s="21">
        <v>1701.43</v>
      </c>
      <c r="Q1146" t="s">
        <v>83</v>
      </c>
      <c r="R1146" t="s">
        <v>41</v>
      </c>
      <c r="S1146">
        <v>2</v>
      </c>
      <c r="T1146">
        <v>1</v>
      </c>
      <c r="U1146" t="s">
        <v>32</v>
      </c>
      <c r="V1146" t="s">
        <v>33</v>
      </c>
      <c r="W1146">
        <v>5</v>
      </c>
    </row>
    <row r="1147" spans="1:23" x14ac:dyDescent="0.25">
      <c r="A1147" t="s">
        <v>1737</v>
      </c>
      <c r="B1147" s="1">
        <v>45802</v>
      </c>
      <c r="C1147" t="s">
        <v>1346</v>
      </c>
      <c r="D1147" t="s">
        <v>45</v>
      </c>
      <c r="E1147" t="s">
        <v>26</v>
      </c>
      <c r="F1147" t="s">
        <v>47</v>
      </c>
      <c r="G1147" t="s">
        <v>138</v>
      </c>
      <c r="H1147">
        <v>1</v>
      </c>
      <c r="I1147" s="21">
        <v>34138</v>
      </c>
      <c r="J1147">
        <v>5</v>
      </c>
      <c r="K1147" s="21">
        <v>1706.9</v>
      </c>
      <c r="L1147" s="21">
        <v>32431.1</v>
      </c>
      <c r="M1147" s="21">
        <v>21420.84</v>
      </c>
      <c r="N1147" s="21">
        <v>11010.26</v>
      </c>
      <c r="O1147" t="s">
        <v>39</v>
      </c>
      <c r="P1147" s="21">
        <v>979.62</v>
      </c>
      <c r="Q1147" t="s">
        <v>30</v>
      </c>
      <c r="R1147" t="s">
        <v>31</v>
      </c>
      <c r="S1147">
        <v>5</v>
      </c>
      <c r="T1147">
        <v>0</v>
      </c>
      <c r="U1147" t="s">
        <v>32</v>
      </c>
      <c r="V1147" t="s">
        <v>42</v>
      </c>
    </row>
    <row r="1148" spans="1:23" x14ac:dyDescent="0.25">
      <c r="A1148" t="s">
        <v>1738</v>
      </c>
      <c r="B1148" s="1">
        <v>45810</v>
      </c>
      <c r="C1148" t="s">
        <v>770</v>
      </c>
      <c r="D1148" t="s">
        <v>90</v>
      </c>
      <c r="E1148" t="s">
        <v>26</v>
      </c>
      <c r="F1148" t="s">
        <v>37</v>
      </c>
      <c r="G1148" t="s">
        <v>313</v>
      </c>
      <c r="H1148">
        <v>1</v>
      </c>
      <c r="I1148" s="21">
        <v>34237</v>
      </c>
      <c r="J1148">
        <v>5</v>
      </c>
      <c r="K1148" s="21">
        <v>1711.85</v>
      </c>
      <c r="L1148" s="21">
        <v>32525.15</v>
      </c>
      <c r="M1148" s="21">
        <v>23292.58</v>
      </c>
      <c r="N1148" s="21">
        <v>9232.57</v>
      </c>
      <c r="O1148" t="s">
        <v>55</v>
      </c>
      <c r="P1148" s="21">
        <v>1990.99</v>
      </c>
      <c r="Q1148" t="s">
        <v>30</v>
      </c>
      <c r="R1148" t="s">
        <v>31</v>
      </c>
      <c r="S1148">
        <v>5</v>
      </c>
      <c r="T1148">
        <v>2</v>
      </c>
      <c r="U1148" t="s">
        <v>32</v>
      </c>
      <c r="V1148" t="s">
        <v>33</v>
      </c>
      <c r="W1148">
        <v>5</v>
      </c>
    </row>
    <row r="1149" spans="1:23" x14ac:dyDescent="0.25">
      <c r="A1149" t="s">
        <v>1739</v>
      </c>
      <c r="B1149" s="1">
        <v>45958</v>
      </c>
      <c r="C1149" t="s">
        <v>1386</v>
      </c>
      <c r="D1149" t="s">
        <v>79</v>
      </c>
      <c r="E1149" t="s">
        <v>26</v>
      </c>
      <c r="F1149" t="s">
        <v>47</v>
      </c>
      <c r="G1149" t="s">
        <v>146</v>
      </c>
      <c r="H1149">
        <v>1</v>
      </c>
      <c r="I1149" s="21">
        <v>40378</v>
      </c>
      <c r="J1149">
        <v>20</v>
      </c>
      <c r="K1149" s="21">
        <v>8075.6</v>
      </c>
      <c r="L1149" s="21">
        <v>32302.400000000001</v>
      </c>
      <c r="M1149" s="21">
        <v>19009.46</v>
      </c>
      <c r="N1149" s="21">
        <v>13292.94</v>
      </c>
      <c r="O1149" t="s">
        <v>91</v>
      </c>
      <c r="P1149" s="21">
        <v>2094.34</v>
      </c>
      <c r="Q1149" t="s">
        <v>73</v>
      </c>
      <c r="R1149" t="s">
        <v>31</v>
      </c>
      <c r="S1149">
        <v>5</v>
      </c>
      <c r="T1149">
        <v>2</v>
      </c>
      <c r="U1149" t="s">
        <v>32</v>
      </c>
      <c r="V1149" t="s">
        <v>33</v>
      </c>
      <c r="W1149">
        <v>5</v>
      </c>
    </row>
    <row r="1150" spans="1:23" x14ac:dyDescent="0.25">
      <c r="A1150" t="s">
        <v>1740</v>
      </c>
      <c r="B1150" s="1">
        <v>45954</v>
      </c>
      <c r="C1150" t="s">
        <v>1212</v>
      </c>
      <c r="D1150" t="s">
        <v>67</v>
      </c>
      <c r="E1150" t="s">
        <v>26</v>
      </c>
      <c r="F1150" t="s">
        <v>86</v>
      </c>
      <c r="G1150" t="s">
        <v>127</v>
      </c>
      <c r="H1150">
        <v>1</v>
      </c>
      <c r="I1150" s="21">
        <v>6824</v>
      </c>
      <c r="J1150">
        <v>10</v>
      </c>
      <c r="K1150" s="21">
        <v>682.4</v>
      </c>
      <c r="L1150" s="21">
        <v>6141.6</v>
      </c>
      <c r="M1150" s="21">
        <v>3783.95</v>
      </c>
      <c r="N1150" s="21">
        <v>2357.65</v>
      </c>
      <c r="O1150" t="s">
        <v>55</v>
      </c>
      <c r="P1150" s="21">
        <v>718.84</v>
      </c>
      <c r="Q1150" t="s">
        <v>73</v>
      </c>
      <c r="R1150" t="s">
        <v>31</v>
      </c>
      <c r="S1150">
        <v>5</v>
      </c>
      <c r="T1150">
        <v>8</v>
      </c>
      <c r="U1150" t="s">
        <v>56</v>
      </c>
      <c r="V1150" t="s">
        <v>33</v>
      </c>
      <c r="W1150">
        <v>5</v>
      </c>
    </row>
    <row r="1151" spans="1:23" x14ac:dyDescent="0.25">
      <c r="A1151" t="s">
        <v>1741</v>
      </c>
      <c r="B1151" s="1">
        <v>45995</v>
      </c>
      <c r="C1151" t="s">
        <v>221</v>
      </c>
      <c r="D1151" t="s">
        <v>25</v>
      </c>
      <c r="E1151" t="s">
        <v>46</v>
      </c>
      <c r="F1151" t="s">
        <v>86</v>
      </c>
      <c r="G1151" t="s">
        <v>87</v>
      </c>
      <c r="H1151">
        <v>1</v>
      </c>
      <c r="I1151" s="21">
        <v>29735</v>
      </c>
      <c r="J1151">
        <v>0</v>
      </c>
      <c r="K1151" s="21">
        <v>0</v>
      </c>
      <c r="L1151" s="21">
        <v>29735</v>
      </c>
      <c r="M1151" s="21">
        <v>17493.62</v>
      </c>
      <c r="N1151" s="21">
        <v>12241.38</v>
      </c>
      <c r="O1151" t="s">
        <v>91</v>
      </c>
      <c r="P1151" s="21">
        <v>901.71</v>
      </c>
      <c r="Q1151" t="s">
        <v>30</v>
      </c>
      <c r="R1151" t="s">
        <v>31</v>
      </c>
      <c r="S1151">
        <v>5</v>
      </c>
      <c r="T1151">
        <v>4</v>
      </c>
      <c r="U1151" t="s">
        <v>32</v>
      </c>
      <c r="V1151" t="s">
        <v>50</v>
      </c>
      <c r="W1151">
        <v>3</v>
      </c>
    </row>
    <row r="1152" spans="1:23" x14ac:dyDescent="0.25">
      <c r="A1152" t="s">
        <v>1742</v>
      </c>
      <c r="B1152" s="1">
        <v>45908</v>
      </c>
      <c r="C1152" t="s">
        <v>299</v>
      </c>
      <c r="D1152" t="s">
        <v>45</v>
      </c>
      <c r="E1152" t="s">
        <v>46</v>
      </c>
      <c r="F1152" t="s">
        <v>27</v>
      </c>
      <c r="G1152" t="s">
        <v>76</v>
      </c>
      <c r="H1152">
        <v>1</v>
      </c>
      <c r="I1152" s="21">
        <v>13848</v>
      </c>
      <c r="J1152">
        <v>5</v>
      </c>
      <c r="K1152" s="21">
        <v>692.4</v>
      </c>
      <c r="L1152" s="21">
        <v>13155.6</v>
      </c>
      <c r="M1152" s="21">
        <v>10513.91</v>
      </c>
      <c r="N1152" s="21">
        <v>2641.69</v>
      </c>
      <c r="O1152" t="s">
        <v>55</v>
      </c>
      <c r="P1152" s="21">
        <v>1698.56</v>
      </c>
      <c r="Q1152" t="s">
        <v>40</v>
      </c>
      <c r="R1152" t="s">
        <v>41</v>
      </c>
      <c r="S1152">
        <v>2</v>
      </c>
      <c r="T1152">
        <v>1</v>
      </c>
      <c r="U1152" t="s">
        <v>32</v>
      </c>
      <c r="V1152" t="s">
        <v>33</v>
      </c>
      <c r="W1152">
        <v>1</v>
      </c>
    </row>
    <row r="1153" spans="1:23" x14ac:dyDescent="0.25">
      <c r="A1153" t="s">
        <v>1743</v>
      </c>
      <c r="B1153" s="1">
        <v>45734</v>
      </c>
      <c r="C1153" t="s">
        <v>1744</v>
      </c>
      <c r="D1153" t="s">
        <v>154</v>
      </c>
      <c r="E1153" t="s">
        <v>36</v>
      </c>
      <c r="F1153" t="s">
        <v>86</v>
      </c>
      <c r="G1153" t="s">
        <v>110</v>
      </c>
      <c r="H1153">
        <v>2</v>
      </c>
      <c r="I1153" s="21">
        <v>76785</v>
      </c>
      <c r="J1153">
        <v>15</v>
      </c>
      <c r="K1153" s="21">
        <v>23035.5</v>
      </c>
      <c r="L1153" s="21">
        <v>130534.5</v>
      </c>
      <c r="M1153" s="21">
        <v>73099.97</v>
      </c>
      <c r="N1153" s="21">
        <v>57434.53</v>
      </c>
      <c r="O1153" t="s">
        <v>39</v>
      </c>
      <c r="P1153" s="21">
        <v>1735.05</v>
      </c>
      <c r="Q1153" t="s">
        <v>73</v>
      </c>
      <c r="R1153" t="s">
        <v>31</v>
      </c>
      <c r="S1153">
        <v>5</v>
      </c>
      <c r="T1153">
        <v>1</v>
      </c>
      <c r="U1153" t="s">
        <v>32</v>
      </c>
      <c r="V1153" t="s">
        <v>33</v>
      </c>
      <c r="W1153">
        <v>5</v>
      </c>
    </row>
    <row r="1154" spans="1:23" x14ac:dyDescent="0.25">
      <c r="A1154" t="s">
        <v>1745</v>
      </c>
      <c r="B1154" s="1">
        <v>45886</v>
      </c>
      <c r="C1154" t="s">
        <v>1116</v>
      </c>
      <c r="D1154" t="s">
        <v>154</v>
      </c>
      <c r="E1154" t="s">
        <v>26</v>
      </c>
      <c r="F1154" t="s">
        <v>37</v>
      </c>
      <c r="G1154" t="s">
        <v>38</v>
      </c>
      <c r="H1154">
        <v>1</v>
      </c>
      <c r="I1154" s="21">
        <v>39118</v>
      </c>
      <c r="J1154">
        <v>15</v>
      </c>
      <c r="K1154" s="21">
        <v>5867.7</v>
      </c>
      <c r="L1154" s="21">
        <v>33250.300000000003</v>
      </c>
      <c r="M1154" s="21">
        <v>20579.63</v>
      </c>
      <c r="N1154" s="21">
        <v>12670.67</v>
      </c>
      <c r="O1154" t="s">
        <v>60</v>
      </c>
      <c r="P1154" s="21">
        <v>2221.2600000000002</v>
      </c>
      <c r="Q1154" t="s">
        <v>40</v>
      </c>
      <c r="R1154" t="s">
        <v>41</v>
      </c>
      <c r="S1154">
        <v>2</v>
      </c>
      <c r="T1154">
        <v>6</v>
      </c>
      <c r="U1154" t="s">
        <v>32</v>
      </c>
      <c r="V1154" t="s">
        <v>42</v>
      </c>
    </row>
    <row r="1155" spans="1:23" x14ac:dyDescent="0.25">
      <c r="A1155" t="s">
        <v>1746</v>
      </c>
      <c r="B1155" s="1">
        <v>45933</v>
      </c>
      <c r="C1155" t="s">
        <v>324</v>
      </c>
      <c r="D1155" t="s">
        <v>67</v>
      </c>
      <c r="E1155" t="s">
        <v>36</v>
      </c>
      <c r="F1155" t="s">
        <v>27</v>
      </c>
      <c r="G1155" t="s">
        <v>76</v>
      </c>
      <c r="H1155">
        <v>3</v>
      </c>
      <c r="I1155" s="21">
        <v>13722</v>
      </c>
      <c r="J1155">
        <v>10</v>
      </c>
      <c r="K1155" s="21">
        <v>4116.6000000000004</v>
      </c>
      <c r="L1155" s="21">
        <v>37049.4</v>
      </c>
      <c r="M1155" s="21">
        <v>20613.599999999999</v>
      </c>
      <c r="N1155" s="21">
        <v>16435.8</v>
      </c>
      <c r="O1155" t="s">
        <v>60</v>
      </c>
      <c r="P1155" s="21">
        <v>1711.9</v>
      </c>
      <c r="Q1155" t="s">
        <v>83</v>
      </c>
      <c r="R1155" t="s">
        <v>31</v>
      </c>
      <c r="S1155">
        <v>5</v>
      </c>
      <c r="T1155">
        <v>3</v>
      </c>
      <c r="U1155" t="s">
        <v>32</v>
      </c>
      <c r="V1155" t="s">
        <v>50</v>
      </c>
      <c r="W1155">
        <v>5</v>
      </c>
    </row>
    <row r="1156" spans="1:23" x14ac:dyDescent="0.25">
      <c r="A1156" t="s">
        <v>1747</v>
      </c>
      <c r="B1156" s="1">
        <v>45905</v>
      </c>
      <c r="C1156" t="s">
        <v>310</v>
      </c>
      <c r="D1156" t="s">
        <v>90</v>
      </c>
      <c r="E1156" t="s">
        <v>46</v>
      </c>
      <c r="F1156" t="s">
        <v>37</v>
      </c>
      <c r="G1156" t="s">
        <v>224</v>
      </c>
      <c r="H1156">
        <v>2</v>
      </c>
      <c r="I1156" s="21">
        <v>6858</v>
      </c>
      <c r="J1156">
        <v>0</v>
      </c>
      <c r="K1156" s="21">
        <v>0</v>
      </c>
      <c r="L1156" s="21">
        <v>13716</v>
      </c>
      <c r="M1156" s="21">
        <v>9038.7000000000007</v>
      </c>
      <c r="N1156" s="21">
        <v>4677.3</v>
      </c>
      <c r="O1156" t="s">
        <v>60</v>
      </c>
      <c r="P1156" s="21">
        <v>2412.48</v>
      </c>
      <c r="Q1156" t="s">
        <v>68</v>
      </c>
      <c r="R1156" t="s">
        <v>31</v>
      </c>
      <c r="S1156">
        <v>5</v>
      </c>
      <c r="T1156">
        <v>3</v>
      </c>
      <c r="U1156" t="s">
        <v>32</v>
      </c>
      <c r="V1156" t="s">
        <v>50</v>
      </c>
      <c r="W1156">
        <v>5</v>
      </c>
    </row>
    <row r="1157" spans="1:23" x14ac:dyDescent="0.25">
      <c r="A1157" t="s">
        <v>1748</v>
      </c>
      <c r="B1157" s="1">
        <v>45834</v>
      </c>
      <c r="C1157" t="s">
        <v>1749</v>
      </c>
      <c r="D1157" t="s">
        <v>63</v>
      </c>
      <c r="E1157" t="s">
        <v>46</v>
      </c>
      <c r="F1157" t="s">
        <v>47</v>
      </c>
      <c r="G1157" t="s">
        <v>48</v>
      </c>
      <c r="H1157">
        <v>1</v>
      </c>
      <c r="I1157" s="21">
        <v>9560</v>
      </c>
      <c r="J1157">
        <v>5</v>
      </c>
      <c r="K1157" s="21">
        <v>478</v>
      </c>
      <c r="L1157" s="21">
        <v>9082</v>
      </c>
      <c r="M1157" s="21">
        <v>6402.83</v>
      </c>
      <c r="N1157" s="21">
        <v>2679.17</v>
      </c>
      <c r="O1157" t="s">
        <v>29</v>
      </c>
      <c r="P1157" s="21">
        <v>830.94</v>
      </c>
      <c r="Q1157" t="s">
        <v>68</v>
      </c>
      <c r="R1157" t="s">
        <v>41</v>
      </c>
      <c r="S1157">
        <v>2</v>
      </c>
      <c r="T1157">
        <v>2</v>
      </c>
      <c r="U1157" t="s">
        <v>32</v>
      </c>
      <c r="V1157" t="s">
        <v>42</v>
      </c>
    </row>
    <row r="1158" spans="1:23" x14ac:dyDescent="0.25">
      <c r="A1158" t="s">
        <v>1750</v>
      </c>
      <c r="B1158" s="1">
        <v>45828</v>
      </c>
      <c r="C1158" t="s">
        <v>335</v>
      </c>
      <c r="D1158" t="s">
        <v>79</v>
      </c>
      <c r="E1158" t="s">
        <v>46</v>
      </c>
      <c r="F1158" t="s">
        <v>47</v>
      </c>
      <c r="G1158" t="s">
        <v>138</v>
      </c>
      <c r="H1158">
        <v>2</v>
      </c>
      <c r="I1158" s="21">
        <v>16724</v>
      </c>
      <c r="J1158">
        <v>0</v>
      </c>
      <c r="K1158" s="21">
        <v>0</v>
      </c>
      <c r="L1158" s="21">
        <v>33448</v>
      </c>
      <c r="M1158" s="21">
        <v>26331.45</v>
      </c>
      <c r="N1158" s="21">
        <v>7116.55</v>
      </c>
      <c r="O1158" t="s">
        <v>91</v>
      </c>
      <c r="P1158" s="21">
        <v>247.43</v>
      </c>
      <c r="Q1158" t="s">
        <v>40</v>
      </c>
      <c r="R1158" t="s">
        <v>31</v>
      </c>
      <c r="S1158">
        <v>5</v>
      </c>
      <c r="T1158">
        <v>3</v>
      </c>
      <c r="U1158" t="s">
        <v>32</v>
      </c>
      <c r="V1158" t="s">
        <v>33</v>
      </c>
      <c r="W1158">
        <v>1</v>
      </c>
    </row>
    <row r="1159" spans="1:23" x14ac:dyDescent="0.25">
      <c r="A1159" t="s">
        <v>1751</v>
      </c>
      <c r="B1159" s="1">
        <v>45940</v>
      </c>
      <c r="C1159" t="s">
        <v>156</v>
      </c>
      <c r="D1159" t="s">
        <v>63</v>
      </c>
      <c r="E1159" t="s">
        <v>26</v>
      </c>
      <c r="F1159" t="s">
        <v>37</v>
      </c>
      <c r="G1159" t="s">
        <v>100</v>
      </c>
      <c r="H1159">
        <v>1</v>
      </c>
      <c r="I1159" s="21">
        <v>4316</v>
      </c>
      <c r="J1159">
        <v>0</v>
      </c>
      <c r="K1159" s="21">
        <v>0</v>
      </c>
      <c r="L1159" s="21">
        <v>4316</v>
      </c>
      <c r="M1159" s="21">
        <v>2975.29</v>
      </c>
      <c r="N1159" s="21">
        <v>1340.71</v>
      </c>
      <c r="O1159" t="s">
        <v>49</v>
      </c>
      <c r="P1159" s="21">
        <v>163.46</v>
      </c>
      <c r="Q1159" t="s">
        <v>30</v>
      </c>
      <c r="R1159" t="s">
        <v>31</v>
      </c>
      <c r="S1159">
        <v>5</v>
      </c>
      <c r="T1159">
        <v>0</v>
      </c>
      <c r="U1159" t="s">
        <v>32</v>
      </c>
      <c r="V1159" t="s">
        <v>42</v>
      </c>
    </row>
    <row r="1160" spans="1:23" x14ac:dyDescent="0.25">
      <c r="A1160" t="s">
        <v>1752</v>
      </c>
      <c r="B1160" s="1">
        <v>45936</v>
      </c>
      <c r="C1160" t="s">
        <v>633</v>
      </c>
      <c r="D1160" t="s">
        <v>79</v>
      </c>
      <c r="E1160" t="s">
        <v>26</v>
      </c>
      <c r="F1160" t="s">
        <v>53</v>
      </c>
      <c r="G1160" t="s">
        <v>151</v>
      </c>
      <c r="H1160">
        <v>2</v>
      </c>
      <c r="I1160" s="21">
        <v>28958</v>
      </c>
      <c r="J1160">
        <v>5</v>
      </c>
      <c r="K1160" s="21">
        <v>2895.8</v>
      </c>
      <c r="L1160" s="21">
        <v>55020.2</v>
      </c>
      <c r="M1160" s="21">
        <v>44133.41</v>
      </c>
      <c r="N1160" s="21">
        <v>10886.79</v>
      </c>
      <c r="O1160" t="s">
        <v>60</v>
      </c>
      <c r="P1160" s="21">
        <v>1620.88</v>
      </c>
      <c r="Q1160" t="s">
        <v>30</v>
      </c>
      <c r="R1160" t="s">
        <v>41</v>
      </c>
      <c r="S1160">
        <v>2</v>
      </c>
      <c r="T1160">
        <v>5</v>
      </c>
      <c r="U1160" t="s">
        <v>32</v>
      </c>
      <c r="V1160" t="s">
        <v>50</v>
      </c>
      <c r="W1160">
        <v>5</v>
      </c>
    </row>
    <row r="1161" spans="1:23" x14ac:dyDescent="0.25">
      <c r="A1161" t="s">
        <v>1753</v>
      </c>
      <c r="B1161" s="1">
        <v>45851</v>
      </c>
      <c r="C1161" t="s">
        <v>133</v>
      </c>
      <c r="D1161" t="s">
        <v>63</v>
      </c>
      <c r="E1161" t="s">
        <v>36</v>
      </c>
      <c r="F1161" t="s">
        <v>53</v>
      </c>
      <c r="G1161" t="s">
        <v>82</v>
      </c>
      <c r="H1161">
        <v>3</v>
      </c>
      <c r="I1161" s="21">
        <v>80776</v>
      </c>
      <c r="J1161">
        <v>5</v>
      </c>
      <c r="K1161" s="21">
        <v>12116.4</v>
      </c>
      <c r="L1161" s="21">
        <v>230211.6</v>
      </c>
      <c r="M1161" s="21">
        <v>129141.85</v>
      </c>
      <c r="N1161" s="21">
        <v>101069.75</v>
      </c>
      <c r="O1161" t="s">
        <v>29</v>
      </c>
      <c r="P1161" s="21">
        <v>703.97</v>
      </c>
      <c r="Q1161" t="s">
        <v>30</v>
      </c>
      <c r="R1161" t="s">
        <v>41</v>
      </c>
      <c r="S1161">
        <v>2</v>
      </c>
      <c r="T1161">
        <v>1</v>
      </c>
      <c r="U1161" t="s">
        <v>32</v>
      </c>
      <c r="V1161" t="s">
        <v>33</v>
      </c>
      <c r="W1161">
        <v>5</v>
      </c>
    </row>
    <row r="1162" spans="1:23" x14ac:dyDescent="0.25">
      <c r="A1162" t="s">
        <v>1754</v>
      </c>
      <c r="B1162" s="1">
        <v>45891</v>
      </c>
      <c r="C1162" t="s">
        <v>1094</v>
      </c>
      <c r="D1162" t="s">
        <v>67</v>
      </c>
      <c r="E1162" t="s">
        <v>36</v>
      </c>
      <c r="F1162" t="s">
        <v>53</v>
      </c>
      <c r="G1162" t="s">
        <v>151</v>
      </c>
      <c r="H1162">
        <v>1</v>
      </c>
      <c r="I1162" s="21">
        <v>20162</v>
      </c>
      <c r="J1162">
        <v>10</v>
      </c>
      <c r="K1162" s="21">
        <v>2016.2</v>
      </c>
      <c r="L1162" s="21">
        <v>18145.8</v>
      </c>
      <c r="M1162" s="21">
        <v>11595.64</v>
      </c>
      <c r="N1162" s="21">
        <v>6550.16</v>
      </c>
      <c r="O1162" t="s">
        <v>55</v>
      </c>
      <c r="P1162" s="21">
        <v>2437.39</v>
      </c>
      <c r="Q1162" t="s">
        <v>68</v>
      </c>
      <c r="R1162" t="s">
        <v>41</v>
      </c>
      <c r="S1162">
        <v>2</v>
      </c>
      <c r="T1162">
        <v>1</v>
      </c>
      <c r="U1162" t="s">
        <v>32</v>
      </c>
      <c r="V1162" t="s">
        <v>33</v>
      </c>
      <c r="W1162">
        <v>2</v>
      </c>
    </row>
    <row r="1163" spans="1:23" x14ac:dyDescent="0.25">
      <c r="A1163" t="s">
        <v>1755</v>
      </c>
      <c r="B1163" s="1">
        <v>45822</v>
      </c>
      <c r="C1163" t="s">
        <v>211</v>
      </c>
      <c r="D1163" t="s">
        <v>25</v>
      </c>
      <c r="E1163" t="s">
        <v>46</v>
      </c>
      <c r="F1163" t="s">
        <v>86</v>
      </c>
      <c r="G1163" t="s">
        <v>180</v>
      </c>
      <c r="H1163">
        <v>1</v>
      </c>
      <c r="I1163" s="21">
        <v>9928</v>
      </c>
      <c r="J1163">
        <v>15</v>
      </c>
      <c r="K1163" s="21">
        <v>1489.2</v>
      </c>
      <c r="L1163" s="21">
        <v>8438.7999999999993</v>
      </c>
      <c r="M1163" s="21">
        <v>6790.97</v>
      </c>
      <c r="N1163" s="21">
        <v>1647.83</v>
      </c>
      <c r="O1163" t="s">
        <v>91</v>
      </c>
      <c r="P1163" s="21">
        <v>1538.61</v>
      </c>
      <c r="Q1163" t="s">
        <v>73</v>
      </c>
      <c r="R1163" t="s">
        <v>41</v>
      </c>
      <c r="S1163">
        <v>2</v>
      </c>
      <c r="T1163">
        <v>2</v>
      </c>
      <c r="U1163" t="s">
        <v>32</v>
      </c>
      <c r="V1163" t="s">
        <v>42</v>
      </c>
    </row>
    <row r="1164" spans="1:23" x14ac:dyDescent="0.25">
      <c r="A1164" t="s">
        <v>1756</v>
      </c>
      <c r="B1164" s="1">
        <v>45754</v>
      </c>
      <c r="C1164" t="s">
        <v>514</v>
      </c>
      <c r="D1164" t="s">
        <v>154</v>
      </c>
      <c r="E1164" t="s">
        <v>46</v>
      </c>
      <c r="F1164" t="s">
        <v>27</v>
      </c>
      <c r="G1164" t="s">
        <v>113</v>
      </c>
      <c r="H1164">
        <v>1</v>
      </c>
      <c r="I1164" s="21">
        <v>8063</v>
      </c>
      <c r="J1164">
        <v>0</v>
      </c>
      <c r="K1164" s="21">
        <v>0</v>
      </c>
      <c r="L1164" s="21">
        <v>8063</v>
      </c>
      <c r="M1164" s="21">
        <v>5934</v>
      </c>
      <c r="N1164" s="21">
        <v>2129</v>
      </c>
      <c r="O1164" t="s">
        <v>49</v>
      </c>
      <c r="P1164" s="21">
        <v>150.12</v>
      </c>
      <c r="Q1164" t="s">
        <v>30</v>
      </c>
      <c r="R1164" t="s">
        <v>31</v>
      </c>
      <c r="S1164">
        <v>5</v>
      </c>
      <c r="T1164">
        <v>2</v>
      </c>
      <c r="U1164" t="s">
        <v>32</v>
      </c>
      <c r="V1164" t="s">
        <v>33</v>
      </c>
      <c r="W1164">
        <v>5</v>
      </c>
    </row>
    <row r="1165" spans="1:23" x14ac:dyDescent="0.25">
      <c r="A1165" t="s">
        <v>1757</v>
      </c>
      <c r="B1165" s="1">
        <v>46015</v>
      </c>
      <c r="C1165" t="s">
        <v>1492</v>
      </c>
      <c r="D1165" t="s">
        <v>154</v>
      </c>
      <c r="E1165" t="s">
        <v>46</v>
      </c>
      <c r="F1165" t="s">
        <v>37</v>
      </c>
      <c r="G1165" t="s">
        <v>313</v>
      </c>
      <c r="H1165">
        <v>1</v>
      </c>
      <c r="I1165" s="21">
        <v>25283</v>
      </c>
      <c r="J1165">
        <v>0</v>
      </c>
      <c r="K1165" s="21">
        <v>0</v>
      </c>
      <c r="L1165" s="21">
        <v>25283</v>
      </c>
      <c r="M1165" s="21">
        <v>17097.47</v>
      </c>
      <c r="N1165" s="21">
        <v>8185.53</v>
      </c>
      <c r="O1165" t="s">
        <v>60</v>
      </c>
      <c r="P1165" s="21">
        <v>916.62</v>
      </c>
      <c r="Q1165" t="s">
        <v>68</v>
      </c>
      <c r="R1165" t="s">
        <v>31</v>
      </c>
      <c r="S1165">
        <v>5</v>
      </c>
      <c r="T1165">
        <v>1</v>
      </c>
      <c r="U1165" t="s">
        <v>32</v>
      </c>
      <c r="V1165" t="s">
        <v>33</v>
      </c>
      <c r="W1165">
        <v>4</v>
      </c>
    </row>
    <row r="1166" spans="1:23" x14ac:dyDescent="0.25">
      <c r="A1166" t="s">
        <v>1758</v>
      </c>
      <c r="B1166" s="1">
        <v>45780</v>
      </c>
      <c r="C1166" t="s">
        <v>1759</v>
      </c>
      <c r="D1166" t="s">
        <v>90</v>
      </c>
      <c r="E1166" t="s">
        <v>46</v>
      </c>
      <c r="F1166" t="s">
        <v>86</v>
      </c>
      <c r="G1166" t="s">
        <v>127</v>
      </c>
      <c r="H1166">
        <v>2</v>
      </c>
      <c r="I1166" s="21">
        <v>24283</v>
      </c>
      <c r="J1166">
        <v>0</v>
      </c>
      <c r="K1166" s="21">
        <v>0</v>
      </c>
      <c r="L1166" s="21">
        <v>48566</v>
      </c>
      <c r="M1166" s="21">
        <v>33909.61</v>
      </c>
      <c r="N1166" s="21">
        <v>14656.39</v>
      </c>
      <c r="O1166" t="s">
        <v>39</v>
      </c>
      <c r="P1166" s="21">
        <v>606.39</v>
      </c>
      <c r="Q1166" t="s">
        <v>73</v>
      </c>
      <c r="R1166" t="s">
        <v>41</v>
      </c>
      <c r="S1166">
        <v>2</v>
      </c>
      <c r="T1166">
        <v>0</v>
      </c>
      <c r="U1166" t="s">
        <v>32</v>
      </c>
      <c r="V1166" t="s">
        <v>50</v>
      </c>
      <c r="W1166">
        <v>5</v>
      </c>
    </row>
    <row r="1167" spans="1:23" x14ac:dyDescent="0.25">
      <c r="A1167" t="s">
        <v>1760</v>
      </c>
      <c r="B1167" s="1">
        <v>45950</v>
      </c>
      <c r="C1167" t="s">
        <v>1615</v>
      </c>
      <c r="D1167" t="s">
        <v>63</v>
      </c>
      <c r="E1167" t="s">
        <v>36</v>
      </c>
      <c r="F1167" t="s">
        <v>86</v>
      </c>
      <c r="G1167" t="s">
        <v>110</v>
      </c>
      <c r="H1167">
        <v>1</v>
      </c>
      <c r="I1167" s="21">
        <v>66902</v>
      </c>
      <c r="J1167">
        <v>5</v>
      </c>
      <c r="K1167" s="21">
        <v>3345.1</v>
      </c>
      <c r="L1167" s="21">
        <v>63556.9</v>
      </c>
      <c r="M1167" s="21">
        <v>35906.660000000003</v>
      </c>
      <c r="N1167" s="21">
        <v>27650.240000000002</v>
      </c>
      <c r="O1167" t="s">
        <v>49</v>
      </c>
      <c r="P1167" s="21">
        <v>74.2</v>
      </c>
      <c r="Q1167" t="s">
        <v>68</v>
      </c>
      <c r="R1167" t="s">
        <v>41</v>
      </c>
      <c r="S1167">
        <v>2</v>
      </c>
      <c r="T1167">
        <v>6</v>
      </c>
      <c r="U1167" t="s">
        <v>56</v>
      </c>
      <c r="V1167" t="s">
        <v>33</v>
      </c>
      <c r="W1167">
        <v>1</v>
      </c>
    </row>
    <row r="1168" spans="1:23" x14ac:dyDescent="0.25">
      <c r="A1168" t="s">
        <v>1761</v>
      </c>
      <c r="B1168" s="1">
        <v>45854</v>
      </c>
      <c r="C1168" t="s">
        <v>1069</v>
      </c>
      <c r="D1168" t="s">
        <v>154</v>
      </c>
      <c r="E1168" t="s">
        <v>46</v>
      </c>
      <c r="F1168" t="s">
        <v>37</v>
      </c>
      <c r="G1168" t="s">
        <v>161</v>
      </c>
      <c r="H1168">
        <v>1</v>
      </c>
      <c r="I1168" s="21">
        <v>31998</v>
      </c>
      <c r="J1168">
        <v>0</v>
      </c>
      <c r="K1168" s="21">
        <v>0</v>
      </c>
      <c r="L1168" s="21">
        <v>31998</v>
      </c>
      <c r="M1168" s="21">
        <v>20630.03</v>
      </c>
      <c r="N1168" s="21">
        <v>11367.97</v>
      </c>
      <c r="O1168" t="s">
        <v>60</v>
      </c>
      <c r="P1168" s="21">
        <v>2280.23</v>
      </c>
      <c r="Q1168" t="s">
        <v>40</v>
      </c>
      <c r="R1168" t="s">
        <v>31</v>
      </c>
      <c r="S1168">
        <v>5</v>
      </c>
      <c r="T1168">
        <v>7</v>
      </c>
      <c r="U1168" t="s">
        <v>56</v>
      </c>
      <c r="V1168" t="s">
        <v>33</v>
      </c>
      <c r="W1168">
        <v>5</v>
      </c>
    </row>
    <row r="1169" spans="1:23" x14ac:dyDescent="0.25">
      <c r="A1169" t="s">
        <v>1762</v>
      </c>
      <c r="B1169" s="1">
        <v>45777</v>
      </c>
      <c r="C1169" t="s">
        <v>1763</v>
      </c>
      <c r="D1169" t="s">
        <v>71</v>
      </c>
      <c r="E1169" t="s">
        <v>26</v>
      </c>
      <c r="F1169" t="s">
        <v>86</v>
      </c>
      <c r="G1169" t="s">
        <v>180</v>
      </c>
      <c r="H1169">
        <v>1</v>
      </c>
      <c r="I1169" s="21">
        <v>39888</v>
      </c>
      <c r="J1169">
        <v>0</v>
      </c>
      <c r="K1169" s="21">
        <v>0</v>
      </c>
      <c r="L1169" s="21">
        <v>39888</v>
      </c>
      <c r="M1169" s="21">
        <v>32392.01</v>
      </c>
      <c r="N1169" s="21">
        <v>7495.99</v>
      </c>
      <c r="O1169" t="s">
        <v>60</v>
      </c>
      <c r="P1169" s="21">
        <v>2450.48</v>
      </c>
      <c r="Q1169" t="s">
        <v>30</v>
      </c>
      <c r="R1169" t="s">
        <v>31</v>
      </c>
      <c r="S1169">
        <v>5</v>
      </c>
      <c r="T1169">
        <v>6</v>
      </c>
      <c r="U1169" t="s">
        <v>56</v>
      </c>
      <c r="V1169" t="s">
        <v>33</v>
      </c>
      <c r="W1169">
        <v>2</v>
      </c>
    </row>
    <row r="1170" spans="1:23" x14ac:dyDescent="0.25">
      <c r="A1170" t="s">
        <v>1764</v>
      </c>
      <c r="B1170" s="1">
        <v>45868</v>
      </c>
      <c r="C1170" t="s">
        <v>606</v>
      </c>
      <c r="D1170" t="s">
        <v>90</v>
      </c>
      <c r="E1170" t="s">
        <v>26</v>
      </c>
      <c r="F1170" t="s">
        <v>47</v>
      </c>
      <c r="G1170" t="s">
        <v>48</v>
      </c>
      <c r="H1170">
        <v>1</v>
      </c>
      <c r="I1170" s="21">
        <v>30982</v>
      </c>
      <c r="J1170">
        <v>10</v>
      </c>
      <c r="K1170" s="21">
        <v>3098.2</v>
      </c>
      <c r="L1170" s="21">
        <v>27883.8</v>
      </c>
      <c r="M1170" s="21">
        <v>19038.8</v>
      </c>
      <c r="N1170" s="21">
        <v>8845</v>
      </c>
      <c r="O1170" t="s">
        <v>55</v>
      </c>
      <c r="P1170" s="21">
        <v>1004.36</v>
      </c>
      <c r="Q1170" t="s">
        <v>30</v>
      </c>
      <c r="R1170" t="s">
        <v>41</v>
      </c>
      <c r="S1170">
        <v>2</v>
      </c>
      <c r="T1170">
        <v>3</v>
      </c>
      <c r="U1170" t="s">
        <v>56</v>
      </c>
      <c r="V1170" t="s">
        <v>33</v>
      </c>
      <c r="W1170">
        <v>2</v>
      </c>
    </row>
    <row r="1171" spans="1:23" x14ac:dyDescent="0.25">
      <c r="A1171" t="s">
        <v>1765</v>
      </c>
      <c r="B1171" s="1">
        <v>45680</v>
      </c>
      <c r="C1171" t="s">
        <v>795</v>
      </c>
      <c r="D1171" t="s">
        <v>97</v>
      </c>
      <c r="E1171" t="s">
        <v>46</v>
      </c>
      <c r="F1171" t="s">
        <v>53</v>
      </c>
      <c r="G1171" t="s">
        <v>54</v>
      </c>
      <c r="H1171">
        <v>1</v>
      </c>
      <c r="I1171" s="21">
        <v>22311</v>
      </c>
      <c r="J1171">
        <v>15</v>
      </c>
      <c r="K1171" s="21">
        <v>3346.65</v>
      </c>
      <c r="L1171" s="21">
        <v>18964.349999999999</v>
      </c>
      <c r="M1171" s="21">
        <v>12750.25</v>
      </c>
      <c r="N1171" s="21">
        <v>6214.1</v>
      </c>
      <c r="O1171" t="s">
        <v>91</v>
      </c>
      <c r="P1171" s="21">
        <v>1162.0999999999999</v>
      </c>
      <c r="Q1171" t="s">
        <v>30</v>
      </c>
      <c r="R1171" t="s">
        <v>41</v>
      </c>
      <c r="S1171">
        <v>2</v>
      </c>
      <c r="T1171">
        <v>3</v>
      </c>
      <c r="U1171" t="s">
        <v>56</v>
      </c>
      <c r="V1171" t="s">
        <v>33</v>
      </c>
      <c r="W1171">
        <v>5</v>
      </c>
    </row>
    <row r="1172" spans="1:23" x14ac:dyDescent="0.25">
      <c r="A1172" t="s">
        <v>1766</v>
      </c>
      <c r="B1172" s="1">
        <v>45820</v>
      </c>
      <c r="C1172" t="s">
        <v>255</v>
      </c>
      <c r="D1172" t="s">
        <v>154</v>
      </c>
      <c r="E1172" t="s">
        <v>36</v>
      </c>
      <c r="F1172" t="s">
        <v>86</v>
      </c>
      <c r="G1172" t="s">
        <v>127</v>
      </c>
      <c r="H1172">
        <v>3</v>
      </c>
      <c r="I1172" s="21">
        <v>59578</v>
      </c>
      <c r="J1172">
        <v>25</v>
      </c>
      <c r="K1172" s="21">
        <v>44683.5</v>
      </c>
      <c r="L1172" s="21">
        <v>134050.5</v>
      </c>
      <c r="M1172" s="21">
        <v>104718.91</v>
      </c>
      <c r="N1172" s="21">
        <v>29331.59</v>
      </c>
      <c r="O1172" t="s">
        <v>39</v>
      </c>
      <c r="P1172" s="21">
        <v>1274.29</v>
      </c>
      <c r="Q1172" t="s">
        <v>83</v>
      </c>
      <c r="R1172" t="s">
        <v>41</v>
      </c>
      <c r="S1172">
        <v>2</v>
      </c>
      <c r="T1172">
        <v>3</v>
      </c>
      <c r="U1172" t="s">
        <v>56</v>
      </c>
      <c r="V1172" t="s">
        <v>33</v>
      </c>
      <c r="W1172">
        <v>4</v>
      </c>
    </row>
    <row r="1173" spans="1:23" x14ac:dyDescent="0.25">
      <c r="A1173" t="s">
        <v>1767</v>
      </c>
      <c r="B1173" s="1">
        <v>45900</v>
      </c>
      <c r="C1173" t="s">
        <v>1306</v>
      </c>
      <c r="D1173" t="s">
        <v>124</v>
      </c>
      <c r="E1173" t="s">
        <v>46</v>
      </c>
      <c r="F1173" t="s">
        <v>47</v>
      </c>
      <c r="G1173" t="s">
        <v>64</v>
      </c>
      <c r="H1173">
        <v>1</v>
      </c>
      <c r="I1173" s="21">
        <v>40440</v>
      </c>
      <c r="J1173">
        <v>10</v>
      </c>
      <c r="K1173" s="21">
        <v>4044</v>
      </c>
      <c r="L1173" s="21">
        <v>36396</v>
      </c>
      <c r="M1173" s="21">
        <v>29584.84</v>
      </c>
      <c r="N1173" s="21">
        <v>6811.16</v>
      </c>
      <c r="O1173" t="s">
        <v>39</v>
      </c>
      <c r="P1173" s="21">
        <v>2187.42</v>
      </c>
      <c r="Q1173" t="s">
        <v>68</v>
      </c>
      <c r="R1173" t="s">
        <v>31</v>
      </c>
      <c r="S1173">
        <v>5</v>
      </c>
      <c r="T1173">
        <v>5</v>
      </c>
      <c r="U1173" t="s">
        <v>32</v>
      </c>
      <c r="V1173" t="s">
        <v>33</v>
      </c>
      <c r="W1173">
        <v>3</v>
      </c>
    </row>
    <row r="1174" spans="1:23" x14ac:dyDescent="0.25">
      <c r="A1174" t="s">
        <v>1768</v>
      </c>
      <c r="B1174" s="1">
        <v>46019</v>
      </c>
      <c r="C1174" t="s">
        <v>1769</v>
      </c>
      <c r="D1174" t="s">
        <v>71</v>
      </c>
      <c r="E1174" t="s">
        <v>26</v>
      </c>
      <c r="F1174" t="s">
        <v>86</v>
      </c>
      <c r="G1174" t="s">
        <v>180</v>
      </c>
      <c r="H1174">
        <v>1</v>
      </c>
      <c r="I1174" s="21">
        <v>17387</v>
      </c>
      <c r="J1174">
        <v>10</v>
      </c>
      <c r="K1174" s="21">
        <v>1738.7</v>
      </c>
      <c r="L1174" s="21">
        <v>15648.3</v>
      </c>
      <c r="M1174" s="21">
        <v>11161.03</v>
      </c>
      <c r="N1174" s="21">
        <v>4487.2700000000004</v>
      </c>
      <c r="O1174" t="s">
        <v>49</v>
      </c>
      <c r="P1174" s="21">
        <v>165.55</v>
      </c>
      <c r="Q1174" t="s">
        <v>68</v>
      </c>
      <c r="R1174" t="s">
        <v>31</v>
      </c>
      <c r="S1174">
        <v>5</v>
      </c>
      <c r="T1174">
        <v>5</v>
      </c>
      <c r="U1174" t="s">
        <v>32</v>
      </c>
      <c r="V1174" t="s">
        <v>33</v>
      </c>
      <c r="W1174">
        <v>3</v>
      </c>
    </row>
    <row r="1175" spans="1:23" x14ac:dyDescent="0.25">
      <c r="A1175" t="s">
        <v>1770</v>
      </c>
      <c r="B1175" s="1">
        <v>45853</v>
      </c>
      <c r="C1175" t="s">
        <v>1485</v>
      </c>
      <c r="D1175" t="s">
        <v>63</v>
      </c>
      <c r="E1175" t="s">
        <v>36</v>
      </c>
      <c r="F1175" t="s">
        <v>53</v>
      </c>
      <c r="G1175" t="s">
        <v>54</v>
      </c>
      <c r="H1175">
        <v>2</v>
      </c>
      <c r="I1175" s="21">
        <v>22248</v>
      </c>
      <c r="J1175">
        <v>25</v>
      </c>
      <c r="K1175" s="21">
        <v>11124</v>
      </c>
      <c r="L1175" s="21">
        <v>33372</v>
      </c>
      <c r="M1175" s="21">
        <v>23314.23</v>
      </c>
      <c r="N1175" s="21">
        <v>10057.77</v>
      </c>
      <c r="O1175" t="s">
        <v>49</v>
      </c>
      <c r="P1175" s="21">
        <v>162.08000000000001</v>
      </c>
      <c r="Q1175" t="s">
        <v>30</v>
      </c>
      <c r="R1175" t="s">
        <v>31</v>
      </c>
      <c r="S1175">
        <v>5</v>
      </c>
      <c r="T1175">
        <v>3</v>
      </c>
      <c r="U1175" t="s">
        <v>32</v>
      </c>
      <c r="V1175" t="s">
        <v>42</v>
      </c>
    </row>
    <row r="1176" spans="1:23" x14ac:dyDescent="0.25">
      <c r="A1176" t="s">
        <v>1771</v>
      </c>
      <c r="B1176" s="1">
        <v>45855</v>
      </c>
      <c r="C1176" t="s">
        <v>115</v>
      </c>
      <c r="D1176" t="s">
        <v>25</v>
      </c>
      <c r="E1176" t="s">
        <v>26</v>
      </c>
      <c r="F1176" t="s">
        <v>47</v>
      </c>
      <c r="G1176" t="s">
        <v>48</v>
      </c>
      <c r="H1176">
        <v>1</v>
      </c>
      <c r="I1176" s="21">
        <v>18715</v>
      </c>
      <c r="J1176">
        <v>10</v>
      </c>
      <c r="K1176" s="21">
        <v>1871.5</v>
      </c>
      <c r="L1176" s="21">
        <v>16843.5</v>
      </c>
      <c r="M1176" s="21">
        <v>11932.03</v>
      </c>
      <c r="N1176" s="21">
        <v>4911.47</v>
      </c>
      <c r="O1176" t="s">
        <v>49</v>
      </c>
      <c r="P1176" s="21">
        <v>232.32</v>
      </c>
      <c r="Q1176" t="s">
        <v>83</v>
      </c>
      <c r="R1176" t="s">
        <v>31</v>
      </c>
      <c r="S1176">
        <v>5</v>
      </c>
      <c r="T1176">
        <v>3</v>
      </c>
      <c r="U1176" t="s">
        <v>32</v>
      </c>
      <c r="V1176" t="s">
        <v>33</v>
      </c>
    </row>
    <row r="1177" spans="1:23" x14ac:dyDescent="0.25">
      <c r="A1177" t="s">
        <v>1772</v>
      </c>
      <c r="B1177" s="1">
        <v>45997</v>
      </c>
      <c r="C1177" t="s">
        <v>742</v>
      </c>
      <c r="D1177" t="s">
        <v>90</v>
      </c>
      <c r="E1177" t="s">
        <v>46</v>
      </c>
      <c r="F1177" t="s">
        <v>86</v>
      </c>
      <c r="G1177" t="s">
        <v>180</v>
      </c>
      <c r="H1177">
        <v>2</v>
      </c>
      <c r="I1177" s="21">
        <v>31699</v>
      </c>
      <c r="J1177">
        <v>0</v>
      </c>
      <c r="K1177" s="21">
        <v>0</v>
      </c>
      <c r="L1177" s="21">
        <v>63398</v>
      </c>
      <c r="M1177" s="21">
        <v>48599.62</v>
      </c>
      <c r="N1177" s="21">
        <v>14798.38</v>
      </c>
      <c r="O1177" t="s">
        <v>91</v>
      </c>
      <c r="P1177" s="21">
        <v>267.41000000000003</v>
      </c>
      <c r="Q1177" t="s">
        <v>30</v>
      </c>
      <c r="R1177" t="s">
        <v>31</v>
      </c>
      <c r="S1177">
        <v>5</v>
      </c>
      <c r="T1177">
        <v>4</v>
      </c>
      <c r="U1177" t="s">
        <v>32</v>
      </c>
      <c r="V1177" t="s">
        <v>33</v>
      </c>
      <c r="W1177">
        <v>5</v>
      </c>
    </row>
    <row r="1178" spans="1:23" x14ac:dyDescent="0.25">
      <c r="A1178" t="s">
        <v>1773</v>
      </c>
      <c r="B1178" s="1">
        <v>45991</v>
      </c>
      <c r="C1178" t="s">
        <v>952</v>
      </c>
      <c r="D1178" t="s">
        <v>71</v>
      </c>
      <c r="E1178" t="s">
        <v>36</v>
      </c>
      <c r="F1178" t="s">
        <v>53</v>
      </c>
      <c r="G1178" t="s">
        <v>59</v>
      </c>
      <c r="H1178">
        <v>1</v>
      </c>
      <c r="I1178" s="21">
        <v>27648</v>
      </c>
      <c r="J1178">
        <v>0</v>
      </c>
      <c r="K1178" s="21">
        <v>0</v>
      </c>
      <c r="L1178" s="21">
        <v>27648</v>
      </c>
      <c r="M1178" s="21">
        <v>16719.07</v>
      </c>
      <c r="N1178" s="21">
        <v>10928.93</v>
      </c>
      <c r="O1178" t="s">
        <v>55</v>
      </c>
      <c r="P1178" s="21">
        <v>1567.75</v>
      </c>
      <c r="Q1178" t="s">
        <v>40</v>
      </c>
      <c r="R1178" t="s">
        <v>31</v>
      </c>
      <c r="S1178">
        <v>5</v>
      </c>
      <c r="T1178">
        <v>1</v>
      </c>
      <c r="U1178" t="s">
        <v>32</v>
      </c>
      <c r="V1178" t="s">
        <v>33</v>
      </c>
      <c r="W1178">
        <v>1</v>
      </c>
    </row>
    <row r="1179" spans="1:23" x14ac:dyDescent="0.25">
      <c r="A1179" t="s">
        <v>1774</v>
      </c>
      <c r="B1179" s="1">
        <v>45735</v>
      </c>
      <c r="C1179" t="s">
        <v>1775</v>
      </c>
      <c r="D1179" t="s">
        <v>79</v>
      </c>
      <c r="E1179" t="s">
        <v>36</v>
      </c>
      <c r="F1179" t="s">
        <v>37</v>
      </c>
      <c r="G1179" t="s">
        <v>38</v>
      </c>
      <c r="H1179">
        <v>1</v>
      </c>
      <c r="I1179" s="21">
        <v>11653</v>
      </c>
      <c r="J1179">
        <v>5</v>
      </c>
      <c r="K1179" s="21">
        <v>582.65</v>
      </c>
      <c r="L1179" s="21">
        <v>11070.35</v>
      </c>
      <c r="M1179" s="21">
        <v>6408.33</v>
      </c>
      <c r="N1179" s="21">
        <v>4662.0200000000004</v>
      </c>
      <c r="O1179" t="s">
        <v>55</v>
      </c>
      <c r="P1179" s="21">
        <v>1556.3</v>
      </c>
      <c r="Q1179" t="s">
        <v>30</v>
      </c>
      <c r="R1179" t="s">
        <v>41</v>
      </c>
      <c r="S1179">
        <v>2</v>
      </c>
      <c r="T1179">
        <v>5</v>
      </c>
      <c r="U1179" t="s">
        <v>32</v>
      </c>
      <c r="V1179" t="s">
        <v>50</v>
      </c>
      <c r="W1179">
        <v>1</v>
      </c>
    </row>
    <row r="1180" spans="1:23" x14ac:dyDescent="0.25">
      <c r="A1180" t="s">
        <v>1776</v>
      </c>
      <c r="B1180" s="1">
        <v>45911</v>
      </c>
      <c r="C1180" t="s">
        <v>582</v>
      </c>
      <c r="D1180" t="s">
        <v>79</v>
      </c>
      <c r="E1180" t="s">
        <v>26</v>
      </c>
      <c r="F1180" t="s">
        <v>37</v>
      </c>
      <c r="G1180" t="s">
        <v>100</v>
      </c>
      <c r="H1180">
        <v>3</v>
      </c>
      <c r="I1180" s="21">
        <v>37248</v>
      </c>
      <c r="J1180">
        <v>10</v>
      </c>
      <c r="K1180" s="21">
        <v>11174.4</v>
      </c>
      <c r="L1180" s="21">
        <v>100569.60000000001</v>
      </c>
      <c r="M1180" s="21">
        <v>57988.53</v>
      </c>
      <c r="N1180" s="21">
        <v>42581.07</v>
      </c>
      <c r="O1180" t="s">
        <v>49</v>
      </c>
      <c r="P1180" s="21">
        <v>260</v>
      </c>
      <c r="Q1180" t="s">
        <v>40</v>
      </c>
      <c r="R1180" t="s">
        <v>41</v>
      </c>
      <c r="S1180">
        <v>2</v>
      </c>
      <c r="T1180">
        <v>6</v>
      </c>
      <c r="U1180" t="s">
        <v>32</v>
      </c>
      <c r="V1180" t="s">
        <v>50</v>
      </c>
      <c r="W1180">
        <v>5</v>
      </c>
    </row>
    <row r="1181" spans="1:23" x14ac:dyDescent="0.25">
      <c r="A1181" t="s">
        <v>1777</v>
      </c>
      <c r="B1181" s="1">
        <v>45676</v>
      </c>
      <c r="C1181" t="s">
        <v>1063</v>
      </c>
      <c r="D1181" t="s">
        <v>79</v>
      </c>
      <c r="E1181" t="s">
        <v>46</v>
      </c>
      <c r="F1181" t="s">
        <v>86</v>
      </c>
      <c r="G1181" t="s">
        <v>94</v>
      </c>
      <c r="H1181">
        <v>1</v>
      </c>
      <c r="I1181" s="21">
        <v>75482</v>
      </c>
      <c r="J1181">
        <v>0</v>
      </c>
      <c r="K1181" s="21">
        <v>0</v>
      </c>
      <c r="L1181" s="21">
        <v>75482</v>
      </c>
      <c r="M1181" s="21">
        <v>51145.7</v>
      </c>
      <c r="N1181" s="21">
        <v>24336.3</v>
      </c>
      <c r="O1181" t="s">
        <v>55</v>
      </c>
      <c r="P1181" s="21">
        <v>1912.76</v>
      </c>
      <c r="Q1181" t="s">
        <v>30</v>
      </c>
      <c r="R1181" t="s">
        <v>41</v>
      </c>
      <c r="S1181">
        <v>2</v>
      </c>
      <c r="T1181">
        <v>1</v>
      </c>
      <c r="U1181" t="s">
        <v>32</v>
      </c>
      <c r="V1181" t="s">
        <v>33</v>
      </c>
      <c r="W1181">
        <v>5</v>
      </c>
    </row>
    <row r="1182" spans="1:23" x14ac:dyDescent="0.25">
      <c r="A1182" t="s">
        <v>1778</v>
      </c>
      <c r="B1182" s="1">
        <v>45722</v>
      </c>
      <c r="C1182" t="s">
        <v>288</v>
      </c>
      <c r="D1182" t="s">
        <v>124</v>
      </c>
      <c r="E1182" t="s">
        <v>46</v>
      </c>
      <c r="F1182" t="s">
        <v>47</v>
      </c>
      <c r="G1182" t="s">
        <v>105</v>
      </c>
      <c r="H1182">
        <v>1</v>
      </c>
      <c r="I1182" s="21">
        <v>8801</v>
      </c>
      <c r="J1182">
        <v>0</v>
      </c>
      <c r="K1182" s="21">
        <v>0</v>
      </c>
      <c r="L1182" s="21">
        <v>8801</v>
      </c>
      <c r="M1182" s="21">
        <v>6692.13</v>
      </c>
      <c r="N1182" s="21">
        <v>2108.87</v>
      </c>
      <c r="O1182" t="s">
        <v>60</v>
      </c>
      <c r="P1182" s="21">
        <v>2255.64</v>
      </c>
      <c r="Q1182" t="s">
        <v>40</v>
      </c>
      <c r="R1182" t="s">
        <v>31</v>
      </c>
      <c r="S1182">
        <v>5</v>
      </c>
      <c r="T1182">
        <v>5</v>
      </c>
      <c r="U1182" t="s">
        <v>32</v>
      </c>
      <c r="V1182" t="s">
        <v>33</v>
      </c>
      <c r="W1182">
        <v>2</v>
      </c>
    </row>
    <row r="1183" spans="1:23" x14ac:dyDescent="0.25">
      <c r="A1183" t="s">
        <v>1779</v>
      </c>
      <c r="B1183" s="1">
        <v>45915</v>
      </c>
      <c r="C1183" t="s">
        <v>1065</v>
      </c>
      <c r="D1183" t="s">
        <v>67</v>
      </c>
      <c r="E1183" t="s">
        <v>26</v>
      </c>
      <c r="F1183" t="s">
        <v>37</v>
      </c>
      <c r="G1183" t="s">
        <v>100</v>
      </c>
      <c r="H1183">
        <v>1</v>
      </c>
      <c r="I1183" s="21">
        <v>33321</v>
      </c>
      <c r="J1183">
        <v>15</v>
      </c>
      <c r="K1183" s="21">
        <v>4998.1499999999996</v>
      </c>
      <c r="L1183" s="21">
        <v>28322.85</v>
      </c>
      <c r="M1183" s="21">
        <v>19857.37</v>
      </c>
      <c r="N1183" s="21">
        <v>8465.48</v>
      </c>
      <c r="O1183" t="s">
        <v>60</v>
      </c>
      <c r="P1183" s="21">
        <v>2036.02</v>
      </c>
      <c r="Q1183" t="s">
        <v>40</v>
      </c>
      <c r="R1183" t="s">
        <v>31</v>
      </c>
      <c r="S1183">
        <v>5</v>
      </c>
      <c r="T1183">
        <v>7</v>
      </c>
      <c r="U1183" t="s">
        <v>56</v>
      </c>
      <c r="V1183" t="s">
        <v>33</v>
      </c>
      <c r="W1183">
        <v>2</v>
      </c>
    </row>
    <row r="1184" spans="1:23" x14ac:dyDescent="0.25">
      <c r="A1184" t="s">
        <v>1780</v>
      </c>
      <c r="B1184" s="1">
        <v>45960</v>
      </c>
      <c r="C1184" t="s">
        <v>1078</v>
      </c>
      <c r="D1184" t="s">
        <v>25</v>
      </c>
      <c r="E1184" t="s">
        <v>36</v>
      </c>
      <c r="F1184" t="s">
        <v>53</v>
      </c>
      <c r="G1184" t="s">
        <v>82</v>
      </c>
      <c r="H1184">
        <v>1</v>
      </c>
      <c r="I1184" s="21">
        <v>10930</v>
      </c>
      <c r="J1184">
        <v>5</v>
      </c>
      <c r="K1184" s="21">
        <v>546.5</v>
      </c>
      <c r="L1184" s="21">
        <v>10383.5</v>
      </c>
      <c r="M1184" s="21">
        <v>7949.28</v>
      </c>
      <c r="N1184" s="21">
        <v>2434.2199999999998</v>
      </c>
      <c r="O1184" t="s">
        <v>60</v>
      </c>
      <c r="P1184" s="21">
        <v>2417.2199999999998</v>
      </c>
      <c r="Q1184" t="s">
        <v>68</v>
      </c>
      <c r="R1184" t="s">
        <v>31</v>
      </c>
      <c r="S1184">
        <v>5</v>
      </c>
      <c r="T1184">
        <v>6</v>
      </c>
      <c r="U1184" t="s">
        <v>56</v>
      </c>
      <c r="V1184" t="s">
        <v>33</v>
      </c>
      <c r="W1184">
        <v>4</v>
      </c>
    </row>
    <row r="1185" spans="1:23" x14ac:dyDescent="0.25">
      <c r="A1185" t="s">
        <v>1781</v>
      </c>
      <c r="B1185" s="1">
        <v>45827</v>
      </c>
      <c r="C1185" t="s">
        <v>199</v>
      </c>
      <c r="D1185" t="s">
        <v>90</v>
      </c>
      <c r="E1185" t="s">
        <v>26</v>
      </c>
      <c r="F1185" t="s">
        <v>53</v>
      </c>
      <c r="G1185" t="s">
        <v>54</v>
      </c>
      <c r="H1185">
        <v>2</v>
      </c>
      <c r="I1185" s="21">
        <v>81284</v>
      </c>
      <c r="J1185">
        <v>20</v>
      </c>
      <c r="K1185" s="21">
        <v>32513.599999999999</v>
      </c>
      <c r="L1185" s="21">
        <v>130054.39999999999</v>
      </c>
      <c r="M1185" s="21">
        <v>72229.509999999995</v>
      </c>
      <c r="N1185" s="21">
        <v>57824.89</v>
      </c>
      <c r="O1185" t="s">
        <v>60</v>
      </c>
      <c r="P1185" s="21">
        <v>1204.94</v>
      </c>
      <c r="Q1185" t="s">
        <v>83</v>
      </c>
      <c r="R1185" t="s">
        <v>41</v>
      </c>
      <c r="S1185">
        <v>2</v>
      </c>
      <c r="T1185">
        <v>1</v>
      </c>
      <c r="U1185" t="s">
        <v>32</v>
      </c>
      <c r="V1185" t="s">
        <v>33</v>
      </c>
      <c r="W1185">
        <v>1</v>
      </c>
    </row>
    <row r="1186" spans="1:23" x14ac:dyDescent="0.25">
      <c r="A1186" t="s">
        <v>1782</v>
      </c>
      <c r="B1186" s="1">
        <v>45709</v>
      </c>
      <c r="C1186" t="s">
        <v>1783</v>
      </c>
      <c r="D1186" t="s">
        <v>154</v>
      </c>
      <c r="E1186" t="s">
        <v>46</v>
      </c>
      <c r="F1186" t="s">
        <v>47</v>
      </c>
      <c r="G1186" t="s">
        <v>64</v>
      </c>
      <c r="H1186">
        <v>2</v>
      </c>
      <c r="I1186" s="21">
        <v>33645</v>
      </c>
      <c r="J1186">
        <v>0</v>
      </c>
      <c r="K1186" s="21">
        <v>0</v>
      </c>
      <c r="L1186" s="21">
        <v>67290</v>
      </c>
      <c r="M1186" s="21">
        <v>37089.660000000003</v>
      </c>
      <c r="N1186" s="21">
        <v>30200.34</v>
      </c>
      <c r="O1186" t="s">
        <v>55</v>
      </c>
      <c r="P1186" s="21">
        <v>1037.1500000000001</v>
      </c>
      <c r="Q1186" t="s">
        <v>40</v>
      </c>
      <c r="R1186" t="s">
        <v>31</v>
      </c>
      <c r="S1186">
        <v>5</v>
      </c>
      <c r="T1186">
        <v>3</v>
      </c>
      <c r="U1186" t="s">
        <v>32</v>
      </c>
      <c r="V1186" t="s">
        <v>33</v>
      </c>
      <c r="W1186">
        <v>2</v>
      </c>
    </row>
    <row r="1187" spans="1:23" x14ac:dyDescent="0.25">
      <c r="A1187" t="s">
        <v>1784</v>
      </c>
      <c r="B1187" s="1">
        <v>45883</v>
      </c>
      <c r="C1187" t="s">
        <v>1234</v>
      </c>
      <c r="D1187" t="s">
        <v>124</v>
      </c>
      <c r="E1187" t="s">
        <v>26</v>
      </c>
      <c r="F1187" t="s">
        <v>86</v>
      </c>
      <c r="G1187" t="s">
        <v>87</v>
      </c>
      <c r="H1187">
        <v>1</v>
      </c>
      <c r="I1187" s="21">
        <v>81744</v>
      </c>
      <c r="J1187">
        <v>25</v>
      </c>
      <c r="K1187" s="21">
        <v>20436</v>
      </c>
      <c r="L1187" s="21">
        <v>61308</v>
      </c>
      <c r="M1187" s="21">
        <v>47876.98</v>
      </c>
      <c r="N1187" s="21">
        <v>13431.02</v>
      </c>
      <c r="O1187" t="s">
        <v>49</v>
      </c>
      <c r="P1187" s="21">
        <v>60.61</v>
      </c>
      <c r="Q1187" t="s">
        <v>73</v>
      </c>
      <c r="R1187" t="s">
        <v>31</v>
      </c>
      <c r="S1187">
        <v>5</v>
      </c>
      <c r="T1187">
        <v>1</v>
      </c>
      <c r="U1187" t="s">
        <v>32</v>
      </c>
      <c r="V1187" t="s">
        <v>42</v>
      </c>
    </row>
    <row r="1188" spans="1:23" x14ac:dyDescent="0.25">
      <c r="A1188" t="s">
        <v>1785</v>
      </c>
      <c r="B1188" s="1">
        <v>45709</v>
      </c>
      <c r="C1188" t="s">
        <v>958</v>
      </c>
      <c r="D1188" t="s">
        <v>90</v>
      </c>
      <c r="E1188" t="s">
        <v>36</v>
      </c>
      <c r="F1188" t="s">
        <v>53</v>
      </c>
      <c r="G1188" t="s">
        <v>54</v>
      </c>
      <c r="H1188">
        <v>1</v>
      </c>
      <c r="I1188" s="21">
        <v>22229</v>
      </c>
      <c r="J1188">
        <v>10</v>
      </c>
      <c r="K1188" s="21">
        <v>2222.9</v>
      </c>
      <c r="L1188" s="21">
        <v>20006.099999999999</v>
      </c>
      <c r="M1188" s="21">
        <v>15128.33</v>
      </c>
      <c r="N1188" s="21">
        <v>4877.7700000000004</v>
      </c>
      <c r="O1188" t="s">
        <v>39</v>
      </c>
      <c r="P1188" s="21">
        <v>1129.8399999999999</v>
      </c>
      <c r="Q1188" t="s">
        <v>68</v>
      </c>
      <c r="R1188" t="s">
        <v>41</v>
      </c>
      <c r="S1188">
        <v>2</v>
      </c>
      <c r="T1188">
        <v>5</v>
      </c>
      <c r="U1188" t="s">
        <v>32</v>
      </c>
      <c r="V1188" t="s">
        <v>50</v>
      </c>
      <c r="W1188">
        <v>3</v>
      </c>
    </row>
    <row r="1189" spans="1:23" x14ac:dyDescent="0.25">
      <c r="A1189" t="s">
        <v>1786</v>
      </c>
      <c r="B1189" s="1">
        <v>45927</v>
      </c>
      <c r="C1189" t="s">
        <v>1787</v>
      </c>
      <c r="D1189" t="s">
        <v>124</v>
      </c>
      <c r="E1189" t="s">
        <v>26</v>
      </c>
      <c r="F1189" t="s">
        <v>47</v>
      </c>
      <c r="G1189" t="s">
        <v>64</v>
      </c>
      <c r="H1189">
        <v>1</v>
      </c>
      <c r="I1189" s="21">
        <v>8119</v>
      </c>
      <c r="J1189">
        <v>20</v>
      </c>
      <c r="K1189" s="21">
        <v>1623.8</v>
      </c>
      <c r="L1189" s="21">
        <v>6495.2</v>
      </c>
      <c r="M1189" s="21">
        <v>4309.99</v>
      </c>
      <c r="N1189" s="21">
        <v>2185.21</v>
      </c>
      <c r="O1189" t="s">
        <v>39</v>
      </c>
      <c r="P1189" s="21">
        <v>2086.6</v>
      </c>
      <c r="Q1189" t="s">
        <v>40</v>
      </c>
      <c r="R1189" t="s">
        <v>41</v>
      </c>
      <c r="S1189">
        <v>2</v>
      </c>
      <c r="T1189">
        <v>1</v>
      </c>
      <c r="U1189" t="s">
        <v>32</v>
      </c>
      <c r="V1189" t="s">
        <v>33</v>
      </c>
      <c r="W1189">
        <v>5</v>
      </c>
    </row>
    <row r="1190" spans="1:23" x14ac:dyDescent="0.25">
      <c r="A1190" t="s">
        <v>1788</v>
      </c>
      <c r="B1190" s="1">
        <v>45891</v>
      </c>
      <c r="C1190" t="s">
        <v>312</v>
      </c>
      <c r="D1190" t="s">
        <v>67</v>
      </c>
      <c r="E1190" t="s">
        <v>26</v>
      </c>
      <c r="F1190" t="s">
        <v>27</v>
      </c>
      <c r="G1190" t="s">
        <v>164</v>
      </c>
      <c r="H1190">
        <v>1</v>
      </c>
      <c r="I1190" s="21">
        <v>21391</v>
      </c>
      <c r="J1190">
        <v>20</v>
      </c>
      <c r="K1190" s="21">
        <v>4278.2</v>
      </c>
      <c r="L1190" s="21">
        <v>17112.8</v>
      </c>
      <c r="M1190" s="21">
        <v>13605.6</v>
      </c>
      <c r="N1190" s="21">
        <v>3507.2</v>
      </c>
      <c r="O1190" t="s">
        <v>91</v>
      </c>
      <c r="P1190" s="21">
        <v>738.68</v>
      </c>
      <c r="Q1190" t="s">
        <v>73</v>
      </c>
      <c r="R1190" t="s">
        <v>31</v>
      </c>
      <c r="S1190">
        <v>5</v>
      </c>
      <c r="T1190">
        <v>6</v>
      </c>
      <c r="U1190" t="s">
        <v>56</v>
      </c>
      <c r="V1190" t="s">
        <v>33</v>
      </c>
      <c r="W1190">
        <v>2</v>
      </c>
    </row>
    <row r="1191" spans="1:23" x14ac:dyDescent="0.25">
      <c r="A1191" t="s">
        <v>1789</v>
      </c>
      <c r="B1191" s="1">
        <v>45665</v>
      </c>
      <c r="C1191" t="s">
        <v>1790</v>
      </c>
      <c r="D1191" t="s">
        <v>79</v>
      </c>
      <c r="E1191" t="s">
        <v>46</v>
      </c>
      <c r="F1191" t="s">
        <v>37</v>
      </c>
      <c r="G1191" t="s">
        <v>100</v>
      </c>
      <c r="H1191">
        <v>1</v>
      </c>
      <c r="I1191" s="21">
        <v>14536</v>
      </c>
      <c r="J1191">
        <v>5</v>
      </c>
      <c r="K1191" s="21">
        <v>726.8</v>
      </c>
      <c r="L1191" s="21">
        <v>13809.2</v>
      </c>
      <c r="M1191" s="21">
        <v>10333.08</v>
      </c>
      <c r="N1191" s="21">
        <v>3476.12</v>
      </c>
      <c r="O1191" t="s">
        <v>39</v>
      </c>
      <c r="P1191" s="21">
        <v>2009.57</v>
      </c>
      <c r="Q1191" t="s">
        <v>30</v>
      </c>
      <c r="R1191" t="s">
        <v>31</v>
      </c>
      <c r="S1191">
        <v>5</v>
      </c>
      <c r="T1191">
        <v>3</v>
      </c>
      <c r="U1191" t="s">
        <v>32</v>
      </c>
      <c r="V1191" t="s">
        <v>33</v>
      </c>
      <c r="W1191">
        <v>3</v>
      </c>
    </row>
    <row r="1192" spans="1:23" x14ac:dyDescent="0.25">
      <c r="A1192" t="s">
        <v>1791</v>
      </c>
      <c r="B1192" s="1">
        <v>45731</v>
      </c>
      <c r="C1192" t="s">
        <v>706</v>
      </c>
      <c r="D1192" t="s">
        <v>67</v>
      </c>
      <c r="E1192" t="s">
        <v>46</v>
      </c>
      <c r="F1192" t="s">
        <v>86</v>
      </c>
      <c r="G1192" t="s">
        <v>94</v>
      </c>
      <c r="H1192">
        <v>1</v>
      </c>
      <c r="I1192" s="21">
        <v>9580</v>
      </c>
      <c r="J1192">
        <v>0</v>
      </c>
      <c r="K1192" s="21">
        <v>0</v>
      </c>
      <c r="L1192" s="21">
        <v>9580</v>
      </c>
      <c r="M1192" s="21">
        <v>7407.89</v>
      </c>
      <c r="N1192" s="21">
        <v>2172.11</v>
      </c>
      <c r="O1192" t="s">
        <v>60</v>
      </c>
      <c r="P1192" s="21">
        <v>1083.83</v>
      </c>
      <c r="Q1192" t="s">
        <v>73</v>
      </c>
      <c r="R1192" t="s">
        <v>31</v>
      </c>
      <c r="S1192">
        <v>5</v>
      </c>
      <c r="T1192">
        <v>5</v>
      </c>
      <c r="U1192" t="s">
        <v>32</v>
      </c>
      <c r="V1192" t="s">
        <v>33</v>
      </c>
      <c r="W1192">
        <v>3</v>
      </c>
    </row>
    <row r="1193" spans="1:23" x14ac:dyDescent="0.25">
      <c r="A1193" t="s">
        <v>1792</v>
      </c>
      <c r="B1193" s="1">
        <v>45867</v>
      </c>
      <c r="C1193" t="s">
        <v>1749</v>
      </c>
      <c r="D1193" t="s">
        <v>67</v>
      </c>
      <c r="E1193" t="s">
        <v>26</v>
      </c>
      <c r="F1193" t="s">
        <v>27</v>
      </c>
      <c r="G1193" t="s">
        <v>28</v>
      </c>
      <c r="H1193">
        <v>1</v>
      </c>
      <c r="I1193" s="21">
        <v>10979</v>
      </c>
      <c r="J1193">
        <v>0</v>
      </c>
      <c r="K1193" s="21">
        <v>0</v>
      </c>
      <c r="L1193" s="21">
        <v>10979</v>
      </c>
      <c r="M1193" s="21">
        <v>8339.7099999999991</v>
      </c>
      <c r="N1193" s="21">
        <v>2639.29</v>
      </c>
      <c r="O1193" t="s">
        <v>49</v>
      </c>
      <c r="P1193" s="21">
        <v>82.8</v>
      </c>
      <c r="Q1193" t="s">
        <v>73</v>
      </c>
      <c r="R1193" t="s">
        <v>41</v>
      </c>
      <c r="S1193">
        <v>2</v>
      </c>
      <c r="T1193">
        <v>1</v>
      </c>
      <c r="U1193" t="s">
        <v>32</v>
      </c>
      <c r="V1193" t="s">
        <v>33</v>
      </c>
      <c r="W1193">
        <v>5</v>
      </c>
    </row>
    <row r="1194" spans="1:23" x14ac:dyDescent="0.25">
      <c r="A1194" t="s">
        <v>1793</v>
      </c>
      <c r="B1194" s="1">
        <v>45993</v>
      </c>
      <c r="C1194" t="s">
        <v>140</v>
      </c>
      <c r="D1194" t="s">
        <v>154</v>
      </c>
      <c r="E1194" t="s">
        <v>46</v>
      </c>
      <c r="F1194" t="s">
        <v>37</v>
      </c>
      <c r="G1194" t="s">
        <v>313</v>
      </c>
      <c r="H1194">
        <v>2</v>
      </c>
      <c r="I1194" s="21">
        <v>38608</v>
      </c>
      <c r="J1194">
        <v>15</v>
      </c>
      <c r="K1194" s="21">
        <v>11582.4</v>
      </c>
      <c r="L1194" s="21">
        <v>65633.600000000006</v>
      </c>
      <c r="M1194" s="21">
        <v>53487.55</v>
      </c>
      <c r="N1194" s="21">
        <v>12146.05</v>
      </c>
      <c r="O1194" t="s">
        <v>60</v>
      </c>
      <c r="P1194" s="21">
        <v>1387.25</v>
      </c>
      <c r="Q1194" t="s">
        <v>73</v>
      </c>
      <c r="R1194" t="s">
        <v>31</v>
      </c>
      <c r="S1194">
        <v>5</v>
      </c>
      <c r="T1194">
        <v>3</v>
      </c>
      <c r="U1194" t="s">
        <v>32</v>
      </c>
      <c r="V1194" t="s">
        <v>33</v>
      </c>
      <c r="W1194">
        <v>5</v>
      </c>
    </row>
    <row r="1195" spans="1:23" x14ac:dyDescent="0.25">
      <c r="A1195" t="s">
        <v>1794</v>
      </c>
      <c r="B1195" s="1">
        <v>45737</v>
      </c>
      <c r="C1195" t="s">
        <v>482</v>
      </c>
      <c r="D1195" t="s">
        <v>71</v>
      </c>
      <c r="E1195" t="s">
        <v>46</v>
      </c>
      <c r="F1195" t="s">
        <v>53</v>
      </c>
      <c r="G1195" t="s">
        <v>54</v>
      </c>
      <c r="H1195">
        <v>1</v>
      </c>
      <c r="I1195" s="21">
        <v>58446</v>
      </c>
      <c r="J1195">
        <v>0</v>
      </c>
      <c r="K1195" s="21">
        <v>0</v>
      </c>
      <c r="L1195" s="21">
        <v>58446</v>
      </c>
      <c r="M1195" s="21">
        <v>45711.199999999997</v>
      </c>
      <c r="N1195" s="21">
        <v>12734.8</v>
      </c>
      <c r="O1195" t="s">
        <v>39</v>
      </c>
      <c r="P1195" s="21">
        <v>1871.25</v>
      </c>
      <c r="Q1195" t="s">
        <v>30</v>
      </c>
      <c r="R1195" t="s">
        <v>31</v>
      </c>
      <c r="S1195">
        <v>5</v>
      </c>
      <c r="T1195">
        <v>2</v>
      </c>
      <c r="U1195" t="s">
        <v>32</v>
      </c>
      <c r="V1195" t="s">
        <v>50</v>
      </c>
      <c r="W1195">
        <v>2</v>
      </c>
    </row>
    <row r="1196" spans="1:23" x14ac:dyDescent="0.25">
      <c r="A1196" t="s">
        <v>1795</v>
      </c>
      <c r="B1196" s="1">
        <v>45696</v>
      </c>
      <c r="C1196" t="s">
        <v>417</v>
      </c>
      <c r="D1196" t="s">
        <v>25</v>
      </c>
      <c r="E1196" t="s">
        <v>46</v>
      </c>
      <c r="F1196" t="s">
        <v>27</v>
      </c>
      <c r="G1196" t="s">
        <v>113</v>
      </c>
      <c r="H1196">
        <v>3</v>
      </c>
      <c r="I1196" s="21">
        <v>19070</v>
      </c>
      <c r="J1196">
        <v>15</v>
      </c>
      <c r="K1196" s="21">
        <v>8581.5</v>
      </c>
      <c r="L1196" s="21">
        <v>48628.5</v>
      </c>
      <c r="M1196" s="21">
        <v>38508.839999999997</v>
      </c>
      <c r="N1196" s="21">
        <v>10119.66</v>
      </c>
      <c r="O1196" t="s">
        <v>29</v>
      </c>
      <c r="P1196" s="21">
        <v>1389.13</v>
      </c>
      <c r="Q1196" t="s">
        <v>40</v>
      </c>
      <c r="R1196" t="s">
        <v>31</v>
      </c>
      <c r="S1196">
        <v>5</v>
      </c>
      <c r="T1196">
        <v>6</v>
      </c>
      <c r="U1196" t="s">
        <v>32</v>
      </c>
      <c r="V1196" t="s">
        <v>50</v>
      </c>
      <c r="W1196">
        <v>3</v>
      </c>
    </row>
    <row r="1197" spans="1:23" x14ac:dyDescent="0.25">
      <c r="A1197" t="s">
        <v>1796</v>
      </c>
      <c r="B1197" s="1">
        <v>45898</v>
      </c>
      <c r="C1197" t="s">
        <v>1091</v>
      </c>
      <c r="D1197" t="s">
        <v>154</v>
      </c>
      <c r="E1197" t="s">
        <v>26</v>
      </c>
      <c r="F1197" t="s">
        <v>27</v>
      </c>
      <c r="G1197" t="s">
        <v>28</v>
      </c>
      <c r="H1197">
        <v>2</v>
      </c>
      <c r="I1197" s="21">
        <v>3697</v>
      </c>
      <c r="J1197">
        <v>0</v>
      </c>
      <c r="K1197" s="21">
        <v>0</v>
      </c>
      <c r="L1197" s="21">
        <v>7394</v>
      </c>
      <c r="M1197" s="21">
        <v>5438.82</v>
      </c>
      <c r="N1197" s="21">
        <v>1955.18</v>
      </c>
      <c r="O1197" t="s">
        <v>55</v>
      </c>
      <c r="P1197" s="21">
        <v>660.03</v>
      </c>
      <c r="Q1197" t="s">
        <v>30</v>
      </c>
      <c r="R1197" t="s">
        <v>31</v>
      </c>
      <c r="S1197">
        <v>5</v>
      </c>
      <c r="T1197">
        <v>3</v>
      </c>
      <c r="U1197" t="s">
        <v>32</v>
      </c>
      <c r="V1197" t="s">
        <v>42</v>
      </c>
    </row>
    <row r="1198" spans="1:23" x14ac:dyDescent="0.25">
      <c r="A1198" t="s">
        <v>1797</v>
      </c>
      <c r="B1198" s="1">
        <v>45793</v>
      </c>
      <c r="C1198" t="s">
        <v>1353</v>
      </c>
      <c r="D1198" t="s">
        <v>71</v>
      </c>
      <c r="E1198" t="s">
        <v>26</v>
      </c>
      <c r="F1198" t="s">
        <v>53</v>
      </c>
      <c r="G1198" t="s">
        <v>59</v>
      </c>
      <c r="H1198">
        <v>1</v>
      </c>
      <c r="I1198" s="21">
        <v>98366</v>
      </c>
      <c r="J1198">
        <v>0</v>
      </c>
      <c r="K1198" s="21">
        <v>0</v>
      </c>
      <c r="L1198" s="21">
        <v>98366</v>
      </c>
      <c r="M1198" s="21">
        <v>73668.39</v>
      </c>
      <c r="N1198" s="21">
        <v>24697.61</v>
      </c>
      <c r="O1198" t="s">
        <v>39</v>
      </c>
      <c r="P1198" s="21">
        <v>1834.56</v>
      </c>
      <c r="Q1198" t="s">
        <v>73</v>
      </c>
      <c r="R1198" t="s">
        <v>41</v>
      </c>
      <c r="S1198">
        <v>2</v>
      </c>
      <c r="T1198">
        <v>3</v>
      </c>
      <c r="U1198" t="s">
        <v>32</v>
      </c>
      <c r="V1198" t="s">
        <v>42</v>
      </c>
    </row>
    <row r="1199" spans="1:23" x14ac:dyDescent="0.25">
      <c r="A1199" t="s">
        <v>1798</v>
      </c>
      <c r="B1199" s="1">
        <v>45831</v>
      </c>
      <c r="C1199" t="s">
        <v>1314</v>
      </c>
      <c r="D1199" t="s">
        <v>79</v>
      </c>
      <c r="E1199" t="s">
        <v>26</v>
      </c>
      <c r="F1199" t="s">
        <v>86</v>
      </c>
      <c r="G1199" t="s">
        <v>87</v>
      </c>
      <c r="H1199">
        <v>1</v>
      </c>
      <c r="I1199" s="21">
        <v>40035</v>
      </c>
      <c r="J1199">
        <v>20</v>
      </c>
      <c r="K1199" s="21">
        <v>8007</v>
      </c>
      <c r="L1199" s="21">
        <v>32028</v>
      </c>
      <c r="M1199" s="21">
        <v>19431.89</v>
      </c>
      <c r="N1199" s="21">
        <v>12596.11</v>
      </c>
      <c r="O1199" t="s">
        <v>29</v>
      </c>
      <c r="P1199" s="21">
        <v>1875.88</v>
      </c>
      <c r="Q1199" t="s">
        <v>68</v>
      </c>
      <c r="R1199" t="s">
        <v>31</v>
      </c>
      <c r="S1199">
        <v>5</v>
      </c>
      <c r="T1199">
        <v>6</v>
      </c>
      <c r="U1199" t="s">
        <v>56</v>
      </c>
      <c r="V1199" t="s">
        <v>33</v>
      </c>
      <c r="W1199">
        <v>4</v>
      </c>
    </row>
    <row r="1200" spans="1:23" x14ac:dyDescent="0.25">
      <c r="A1200" t="s">
        <v>1799</v>
      </c>
      <c r="B1200" s="1">
        <v>45977</v>
      </c>
      <c r="C1200" t="s">
        <v>176</v>
      </c>
      <c r="D1200" t="s">
        <v>154</v>
      </c>
      <c r="E1200" t="s">
        <v>46</v>
      </c>
      <c r="F1200" t="s">
        <v>53</v>
      </c>
      <c r="G1200" t="s">
        <v>268</v>
      </c>
      <c r="H1200">
        <v>2</v>
      </c>
      <c r="I1200" s="21">
        <v>118565</v>
      </c>
      <c r="J1200">
        <v>15</v>
      </c>
      <c r="K1200" s="21">
        <v>35569.5</v>
      </c>
      <c r="L1200" s="21">
        <v>201560.5</v>
      </c>
      <c r="M1200" s="21">
        <v>143878.26999999999</v>
      </c>
      <c r="N1200" s="21">
        <v>57682.23</v>
      </c>
      <c r="O1200" t="s">
        <v>60</v>
      </c>
      <c r="P1200" s="21">
        <v>578.08000000000004</v>
      </c>
      <c r="Q1200" t="s">
        <v>73</v>
      </c>
      <c r="R1200" t="s">
        <v>31</v>
      </c>
      <c r="S1200">
        <v>5</v>
      </c>
      <c r="T1200">
        <v>5</v>
      </c>
      <c r="U1200" t="s">
        <v>32</v>
      </c>
      <c r="V1200" t="s">
        <v>33</v>
      </c>
      <c r="W1200">
        <v>4</v>
      </c>
    </row>
    <row r="1201" spans="1:23" x14ac:dyDescent="0.25">
      <c r="A1201" t="s">
        <v>1800</v>
      </c>
      <c r="B1201" s="1">
        <v>46012</v>
      </c>
      <c r="C1201" t="s">
        <v>378</v>
      </c>
      <c r="D1201" t="s">
        <v>25</v>
      </c>
      <c r="E1201" t="s">
        <v>46</v>
      </c>
      <c r="F1201" t="s">
        <v>47</v>
      </c>
      <c r="G1201" t="s">
        <v>64</v>
      </c>
      <c r="H1201">
        <v>2</v>
      </c>
      <c r="I1201" s="21">
        <v>44822</v>
      </c>
      <c r="J1201">
        <v>10</v>
      </c>
      <c r="K1201" s="21">
        <v>8964.4</v>
      </c>
      <c r="L1201" s="21">
        <v>80679.600000000006</v>
      </c>
      <c r="M1201" s="21">
        <v>48201.61</v>
      </c>
      <c r="N1201" s="21">
        <v>32477.99</v>
      </c>
      <c r="O1201" t="s">
        <v>55</v>
      </c>
      <c r="P1201" s="21">
        <v>218.09</v>
      </c>
      <c r="Q1201" t="s">
        <v>40</v>
      </c>
      <c r="R1201" t="s">
        <v>41</v>
      </c>
      <c r="S1201">
        <v>2</v>
      </c>
      <c r="T1201">
        <v>4</v>
      </c>
      <c r="U1201" t="s">
        <v>56</v>
      </c>
      <c r="V1201" t="s">
        <v>33</v>
      </c>
      <c r="W1201">
        <v>5</v>
      </c>
    </row>
    <row r="1202" spans="1:23" x14ac:dyDescent="0.25">
      <c r="A1202" t="s">
        <v>1801</v>
      </c>
      <c r="B1202" s="1">
        <v>45861</v>
      </c>
      <c r="C1202" t="s">
        <v>770</v>
      </c>
      <c r="D1202" t="s">
        <v>154</v>
      </c>
      <c r="E1202" t="s">
        <v>46</v>
      </c>
      <c r="F1202" t="s">
        <v>47</v>
      </c>
      <c r="G1202" t="s">
        <v>146</v>
      </c>
      <c r="H1202">
        <v>3</v>
      </c>
      <c r="I1202" s="21">
        <v>43018</v>
      </c>
      <c r="J1202">
        <v>0</v>
      </c>
      <c r="K1202" s="21">
        <v>0</v>
      </c>
      <c r="L1202" s="21">
        <v>129054</v>
      </c>
      <c r="M1202" s="21">
        <v>94625.52</v>
      </c>
      <c r="N1202" s="21">
        <v>34428.480000000003</v>
      </c>
      <c r="O1202" t="s">
        <v>49</v>
      </c>
      <c r="P1202" s="21">
        <v>84.84</v>
      </c>
      <c r="Q1202" t="s">
        <v>30</v>
      </c>
      <c r="R1202" t="s">
        <v>41</v>
      </c>
      <c r="S1202">
        <v>2</v>
      </c>
      <c r="T1202">
        <v>2</v>
      </c>
      <c r="U1202" t="s">
        <v>32</v>
      </c>
      <c r="V1202" t="s">
        <v>33</v>
      </c>
      <c r="W1202">
        <v>5</v>
      </c>
    </row>
    <row r="1203" spans="1:23" x14ac:dyDescent="0.25">
      <c r="A1203" t="s">
        <v>1802</v>
      </c>
      <c r="B1203" s="1">
        <v>45990</v>
      </c>
      <c r="C1203" t="s">
        <v>550</v>
      </c>
      <c r="D1203" t="s">
        <v>67</v>
      </c>
      <c r="E1203" t="s">
        <v>36</v>
      </c>
      <c r="F1203" t="s">
        <v>37</v>
      </c>
      <c r="G1203" t="s">
        <v>224</v>
      </c>
      <c r="H1203">
        <v>2</v>
      </c>
      <c r="I1203" s="21">
        <v>33206</v>
      </c>
      <c r="J1203">
        <v>0</v>
      </c>
      <c r="K1203" s="21">
        <v>0</v>
      </c>
      <c r="L1203" s="21">
        <v>66412</v>
      </c>
      <c r="M1203" s="21">
        <v>52452.63</v>
      </c>
      <c r="N1203" s="21">
        <v>13959.37</v>
      </c>
      <c r="O1203" t="s">
        <v>60</v>
      </c>
      <c r="P1203" s="21">
        <v>1541.6</v>
      </c>
      <c r="Q1203" t="s">
        <v>68</v>
      </c>
      <c r="R1203" t="s">
        <v>31</v>
      </c>
      <c r="S1203">
        <v>5</v>
      </c>
      <c r="T1203">
        <v>0</v>
      </c>
      <c r="U1203" t="s">
        <v>32</v>
      </c>
      <c r="V1203" t="s">
        <v>50</v>
      </c>
      <c r="W1203">
        <v>3</v>
      </c>
    </row>
    <row r="1204" spans="1:23" x14ac:dyDescent="0.25">
      <c r="A1204" t="s">
        <v>1803</v>
      </c>
      <c r="B1204" s="1">
        <v>45699</v>
      </c>
      <c r="C1204" t="s">
        <v>618</v>
      </c>
      <c r="D1204" t="s">
        <v>154</v>
      </c>
      <c r="E1204" t="s">
        <v>36</v>
      </c>
      <c r="F1204" t="s">
        <v>47</v>
      </c>
      <c r="G1204" t="s">
        <v>105</v>
      </c>
      <c r="H1204">
        <v>1</v>
      </c>
      <c r="I1204" s="21">
        <v>14414</v>
      </c>
      <c r="J1204">
        <v>20</v>
      </c>
      <c r="K1204" s="21">
        <v>2882.8</v>
      </c>
      <c r="L1204" s="21">
        <v>11531.2</v>
      </c>
      <c r="M1204" s="21">
        <v>7690.99</v>
      </c>
      <c r="N1204" s="21">
        <v>3840.21</v>
      </c>
      <c r="O1204" t="s">
        <v>39</v>
      </c>
      <c r="P1204" s="21">
        <v>711.27</v>
      </c>
      <c r="Q1204" t="s">
        <v>40</v>
      </c>
      <c r="R1204" t="s">
        <v>31</v>
      </c>
      <c r="S1204">
        <v>5</v>
      </c>
      <c r="T1204">
        <v>5</v>
      </c>
      <c r="U1204" t="s">
        <v>32</v>
      </c>
      <c r="V1204" t="s">
        <v>33</v>
      </c>
      <c r="W1204">
        <v>5</v>
      </c>
    </row>
    <row r="1205" spans="1:23" x14ac:dyDescent="0.25">
      <c r="A1205" t="s">
        <v>1804</v>
      </c>
      <c r="B1205" s="1">
        <v>45826</v>
      </c>
      <c r="C1205" t="s">
        <v>1805</v>
      </c>
      <c r="D1205" t="s">
        <v>63</v>
      </c>
      <c r="E1205" t="s">
        <v>46</v>
      </c>
      <c r="F1205" t="s">
        <v>53</v>
      </c>
      <c r="G1205" t="s">
        <v>54</v>
      </c>
      <c r="H1205">
        <v>1</v>
      </c>
      <c r="I1205" s="21">
        <v>104489</v>
      </c>
      <c r="J1205">
        <v>5</v>
      </c>
      <c r="K1205" s="21">
        <v>5224.45</v>
      </c>
      <c r="L1205" s="21">
        <v>99264.55</v>
      </c>
      <c r="M1205" s="21">
        <v>74379.25</v>
      </c>
      <c r="N1205" s="21">
        <v>24885.3</v>
      </c>
      <c r="O1205" t="s">
        <v>55</v>
      </c>
      <c r="P1205" s="21">
        <v>1811.64</v>
      </c>
      <c r="Q1205" t="s">
        <v>30</v>
      </c>
      <c r="R1205" t="s">
        <v>31</v>
      </c>
      <c r="S1205">
        <v>5</v>
      </c>
      <c r="T1205">
        <v>6</v>
      </c>
      <c r="U1205" t="s">
        <v>56</v>
      </c>
      <c r="V1205" t="s">
        <v>33</v>
      </c>
      <c r="W1205">
        <v>4</v>
      </c>
    </row>
    <row r="1206" spans="1:23" x14ac:dyDescent="0.25">
      <c r="A1206" t="s">
        <v>1806</v>
      </c>
      <c r="B1206" s="1">
        <v>46003</v>
      </c>
      <c r="C1206" t="s">
        <v>1288</v>
      </c>
      <c r="D1206" t="s">
        <v>154</v>
      </c>
      <c r="E1206" t="s">
        <v>46</v>
      </c>
      <c r="F1206" t="s">
        <v>47</v>
      </c>
      <c r="G1206" t="s">
        <v>64</v>
      </c>
      <c r="H1206">
        <v>1</v>
      </c>
      <c r="I1206" s="21">
        <v>49743</v>
      </c>
      <c r="J1206">
        <v>0</v>
      </c>
      <c r="K1206" s="21">
        <v>0</v>
      </c>
      <c r="L1206" s="21">
        <v>49743</v>
      </c>
      <c r="M1206" s="21">
        <v>29043.37</v>
      </c>
      <c r="N1206" s="21">
        <v>20699.63</v>
      </c>
      <c r="O1206" t="s">
        <v>29</v>
      </c>
      <c r="P1206" s="21">
        <v>1108.81</v>
      </c>
      <c r="Q1206" t="s">
        <v>73</v>
      </c>
      <c r="R1206" t="s">
        <v>41</v>
      </c>
      <c r="S1206">
        <v>2</v>
      </c>
      <c r="T1206">
        <v>2</v>
      </c>
      <c r="U1206" t="s">
        <v>32</v>
      </c>
      <c r="V1206" t="s">
        <v>33</v>
      </c>
      <c r="W1206">
        <v>4</v>
      </c>
    </row>
    <row r="1207" spans="1:23" x14ac:dyDescent="0.25">
      <c r="A1207" t="s">
        <v>1807</v>
      </c>
      <c r="B1207" s="1">
        <v>45931</v>
      </c>
      <c r="C1207" t="s">
        <v>1030</v>
      </c>
      <c r="D1207" t="s">
        <v>97</v>
      </c>
      <c r="E1207" t="s">
        <v>46</v>
      </c>
      <c r="F1207" t="s">
        <v>47</v>
      </c>
      <c r="G1207" t="s">
        <v>105</v>
      </c>
      <c r="H1207">
        <v>4</v>
      </c>
      <c r="I1207" s="21">
        <v>39063</v>
      </c>
      <c r="J1207">
        <v>0</v>
      </c>
      <c r="K1207" s="21">
        <v>0</v>
      </c>
      <c r="L1207" s="21">
        <v>156252</v>
      </c>
      <c r="M1207" s="21">
        <v>105034.74</v>
      </c>
      <c r="N1207" s="21">
        <v>51217.26</v>
      </c>
      <c r="O1207" t="s">
        <v>49</v>
      </c>
      <c r="P1207" s="21">
        <v>417.23</v>
      </c>
      <c r="Q1207" t="s">
        <v>30</v>
      </c>
      <c r="R1207" t="s">
        <v>41</v>
      </c>
      <c r="S1207">
        <v>2</v>
      </c>
      <c r="T1207">
        <v>2</v>
      </c>
      <c r="U1207" t="s">
        <v>32</v>
      </c>
      <c r="V1207" t="s">
        <v>33</v>
      </c>
      <c r="W1207">
        <v>3</v>
      </c>
    </row>
    <row r="1208" spans="1:23" x14ac:dyDescent="0.25">
      <c r="A1208" t="s">
        <v>1808</v>
      </c>
      <c r="B1208" s="1">
        <v>45852</v>
      </c>
      <c r="C1208" t="s">
        <v>429</v>
      </c>
      <c r="D1208" t="s">
        <v>90</v>
      </c>
      <c r="E1208" t="s">
        <v>46</v>
      </c>
      <c r="F1208" t="s">
        <v>27</v>
      </c>
      <c r="G1208" t="s">
        <v>72</v>
      </c>
      <c r="H1208">
        <v>1</v>
      </c>
      <c r="I1208" s="21">
        <v>9128</v>
      </c>
      <c r="J1208">
        <v>0</v>
      </c>
      <c r="K1208" s="21">
        <v>0</v>
      </c>
      <c r="L1208" s="21">
        <v>9128</v>
      </c>
      <c r="M1208" s="21">
        <v>5479.23</v>
      </c>
      <c r="N1208" s="21">
        <v>3648.77</v>
      </c>
      <c r="O1208" t="s">
        <v>91</v>
      </c>
      <c r="P1208" s="21">
        <v>2098.14</v>
      </c>
      <c r="Q1208" t="s">
        <v>73</v>
      </c>
      <c r="R1208" t="s">
        <v>41</v>
      </c>
      <c r="S1208">
        <v>2</v>
      </c>
      <c r="T1208">
        <v>1</v>
      </c>
      <c r="U1208" t="s">
        <v>32</v>
      </c>
      <c r="V1208" t="s">
        <v>33</v>
      </c>
      <c r="W1208">
        <v>5</v>
      </c>
    </row>
    <row r="1209" spans="1:23" x14ac:dyDescent="0.25">
      <c r="A1209" t="s">
        <v>1809</v>
      </c>
      <c r="B1209" s="1">
        <v>45820</v>
      </c>
      <c r="C1209" t="s">
        <v>102</v>
      </c>
      <c r="D1209" t="s">
        <v>63</v>
      </c>
      <c r="E1209" t="s">
        <v>26</v>
      </c>
      <c r="F1209" t="s">
        <v>47</v>
      </c>
      <c r="G1209" t="s">
        <v>64</v>
      </c>
      <c r="H1209">
        <v>3</v>
      </c>
      <c r="I1209" s="21">
        <v>21756</v>
      </c>
      <c r="J1209">
        <v>5</v>
      </c>
      <c r="K1209" s="21">
        <v>3263.4</v>
      </c>
      <c r="L1209" s="21">
        <v>62004.6</v>
      </c>
      <c r="M1209" s="21">
        <v>38242.07</v>
      </c>
      <c r="N1209" s="21">
        <v>23762.53</v>
      </c>
      <c r="O1209" t="s">
        <v>39</v>
      </c>
      <c r="P1209" s="21">
        <v>762.76</v>
      </c>
      <c r="Q1209" t="s">
        <v>83</v>
      </c>
      <c r="R1209" t="s">
        <v>31</v>
      </c>
      <c r="S1209">
        <v>5</v>
      </c>
      <c r="T1209">
        <v>3</v>
      </c>
      <c r="U1209" t="s">
        <v>32</v>
      </c>
      <c r="V1209" t="s">
        <v>33</v>
      </c>
      <c r="W1209">
        <v>2</v>
      </c>
    </row>
    <row r="1210" spans="1:23" x14ac:dyDescent="0.25">
      <c r="A1210" t="s">
        <v>1810</v>
      </c>
      <c r="B1210" s="1">
        <v>45978</v>
      </c>
      <c r="C1210" t="s">
        <v>1106</v>
      </c>
      <c r="D1210" t="s">
        <v>25</v>
      </c>
      <c r="E1210" t="s">
        <v>36</v>
      </c>
      <c r="F1210" t="s">
        <v>53</v>
      </c>
      <c r="G1210" t="s">
        <v>268</v>
      </c>
      <c r="H1210">
        <v>1</v>
      </c>
      <c r="I1210" s="21">
        <v>90027</v>
      </c>
      <c r="J1210">
        <v>10</v>
      </c>
      <c r="K1210" s="21">
        <v>9002.7000000000007</v>
      </c>
      <c r="L1210" s="21">
        <v>81024.3</v>
      </c>
      <c r="M1210" s="21">
        <v>61981.8</v>
      </c>
      <c r="N1210" s="21">
        <v>19042.5</v>
      </c>
      <c r="O1210" t="s">
        <v>39</v>
      </c>
      <c r="P1210" s="21">
        <v>1131.0899999999999</v>
      </c>
      <c r="Q1210" t="s">
        <v>40</v>
      </c>
      <c r="R1210" t="s">
        <v>31</v>
      </c>
      <c r="S1210">
        <v>5</v>
      </c>
      <c r="T1210">
        <v>1</v>
      </c>
      <c r="U1210" t="s">
        <v>32</v>
      </c>
      <c r="V1210" t="s">
        <v>50</v>
      </c>
      <c r="W1210">
        <v>5</v>
      </c>
    </row>
    <row r="1211" spans="1:23" x14ac:dyDescent="0.25">
      <c r="A1211" t="s">
        <v>1811</v>
      </c>
      <c r="B1211" s="1">
        <v>45907</v>
      </c>
      <c r="C1211" t="s">
        <v>695</v>
      </c>
      <c r="D1211" t="s">
        <v>124</v>
      </c>
      <c r="E1211" t="s">
        <v>46</v>
      </c>
      <c r="F1211" t="s">
        <v>37</v>
      </c>
      <c r="G1211" t="s">
        <v>38</v>
      </c>
      <c r="H1211">
        <v>2</v>
      </c>
      <c r="I1211" s="21">
        <v>29828</v>
      </c>
      <c r="J1211">
        <v>0</v>
      </c>
      <c r="K1211" s="21">
        <v>0</v>
      </c>
      <c r="L1211" s="21">
        <v>59656</v>
      </c>
      <c r="M1211" s="21">
        <v>42347.75</v>
      </c>
      <c r="N1211" s="21">
        <v>17308.25</v>
      </c>
      <c r="O1211" t="s">
        <v>29</v>
      </c>
      <c r="P1211" s="21">
        <v>1436.03</v>
      </c>
      <c r="Q1211" t="s">
        <v>73</v>
      </c>
      <c r="R1211" t="s">
        <v>31</v>
      </c>
      <c r="S1211">
        <v>5</v>
      </c>
      <c r="T1211">
        <v>8</v>
      </c>
      <c r="U1211" t="s">
        <v>56</v>
      </c>
      <c r="V1211" t="s">
        <v>33</v>
      </c>
      <c r="W1211">
        <v>5</v>
      </c>
    </row>
    <row r="1212" spans="1:23" x14ac:dyDescent="0.25">
      <c r="A1212" t="s">
        <v>1812</v>
      </c>
      <c r="B1212" s="1">
        <v>45935</v>
      </c>
      <c r="C1212" t="s">
        <v>449</v>
      </c>
      <c r="D1212" t="s">
        <v>79</v>
      </c>
      <c r="E1212" t="s">
        <v>36</v>
      </c>
      <c r="F1212" t="s">
        <v>37</v>
      </c>
      <c r="G1212" t="s">
        <v>38</v>
      </c>
      <c r="H1212">
        <v>2</v>
      </c>
      <c r="I1212" s="21">
        <v>7770</v>
      </c>
      <c r="J1212">
        <v>20</v>
      </c>
      <c r="K1212" s="21">
        <v>3108</v>
      </c>
      <c r="L1212" s="21">
        <v>12432</v>
      </c>
      <c r="M1212" s="21">
        <v>9456.0300000000007</v>
      </c>
      <c r="N1212" s="21">
        <v>2975.97</v>
      </c>
      <c r="O1212" t="s">
        <v>91</v>
      </c>
      <c r="P1212" s="21">
        <v>2287.65</v>
      </c>
      <c r="Q1212" t="s">
        <v>40</v>
      </c>
      <c r="R1212" t="s">
        <v>41</v>
      </c>
      <c r="S1212">
        <v>2</v>
      </c>
      <c r="T1212">
        <v>2</v>
      </c>
      <c r="U1212" t="s">
        <v>32</v>
      </c>
      <c r="V1212" t="s">
        <v>42</v>
      </c>
    </row>
    <row r="1213" spans="1:23" x14ac:dyDescent="0.25">
      <c r="A1213" t="s">
        <v>1813</v>
      </c>
      <c r="B1213" s="1">
        <v>45676</v>
      </c>
      <c r="C1213" t="s">
        <v>394</v>
      </c>
      <c r="D1213" t="s">
        <v>90</v>
      </c>
      <c r="E1213" t="s">
        <v>46</v>
      </c>
      <c r="F1213" t="s">
        <v>37</v>
      </c>
      <c r="G1213" t="s">
        <v>38</v>
      </c>
      <c r="H1213">
        <v>3</v>
      </c>
      <c r="I1213" s="21">
        <v>34132</v>
      </c>
      <c r="J1213">
        <v>10</v>
      </c>
      <c r="K1213" s="21">
        <v>10239.6</v>
      </c>
      <c r="L1213" s="21">
        <v>92156.4</v>
      </c>
      <c r="M1213" s="21">
        <v>65316.72</v>
      </c>
      <c r="N1213" s="21">
        <v>26839.68</v>
      </c>
      <c r="O1213" t="s">
        <v>55</v>
      </c>
      <c r="P1213" s="21">
        <v>2284.75</v>
      </c>
      <c r="Q1213" t="s">
        <v>30</v>
      </c>
      <c r="R1213" t="s">
        <v>31</v>
      </c>
      <c r="S1213">
        <v>5</v>
      </c>
      <c r="T1213">
        <v>3</v>
      </c>
      <c r="U1213" t="s">
        <v>32</v>
      </c>
      <c r="V1213" t="s">
        <v>33</v>
      </c>
      <c r="W1213">
        <v>1</v>
      </c>
    </row>
    <row r="1214" spans="1:23" x14ac:dyDescent="0.25">
      <c r="A1214" t="s">
        <v>1814</v>
      </c>
      <c r="B1214" s="1">
        <v>45974</v>
      </c>
      <c r="C1214" t="s">
        <v>1048</v>
      </c>
      <c r="D1214" t="s">
        <v>79</v>
      </c>
      <c r="E1214" t="s">
        <v>46</v>
      </c>
      <c r="F1214" t="s">
        <v>47</v>
      </c>
      <c r="G1214" t="s">
        <v>64</v>
      </c>
      <c r="H1214">
        <v>1</v>
      </c>
      <c r="I1214" s="21">
        <v>13408</v>
      </c>
      <c r="J1214">
        <v>15</v>
      </c>
      <c r="K1214" s="21">
        <v>2011.2</v>
      </c>
      <c r="L1214" s="21">
        <v>11396.8</v>
      </c>
      <c r="M1214" s="21">
        <v>7641.68</v>
      </c>
      <c r="N1214" s="21">
        <v>3755.12</v>
      </c>
      <c r="O1214" t="s">
        <v>29</v>
      </c>
      <c r="P1214" s="21">
        <v>1056.47</v>
      </c>
      <c r="Q1214" t="s">
        <v>30</v>
      </c>
      <c r="R1214" t="s">
        <v>31</v>
      </c>
      <c r="S1214">
        <v>5</v>
      </c>
      <c r="T1214">
        <v>0</v>
      </c>
      <c r="U1214" t="s">
        <v>32</v>
      </c>
      <c r="V1214" t="s">
        <v>50</v>
      </c>
      <c r="W1214">
        <v>4</v>
      </c>
    </row>
    <row r="1215" spans="1:23" x14ac:dyDescent="0.25">
      <c r="A1215" t="s">
        <v>1815</v>
      </c>
      <c r="B1215" s="1">
        <v>45693</v>
      </c>
      <c r="C1215" t="s">
        <v>402</v>
      </c>
      <c r="D1215" t="s">
        <v>67</v>
      </c>
      <c r="E1215" t="s">
        <v>46</v>
      </c>
      <c r="F1215" t="s">
        <v>47</v>
      </c>
      <c r="G1215" t="s">
        <v>105</v>
      </c>
      <c r="H1215">
        <v>3</v>
      </c>
      <c r="I1215" s="21">
        <v>33125</v>
      </c>
      <c r="J1215">
        <v>0</v>
      </c>
      <c r="K1215" s="21">
        <v>0</v>
      </c>
      <c r="L1215" s="21">
        <v>99375</v>
      </c>
      <c r="M1215" s="21">
        <v>73470.850000000006</v>
      </c>
      <c r="N1215" s="21">
        <v>25904.15</v>
      </c>
      <c r="O1215" t="s">
        <v>39</v>
      </c>
      <c r="P1215" s="21">
        <v>1231.71</v>
      </c>
      <c r="Q1215" t="s">
        <v>68</v>
      </c>
      <c r="R1215" t="s">
        <v>41</v>
      </c>
      <c r="S1215">
        <v>2</v>
      </c>
      <c r="T1215">
        <v>0</v>
      </c>
      <c r="U1215" t="s">
        <v>32</v>
      </c>
      <c r="V1215" t="s">
        <v>42</v>
      </c>
    </row>
    <row r="1216" spans="1:23" x14ac:dyDescent="0.25">
      <c r="A1216" t="s">
        <v>1816</v>
      </c>
      <c r="B1216" s="1">
        <v>45778</v>
      </c>
      <c r="C1216" t="s">
        <v>370</v>
      </c>
      <c r="D1216" t="s">
        <v>45</v>
      </c>
      <c r="E1216" t="s">
        <v>26</v>
      </c>
      <c r="F1216" t="s">
        <v>53</v>
      </c>
      <c r="G1216" t="s">
        <v>151</v>
      </c>
      <c r="H1216">
        <v>3</v>
      </c>
      <c r="I1216" s="21">
        <v>44203</v>
      </c>
      <c r="J1216">
        <v>5</v>
      </c>
      <c r="K1216" s="21">
        <v>6630.45</v>
      </c>
      <c r="L1216" s="21">
        <v>125978.55</v>
      </c>
      <c r="M1216" s="21">
        <v>74941.89</v>
      </c>
      <c r="N1216" s="21">
        <v>51036.66</v>
      </c>
      <c r="O1216" t="s">
        <v>91</v>
      </c>
      <c r="P1216" s="21">
        <v>1789.49</v>
      </c>
      <c r="Q1216" t="s">
        <v>73</v>
      </c>
      <c r="R1216" t="s">
        <v>31</v>
      </c>
      <c r="S1216">
        <v>5</v>
      </c>
      <c r="T1216">
        <v>4</v>
      </c>
      <c r="U1216" t="s">
        <v>32</v>
      </c>
      <c r="V1216" t="s">
        <v>33</v>
      </c>
      <c r="W1216">
        <v>3</v>
      </c>
    </row>
    <row r="1217" spans="1:23" x14ac:dyDescent="0.25">
      <c r="A1217" t="s">
        <v>1817</v>
      </c>
      <c r="B1217" s="1">
        <v>45981</v>
      </c>
      <c r="C1217" t="s">
        <v>854</v>
      </c>
      <c r="D1217" t="s">
        <v>79</v>
      </c>
      <c r="E1217" t="s">
        <v>46</v>
      </c>
      <c r="F1217" t="s">
        <v>86</v>
      </c>
      <c r="G1217" t="s">
        <v>180</v>
      </c>
      <c r="H1217">
        <v>2</v>
      </c>
      <c r="I1217" s="21">
        <v>19771</v>
      </c>
      <c r="J1217">
        <v>0</v>
      </c>
      <c r="K1217" s="21">
        <v>0</v>
      </c>
      <c r="L1217" s="21">
        <v>39542</v>
      </c>
      <c r="M1217" s="21">
        <v>27272.3</v>
      </c>
      <c r="N1217" s="21">
        <v>12269.7</v>
      </c>
      <c r="O1217" t="s">
        <v>39</v>
      </c>
      <c r="P1217" s="21">
        <v>1260.29</v>
      </c>
      <c r="Q1217" t="s">
        <v>68</v>
      </c>
      <c r="R1217" t="s">
        <v>41</v>
      </c>
      <c r="S1217">
        <v>2</v>
      </c>
      <c r="T1217">
        <v>4</v>
      </c>
      <c r="U1217" t="s">
        <v>56</v>
      </c>
      <c r="V1217" t="s">
        <v>33</v>
      </c>
      <c r="W1217">
        <v>5</v>
      </c>
    </row>
    <row r="1218" spans="1:23" x14ac:dyDescent="0.25">
      <c r="A1218" t="s">
        <v>1818</v>
      </c>
      <c r="B1218" s="1">
        <v>46008</v>
      </c>
      <c r="C1218" t="s">
        <v>1591</v>
      </c>
      <c r="D1218" t="s">
        <v>25</v>
      </c>
      <c r="E1218" t="s">
        <v>26</v>
      </c>
      <c r="F1218" t="s">
        <v>86</v>
      </c>
      <c r="G1218" t="s">
        <v>127</v>
      </c>
      <c r="H1218">
        <v>3</v>
      </c>
      <c r="I1218" s="21">
        <v>71761</v>
      </c>
      <c r="J1218">
        <v>10</v>
      </c>
      <c r="K1218" s="21">
        <v>21528.3</v>
      </c>
      <c r="L1218" s="21">
        <v>193754.7</v>
      </c>
      <c r="M1218" s="21">
        <v>139432.91</v>
      </c>
      <c r="N1218" s="21">
        <v>54321.79</v>
      </c>
      <c r="O1218" t="s">
        <v>49</v>
      </c>
      <c r="P1218" s="21">
        <v>406.05</v>
      </c>
      <c r="Q1218" t="s">
        <v>40</v>
      </c>
      <c r="R1218" t="s">
        <v>41</v>
      </c>
      <c r="S1218">
        <v>2</v>
      </c>
      <c r="T1218">
        <v>5</v>
      </c>
      <c r="U1218" t="s">
        <v>32</v>
      </c>
      <c r="V1218" t="s">
        <v>50</v>
      </c>
      <c r="W1218">
        <v>5</v>
      </c>
    </row>
    <row r="1219" spans="1:23" x14ac:dyDescent="0.25">
      <c r="A1219" t="s">
        <v>1819</v>
      </c>
      <c r="B1219" s="1">
        <v>45805</v>
      </c>
      <c r="C1219" t="s">
        <v>496</v>
      </c>
      <c r="D1219" t="s">
        <v>97</v>
      </c>
      <c r="E1219" t="s">
        <v>26</v>
      </c>
      <c r="F1219" t="s">
        <v>47</v>
      </c>
      <c r="G1219" t="s">
        <v>138</v>
      </c>
      <c r="H1219">
        <v>1</v>
      </c>
      <c r="I1219" s="21">
        <v>32048</v>
      </c>
      <c r="J1219">
        <v>5</v>
      </c>
      <c r="K1219" s="21">
        <v>1602.4</v>
      </c>
      <c r="L1219" s="21">
        <v>30445.599999999999</v>
      </c>
      <c r="M1219" s="21">
        <v>22972.41</v>
      </c>
      <c r="N1219" s="21">
        <v>7473.19</v>
      </c>
      <c r="O1219" t="s">
        <v>60</v>
      </c>
      <c r="P1219" s="21">
        <v>419.13</v>
      </c>
      <c r="Q1219" t="s">
        <v>40</v>
      </c>
      <c r="R1219" t="s">
        <v>41</v>
      </c>
      <c r="S1219">
        <v>2</v>
      </c>
      <c r="T1219">
        <v>2</v>
      </c>
      <c r="U1219" t="s">
        <v>32</v>
      </c>
      <c r="V1219" t="s">
        <v>42</v>
      </c>
    </row>
    <row r="1220" spans="1:23" x14ac:dyDescent="0.25">
      <c r="A1220" t="s">
        <v>1820</v>
      </c>
      <c r="B1220" s="1">
        <v>45774</v>
      </c>
      <c r="C1220" t="s">
        <v>1821</v>
      </c>
      <c r="D1220" t="s">
        <v>67</v>
      </c>
      <c r="E1220" t="s">
        <v>26</v>
      </c>
      <c r="F1220" t="s">
        <v>53</v>
      </c>
      <c r="G1220" t="s">
        <v>268</v>
      </c>
      <c r="H1220">
        <v>1</v>
      </c>
      <c r="I1220" s="21">
        <v>65792</v>
      </c>
      <c r="J1220">
        <v>25</v>
      </c>
      <c r="K1220" s="21">
        <v>16448</v>
      </c>
      <c r="L1220" s="21">
        <v>49344</v>
      </c>
      <c r="M1220" s="21">
        <v>37605.79</v>
      </c>
      <c r="N1220" s="21">
        <v>11738.21</v>
      </c>
      <c r="O1220" t="s">
        <v>49</v>
      </c>
      <c r="P1220" s="21">
        <v>382.47</v>
      </c>
      <c r="Q1220" t="s">
        <v>68</v>
      </c>
      <c r="R1220" t="s">
        <v>31</v>
      </c>
      <c r="S1220">
        <v>5</v>
      </c>
      <c r="T1220">
        <v>3</v>
      </c>
      <c r="U1220" t="s">
        <v>32</v>
      </c>
      <c r="V1220" t="s">
        <v>33</v>
      </c>
      <c r="W1220">
        <v>5</v>
      </c>
    </row>
    <row r="1221" spans="1:23" x14ac:dyDescent="0.25">
      <c r="A1221" t="s">
        <v>1822</v>
      </c>
      <c r="B1221" s="1">
        <v>45704</v>
      </c>
      <c r="C1221" t="s">
        <v>1162</v>
      </c>
      <c r="D1221" t="s">
        <v>154</v>
      </c>
      <c r="E1221" t="s">
        <v>26</v>
      </c>
      <c r="F1221" t="s">
        <v>86</v>
      </c>
      <c r="G1221" t="s">
        <v>127</v>
      </c>
      <c r="H1221">
        <v>1</v>
      </c>
      <c r="I1221" s="21">
        <v>58153</v>
      </c>
      <c r="J1221">
        <v>0</v>
      </c>
      <c r="K1221" s="21">
        <v>0</v>
      </c>
      <c r="L1221" s="21">
        <v>58153</v>
      </c>
      <c r="M1221" s="21">
        <v>37674.5</v>
      </c>
      <c r="N1221" s="21">
        <v>20478.5</v>
      </c>
      <c r="O1221" t="s">
        <v>60</v>
      </c>
      <c r="P1221" s="21">
        <v>1058.43</v>
      </c>
      <c r="Q1221" t="s">
        <v>40</v>
      </c>
      <c r="R1221" t="s">
        <v>41</v>
      </c>
      <c r="S1221">
        <v>2</v>
      </c>
      <c r="T1221">
        <v>6</v>
      </c>
      <c r="U1221" t="s">
        <v>56</v>
      </c>
      <c r="V1221" t="s">
        <v>33</v>
      </c>
      <c r="W1221">
        <v>5</v>
      </c>
    </row>
    <row r="1222" spans="1:23" x14ac:dyDescent="0.25">
      <c r="A1222" t="s">
        <v>1823</v>
      </c>
      <c r="B1222" s="1">
        <v>45880</v>
      </c>
      <c r="C1222" t="s">
        <v>744</v>
      </c>
      <c r="D1222" t="s">
        <v>154</v>
      </c>
      <c r="E1222" t="s">
        <v>46</v>
      </c>
      <c r="F1222" t="s">
        <v>27</v>
      </c>
      <c r="G1222" t="s">
        <v>76</v>
      </c>
      <c r="H1222">
        <v>1</v>
      </c>
      <c r="I1222" s="21">
        <v>9508</v>
      </c>
      <c r="J1222">
        <v>15</v>
      </c>
      <c r="K1222" s="21">
        <v>1426.2</v>
      </c>
      <c r="L1222" s="21">
        <v>8081.8</v>
      </c>
      <c r="M1222" s="21">
        <v>4811.59</v>
      </c>
      <c r="N1222" s="21">
        <v>3270.21</v>
      </c>
      <c r="O1222" t="s">
        <v>91</v>
      </c>
      <c r="P1222" s="21">
        <v>1470.68</v>
      </c>
      <c r="Q1222" t="s">
        <v>68</v>
      </c>
      <c r="R1222" t="s">
        <v>41</v>
      </c>
      <c r="S1222">
        <v>2</v>
      </c>
      <c r="T1222">
        <v>1</v>
      </c>
      <c r="U1222" t="s">
        <v>32</v>
      </c>
      <c r="V1222" t="s">
        <v>33</v>
      </c>
      <c r="W1222">
        <v>2</v>
      </c>
    </row>
    <row r="1223" spans="1:23" x14ac:dyDescent="0.25">
      <c r="A1223" t="s">
        <v>1824</v>
      </c>
      <c r="B1223" s="1">
        <v>45708</v>
      </c>
      <c r="C1223" t="s">
        <v>96</v>
      </c>
      <c r="D1223" t="s">
        <v>90</v>
      </c>
      <c r="E1223" t="s">
        <v>36</v>
      </c>
      <c r="F1223" t="s">
        <v>37</v>
      </c>
      <c r="G1223" t="s">
        <v>313</v>
      </c>
      <c r="H1223">
        <v>1</v>
      </c>
      <c r="I1223" s="21">
        <v>22839</v>
      </c>
      <c r="J1223">
        <v>0</v>
      </c>
      <c r="K1223" s="21">
        <v>0</v>
      </c>
      <c r="L1223" s="21">
        <v>22839</v>
      </c>
      <c r="M1223" s="21">
        <v>16224.5</v>
      </c>
      <c r="N1223" s="21">
        <v>6614.5</v>
      </c>
      <c r="O1223" t="s">
        <v>55</v>
      </c>
      <c r="P1223" s="21">
        <v>591.54999999999995</v>
      </c>
      <c r="Q1223" t="s">
        <v>30</v>
      </c>
      <c r="R1223" t="s">
        <v>41</v>
      </c>
      <c r="S1223">
        <v>2</v>
      </c>
      <c r="T1223">
        <v>2</v>
      </c>
      <c r="U1223" t="s">
        <v>32</v>
      </c>
      <c r="V1223" t="s">
        <v>33</v>
      </c>
      <c r="W1223">
        <v>4</v>
      </c>
    </row>
    <row r="1224" spans="1:23" x14ac:dyDescent="0.25">
      <c r="A1224" t="s">
        <v>1825</v>
      </c>
      <c r="B1224" s="1">
        <v>45982</v>
      </c>
      <c r="C1224" t="s">
        <v>795</v>
      </c>
      <c r="D1224" t="s">
        <v>71</v>
      </c>
      <c r="E1224" t="s">
        <v>46</v>
      </c>
      <c r="F1224" t="s">
        <v>53</v>
      </c>
      <c r="G1224" t="s">
        <v>268</v>
      </c>
      <c r="H1224">
        <v>2</v>
      </c>
      <c r="I1224" s="21">
        <v>53917</v>
      </c>
      <c r="J1224">
        <v>5</v>
      </c>
      <c r="K1224" s="21">
        <v>5391.7</v>
      </c>
      <c r="L1224" s="21">
        <v>102442.3</v>
      </c>
      <c r="M1224" s="21">
        <v>61463.34</v>
      </c>
      <c r="N1224" s="21">
        <v>40978.959999999999</v>
      </c>
      <c r="O1224" t="s">
        <v>55</v>
      </c>
      <c r="P1224" s="21">
        <v>290.48</v>
      </c>
      <c r="Q1224" t="s">
        <v>68</v>
      </c>
      <c r="R1224" t="s">
        <v>41</v>
      </c>
      <c r="S1224">
        <v>2</v>
      </c>
      <c r="T1224">
        <v>3</v>
      </c>
      <c r="U1224" t="s">
        <v>56</v>
      </c>
      <c r="V1224" t="s">
        <v>33</v>
      </c>
      <c r="W1224">
        <v>5</v>
      </c>
    </row>
    <row r="1225" spans="1:23" x14ac:dyDescent="0.25">
      <c r="A1225" t="s">
        <v>1826</v>
      </c>
      <c r="B1225" s="1">
        <v>46018</v>
      </c>
      <c r="C1225" t="s">
        <v>349</v>
      </c>
      <c r="D1225" t="s">
        <v>79</v>
      </c>
      <c r="E1225" t="s">
        <v>46</v>
      </c>
      <c r="F1225" t="s">
        <v>37</v>
      </c>
      <c r="G1225" t="s">
        <v>224</v>
      </c>
      <c r="H1225">
        <v>1</v>
      </c>
      <c r="I1225" s="21">
        <v>14506</v>
      </c>
      <c r="J1225">
        <v>10</v>
      </c>
      <c r="K1225" s="21">
        <v>1450.6</v>
      </c>
      <c r="L1225" s="21">
        <v>13055.4</v>
      </c>
      <c r="M1225" s="21">
        <v>10128.58</v>
      </c>
      <c r="N1225" s="21">
        <v>2926.82</v>
      </c>
      <c r="O1225" t="s">
        <v>29</v>
      </c>
      <c r="P1225" s="21">
        <v>711.04</v>
      </c>
      <c r="Q1225" t="s">
        <v>83</v>
      </c>
      <c r="R1225" t="s">
        <v>31</v>
      </c>
      <c r="S1225">
        <v>5</v>
      </c>
      <c r="T1225">
        <v>5</v>
      </c>
      <c r="U1225" t="s">
        <v>32</v>
      </c>
      <c r="V1225" t="s">
        <v>33</v>
      </c>
      <c r="W1225">
        <v>5</v>
      </c>
    </row>
    <row r="1226" spans="1:23" x14ac:dyDescent="0.25">
      <c r="A1226" t="s">
        <v>1827</v>
      </c>
      <c r="B1226" s="1">
        <v>45709</v>
      </c>
      <c r="C1226" t="s">
        <v>1050</v>
      </c>
      <c r="D1226" t="s">
        <v>97</v>
      </c>
      <c r="E1226" t="s">
        <v>26</v>
      </c>
      <c r="F1226" t="s">
        <v>53</v>
      </c>
      <c r="G1226" t="s">
        <v>54</v>
      </c>
      <c r="H1226">
        <v>2</v>
      </c>
      <c r="I1226" s="21">
        <v>50991</v>
      </c>
      <c r="J1226">
        <v>15</v>
      </c>
      <c r="K1226" s="21">
        <v>15297.3</v>
      </c>
      <c r="L1226" s="21">
        <v>86684.7</v>
      </c>
      <c r="M1226" s="21">
        <v>67124.94</v>
      </c>
      <c r="N1226" s="21">
        <v>19559.759999999998</v>
      </c>
      <c r="O1226" t="s">
        <v>91</v>
      </c>
      <c r="P1226" s="21">
        <v>2201.71</v>
      </c>
      <c r="Q1226" t="s">
        <v>30</v>
      </c>
      <c r="R1226" t="s">
        <v>41</v>
      </c>
      <c r="S1226">
        <v>2</v>
      </c>
      <c r="T1226">
        <v>1</v>
      </c>
      <c r="U1226" t="s">
        <v>32</v>
      </c>
      <c r="V1226" t="s">
        <v>33</v>
      </c>
      <c r="W1226">
        <v>4</v>
      </c>
    </row>
    <row r="1227" spans="1:23" x14ac:dyDescent="0.25">
      <c r="A1227" t="s">
        <v>1828</v>
      </c>
      <c r="B1227" s="1">
        <v>45885</v>
      </c>
      <c r="C1227" t="s">
        <v>1411</v>
      </c>
      <c r="D1227" t="s">
        <v>25</v>
      </c>
      <c r="E1227" t="s">
        <v>46</v>
      </c>
      <c r="F1227" t="s">
        <v>86</v>
      </c>
      <c r="G1227" t="s">
        <v>87</v>
      </c>
      <c r="H1227">
        <v>1</v>
      </c>
      <c r="I1227" s="21">
        <v>32199</v>
      </c>
      <c r="J1227">
        <v>0</v>
      </c>
      <c r="K1227" s="21">
        <v>0</v>
      </c>
      <c r="L1227" s="21">
        <v>32199</v>
      </c>
      <c r="M1227" s="21">
        <v>21575.49</v>
      </c>
      <c r="N1227" s="21">
        <v>10623.51</v>
      </c>
      <c r="O1227" t="s">
        <v>55</v>
      </c>
      <c r="P1227" s="21">
        <v>712.74</v>
      </c>
      <c r="Q1227" t="s">
        <v>83</v>
      </c>
      <c r="R1227" t="s">
        <v>31</v>
      </c>
      <c r="S1227">
        <v>5</v>
      </c>
      <c r="T1227">
        <v>4</v>
      </c>
      <c r="U1227" t="s">
        <v>32</v>
      </c>
      <c r="V1227" t="s">
        <v>33</v>
      </c>
      <c r="W1227">
        <v>5</v>
      </c>
    </row>
    <row r="1228" spans="1:23" x14ac:dyDescent="0.25">
      <c r="A1228" t="s">
        <v>1829</v>
      </c>
      <c r="B1228" s="1">
        <v>45743</v>
      </c>
      <c r="C1228" t="s">
        <v>677</v>
      </c>
      <c r="D1228" t="s">
        <v>79</v>
      </c>
      <c r="E1228" t="s">
        <v>26</v>
      </c>
      <c r="F1228" t="s">
        <v>47</v>
      </c>
      <c r="G1228" t="s">
        <v>146</v>
      </c>
      <c r="H1228">
        <v>2</v>
      </c>
      <c r="I1228" s="21">
        <v>25554</v>
      </c>
      <c r="J1228">
        <v>0</v>
      </c>
      <c r="K1228" s="21">
        <v>0</v>
      </c>
      <c r="L1228" s="21">
        <v>51108</v>
      </c>
      <c r="M1228" s="21">
        <v>41062.550000000003</v>
      </c>
      <c r="N1228" s="21">
        <v>10045.450000000001</v>
      </c>
      <c r="O1228" t="s">
        <v>55</v>
      </c>
      <c r="P1228" s="21">
        <v>834.85</v>
      </c>
      <c r="Q1228" t="s">
        <v>73</v>
      </c>
      <c r="R1228" t="s">
        <v>31</v>
      </c>
      <c r="S1228">
        <v>5</v>
      </c>
      <c r="T1228">
        <v>3</v>
      </c>
      <c r="U1228" t="s">
        <v>32</v>
      </c>
      <c r="V1228" t="s">
        <v>50</v>
      </c>
      <c r="W1228">
        <v>3</v>
      </c>
    </row>
    <row r="1229" spans="1:23" x14ac:dyDescent="0.25">
      <c r="A1229" t="s">
        <v>1830</v>
      </c>
      <c r="B1229" s="1">
        <v>46013</v>
      </c>
      <c r="C1229" t="s">
        <v>140</v>
      </c>
      <c r="D1229" t="s">
        <v>154</v>
      </c>
      <c r="E1229" t="s">
        <v>26</v>
      </c>
      <c r="F1229" t="s">
        <v>53</v>
      </c>
      <c r="G1229" t="s">
        <v>268</v>
      </c>
      <c r="H1229">
        <v>3</v>
      </c>
      <c r="I1229" s="21">
        <v>77597</v>
      </c>
      <c r="J1229">
        <v>15</v>
      </c>
      <c r="K1229" s="21">
        <v>34918.65</v>
      </c>
      <c r="L1229" s="21">
        <v>197872.35</v>
      </c>
      <c r="M1229" s="21">
        <v>154703.79</v>
      </c>
      <c r="N1229" s="21">
        <v>43168.56</v>
      </c>
      <c r="O1229" t="s">
        <v>60</v>
      </c>
      <c r="P1229" s="21">
        <v>872.33</v>
      </c>
      <c r="Q1229" t="s">
        <v>40</v>
      </c>
      <c r="R1229" t="s">
        <v>41</v>
      </c>
      <c r="S1229">
        <v>2</v>
      </c>
      <c r="T1229">
        <v>1</v>
      </c>
      <c r="U1229" t="s">
        <v>32</v>
      </c>
      <c r="V1229" t="s">
        <v>33</v>
      </c>
      <c r="W1229">
        <v>5</v>
      </c>
    </row>
    <row r="1230" spans="1:23" x14ac:dyDescent="0.25">
      <c r="A1230" t="s">
        <v>1831</v>
      </c>
      <c r="B1230" s="1">
        <v>45811</v>
      </c>
      <c r="C1230" t="s">
        <v>1832</v>
      </c>
      <c r="D1230" t="s">
        <v>79</v>
      </c>
      <c r="E1230" t="s">
        <v>46</v>
      </c>
      <c r="F1230" t="s">
        <v>53</v>
      </c>
      <c r="G1230" t="s">
        <v>59</v>
      </c>
      <c r="H1230">
        <v>1</v>
      </c>
      <c r="I1230" s="21">
        <v>76056</v>
      </c>
      <c r="J1230">
        <v>20</v>
      </c>
      <c r="K1230" s="21">
        <v>15211.2</v>
      </c>
      <c r="L1230" s="21">
        <v>60844.800000000003</v>
      </c>
      <c r="M1230" s="21">
        <v>43645.5</v>
      </c>
      <c r="N1230" s="21">
        <v>17199.3</v>
      </c>
      <c r="O1230" t="s">
        <v>60</v>
      </c>
      <c r="P1230" s="21">
        <v>889.49</v>
      </c>
      <c r="Q1230" t="s">
        <v>68</v>
      </c>
      <c r="R1230" t="s">
        <v>31</v>
      </c>
      <c r="S1230">
        <v>5</v>
      </c>
      <c r="T1230">
        <v>1</v>
      </c>
      <c r="U1230" t="s">
        <v>32</v>
      </c>
      <c r="V1230" t="s">
        <v>42</v>
      </c>
    </row>
    <row r="1231" spans="1:23" x14ac:dyDescent="0.25">
      <c r="A1231" t="s">
        <v>1833</v>
      </c>
      <c r="B1231" s="1">
        <v>45672</v>
      </c>
      <c r="C1231" t="s">
        <v>719</v>
      </c>
      <c r="D1231" t="s">
        <v>97</v>
      </c>
      <c r="E1231" t="s">
        <v>46</v>
      </c>
      <c r="F1231" t="s">
        <v>53</v>
      </c>
      <c r="G1231" t="s">
        <v>268</v>
      </c>
      <c r="H1231">
        <v>1</v>
      </c>
      <c r="I1231" s="21">
        <v>44038</v>
      </c>
      <c r="J1231">
        <v>10</v>
      </c>
      <c r="K1231" s="21">
        <v>4403.8</v>
      </c>
      <c r="L1231" s="21">
        <v>39634.199999999997</v>
      </c>
      <c r="M1231" s="21">
        <v>25494.49</v>
      </c>
      <c r="N1231" s="21">
        <v>14139.71</v>
      </c>
      <c r="O1231" t="s">
        <v>91</v>
      </c>
      <c r="P1231" s="21">
        <v>2095</v>
      </c>
      <c r="Q1231" t="s">
        <v>40</v>
      </c>
      <c r="R1231" t="s">
        <v>31</v>
      </c>
      <c r="S1231">
        <v>5</v>
      </c>
      <c r="T1231">
        <v>9</v>
      </c>
      <c r="U1231" t="s">
        <v>56</v>
      </c>
      <c r="V1231" t="s">
        <v>33</v>
      </c>
      <c r="W1231">
        <v>5</v>
      </c>
    </row>
    <row r="1232" spans="1:23" x14ac:dyDescent="0.25">
      <c r="A1232" t="s">
        <v>1834</v>
      </c>
      <c r="B1232" s="1">
        <v>45681</v>
      </c>
      <c r="C1232" t="s">
        <v>185</v>
      </c>
      <c r="D1232" t="s">
        <v>90</v>
      </c>
      <c r="E1232" t="s">
        <v>46</v>
      </c>
      <c r="F1232" t="s">
        <v>86</v>
      </c>
      <c r="G1232" t="s">
        <v>127</v>
      </c>
      <c r="H1232">
        <v>1</v>
      </c>
      <c r="I1232" s="21">
        <v>35542</v>
      </c>
      <c r="J1232">
        <v>15</v>
      </c>
      <c r="K1232" s="21">
        <v>5331.3</v>
      </c>
      <c r="L1232" s="21">
        <v>30210.7</v>
      </c>
      <c r="M1232" s="21">
        <v>21178.95</v>
      </c>
      <c r="N1232" s="21">
        <v>9031.75</v>
      </c>
      <c r="O1232" t="s">
        <v>91</v>
      </c>
      <c r="P1232" s="21">
        <v>1275.5</v>
      </c>
      <c r="Q1232" t="s">
        <v>68</v>
      </c>
      <c r="R1232" t="s">
        <v>41</v>
      </c>
      <c r="S1232">
        <v>2</v>
      </c>
      <c r="T1232">
        <v>1</v>
      </c>
      <c r="U1232" t="s">
        <v>32</v>
      </c>
      <c r="V1232" t="s">
        <v>33</v>
      </c>
      <c r="W1232">
        <v>5</v>
      </c>
    </row>
    <row r="1233" spans="1:23" x14ac:dyDescent="0.25">
      <c r="A1233" t="s">
        <v>1835</v>
      </c>
      <c r="B1233" s="1">
        <v>45824</v>
      </c>
      <c r="C1233" t="s">
        <v>1291</v>
      </c>
      <c r="D1233" t="s">
        <v>79</v>
      </c>
      <c r="E1233" t="s">
        <v>46</v>
      </c>
      <c r="F1233" t="s">
        <v>37</v>
      </c>
      <c r="G1233" t="s">
        <v>100</v>
      </c>
      <c r="H1233">
        <v>3</v>
      </c>
      <c r="I1233" s="21">
        <v>26099</v>
      </c>
      <c r="J1233">
        <v>10</v>
      </c>
      <c r="K1233" s="21">
        <v>7829.7</v>
      </c>
      <c r="L1233" s="21">
        <v>70467.3</v>
      </c>
      <c r="M1233" s="21">
        <v>47922.09</v>
      </c>
      <c r="N1233" s="21">
        <v>22545.21</v>
      </c>
      <c r="O1233" t="s">
        <v>49</v>
      </c>
      <c r="P1233" s="21">
        <v>225.87</v>
      </c>
      <c r="Q1233" t="s">
        <v>73</v>
      </c>
      <c r="R1233" t="s">
        <v>31</v>
      </c>
      <c r="S1233">
        <v>5</v>
      </c>
      <c r="T1233">
        <v>2</v>
      </c>
      <c r="U1233" t="s">
        <v>32</v>
      </c>
      <c r="V1233" t="s">
        <v>33</v>
      </c>
      <c r="W1233">
        <v>1</v>
      </c>
    </row>
    <row r="1234" spans="1:23" x14ac:dyDescent="0.25">
      <c r="A1234" t="s">
        <v>1836</v>
      </c>
      <c r="B1234" s="1">
        <v>45686</v>
      </c>
      <c r="C1234" t="s">
        <v>195</v>
      </c>
      <c r="D1234" t="s">
        <v>90</v>
      </c>
      <c r="E1234" t="s">
        <v>26</v>
      </c>
      <c r="F1234" t="s">
        <v>47</v>
      </c>
      <c r="G1234" t="s">
        <v>48</v>
      </c>
      <c r="H1234">
        <v>1</v>
      </c>
      <c r="I1234" s="21">
        <v>24160</v>
      </c>
      <c r="J1234">
        <v>20</v>
      </c>
      <c r="K1234" s="21">
        <v>4832</v>
      </c>
      <c r="L1234" s="21">
        <v>19328</v>
      </c>
      <c r="M1234" s="21">
        <v>15047.55</v>
      </c>
      <c r="N1234" s="21">
        <v>4280.45</v>
      </c>
      <c r="O1234" t="s">
        <v>29</v>
      </c>
      <c r="P1234" s="21">
        <v>875.28</v>
      </c>
      <c r="Q1234" t="s">
        <v>30</v>
      </c>
      <c r="R1234" t="s">
        <v>41</v>
      </c>
      <c r="S1234">
        <v>2</v>
      </c>
      <c r="T1234">
        <v>5</v>
      </c>
      <c r="U1234" t="s">
        <v>32</v>
      </c>
      <c r="V1234" t="s">
        <v>50</v>
      </c>
      <c r="W1234">
        <v>1</v>
      </c>
    </row>
    <row r="1235" spans="1:23" x14ac:dyDescent="0.25">
      <c r="A1235" t="s">
        <v>1837</v>
      </c>
      <c r="B1235" s="1">
        <v>45808</v>
      </c>
      <c r="C1235" t="s">
        <v>1012</v>
      </c>
      <c r="D1235" t="s">
        <v>63</v>
      </c>
      <c r="E1235" t="s">
        <v>26</v>
      </c>
      <c r="F1235" t="s">
        <v>37</v>
      </c>
      <c r="G1235" t="s">
        <v>38</v>
      </c>
      <c r="H1235">
        <v>1</v>
      </c>
      <c r="I1235" s="21">
        <v>33581</v>
      </c>
      <c r="J1235">
        <v>10</v>
      </c>
      <c r="K1235" s="21">
        <v>3358.1</v>
      </c>
      <c r="L1235" s="21">
        <v>30222.9</v>
      </c>
      <c r="M1235" s="21">
        <v>23791.07</v>
      </c>
      <c r="N1235" s="21">
        <v>6431.83</v>
      </c>
      <c r="O1235" t="s">
        <v>91</v>
      </c>
      <c r="P1235" s="21">
        <v>1274.9100000000001</v>
      </c>
      <c r="Q1235" t="s">
        <v>30</v>
      </c>
      <c r="R1235" t="s">
        <v>41</v>
      </c>
      <c r="S1235">
        <v>2</v>
      </c>
      <c r="T1235">
        <v>7</v>
      </c>
      <c r="U1235" t="s">
        <v>56</v>
      </c>
      <c r="V1235" t="s">
        <v>33</v>
      </c>
    </row>
    <row r="1236" spans="1:23" x14ac:dyDescent="0.25">
      <c r="A1236" t="s">
        <v>1838</v>
      </c>
      <c r="B1236" s="1">
        <v>45841</v>
      </c>
      <c r="C1236" t="s">
        <v>265</v>
      </c>
      <c r="D1236" t="s">
        <v>79</v>
      </c>
      <c r="E1236" t="s">
        <v>26</v>
      </c>
      <c r="F1236" t="s">
        <v>47</v>
      </c>
      <c r="G1236" t="s">
        <v>105</v>
      </c>
      <c r="H1236">
        <v>3</v>
      </c>
      <c r="I1236" s="21">
        <v>41043</v>
      </c>
      <c r="J1236">
        <v>0</v>
      </c>
      <c r="K1236" s="21">
        <v>0</v>
      </c>
      <c r="L1236" s="21">
        <v>123129</v>
      </c>
      <c r="M1236" s="21">
        <v>72679.509999999995</v>
      </c>
      <c r="N1236" s="21">
        <v>50449.49</v>
      </c>
      <c r="O1236" t="s">
        <v>39</v>
      </c>
      <c r="P1236" s="21">
        <v>2139.1799999999998</v>
      </c>
      <c r="Q1236" t="s">
        <v>83</v>
      </c>
      <c r="R1236" t="s">
        <v>31</v>
      </c>
      <c r="S1236">
        <v>5</v>
      </c>
      <c r="T1236">
        <v>3</v>
      </c>
      <c r="U1236" t="s">
        <v>32</v>
      </c>
      <c r="V1236" t="s">
        <v>33</v>
      </c>
      <c r="W1236">
        <v>5</v>
      </c>
    </row>
    <row r="1237" spans="1:23" x14ac:dyDescent="0.25">
      <c r="A1237" t="s">
        <v>1839</v>
      </c>
      <c r="B1237" s="1">
        <v>45849</v>
      </c>
      <c r="C1237" t="s">
        <v>591</v>
      </c>
      <c r="D1237" t="s">
        <v>90</v>
      </c>
      <c r="E1237" t="s">
        <v>26</v>
      </c>
      <c r="F1237" t="s">
        <v>37</v>
      </c>
      <c r="G1237" t="s">
        <v>313</v>
      </c>
      <c r="H1237">
        <v>2</v>
      </c>
      <c r="I1237" s="21">
        <v>19478</v>
      </c>
      <c r="J1237">
        <v>10</v>
      </c>
      <c r="K1237" s="21">
        <v>3895.6</v>
      </c>
      <c r="L1237" s="21">
        <v>35060.400000000001</v>
      </c>
      <c r="M1237" s="21">
        <v>23182.37</v>
      </c>
      <c r="N1237" s="21">
        <v>11878.03</v>
      </c>
      <c r="O1237" t="s">
        <v>49</v>
      </c>
      <c r="P1237" s="21">
        <v>454.74</v>
      </c>
      <c r="Q1237" t="s">
        <v>68</v>
      </c>
      <c r="R1237" t="s">
        <v>31</v>
      </c>
      <c r="S1237">
        <v>5</v>
      </c>
      <c r="T1237">
        <v>8</v>
      </c>
      <c r="U1237" t="s">
        <v>56</v>
      </c>
      <c r="V1237" t="s">
        <v>33</v>
      </c>
      <c r="W1237">
        <v>3</v>
      </c>
    </row>
    <row r="1238" spans="1:23" x14ac:dyDescent="0.25">
      <c r="A1238" t="s">
        <v>1840</v>
      </c>
      <c r="B1238" s="1">
        <v>45878</v>
      </c>
      <c r="C1238" t="s">
        <v>237</v>
      </c>
      <c r="D1238" t="s">
        <v>71</v>
      </c>
      <c r="E1238" t="s">
        <v>26</v>
      </c>
      <c r="F1238" t="s">
        <v>47</v>
      </c>
      <c r="G1238" t="s">
        <v>105</v>
      </c>
      <c r="H1238">
        <v>1</v>
      </c>
      <c r="I1238" s="21">
        <v>38656</v>
      </c>
      <c r="J1238">
        <v>0</v>
      </c>
      <c r="K1238" s="21">
        <v>0</v>
      </c>
      <c r="L1238" s="21">
        <v>38656</v>
      </c>
      <c r="M1238" s="21">
        <v>29792.35</v>
      </c>
      <c r="N1238" s="21">
        <v>8863.65</v>
      </c>
      <c r="O1238" t="s">
        <v>29</v>
      </c>
      <c r="P1238" s="21">
        <v>2345.94</v>
      </c>
      <c r="Q1238" t="s">
        <v>68</v>
      </c>
      <c r="R1238" t="s">
        <v>31</v>
      </c>
      <c r="S1238">
        <v>5</v>
      </c>
      <c r="T1238">
        <v>8</v>
      </c>
      <c r="U1238" t="s">
        <v>56</v>
      </c>
      <c r="V1238" t="s">
        <v>33</v>
      </c>
      <c r="W1238">
        <v>5</v>
      </c>
    </row>
    <row r="1239" spans="1:23" x14ac:dyDescent="0.25">
      <c r="A1239" t="s">
        <v>1841</v>
      </c>
      <c r="B1239" s="1">
        <v>45732</v>
      </c>
      <c r="C1239" t="s">
        <v>677</v>
      </c>
      <c r="D1239" t="s">
        <v>67</v>
      </c>
      <c r="E1239" t="s">
        <v>26</v>
      </c>
      <c r="F1239" t="s">
        <v>47</v>
      </c>
      <c r="G1239" t="s">
        <v>105</v>
      </c>
      <c r="H1239">
        <v>2</v>
      </c>
      <c r="I1239" s="21">
        <v>8058</v>
      </c>
      <c r="J1239">
        <v>25</v>
      </c>
      <c r="K1239" s="21">
        <v>4029</v>
      </c>
      <c r="L1239" s="21">
        <v>12087</v>
      </c>
      <c r="M1239" s="21">
        <v>8054.11</v>
      </c>
      <c r="N1239" s="21">
        <v>4032.89</v>
      </c>
      <c r="O1239" t="s">
        <v>29</v>
      </c>
      <c r="P1239" s="21">
        <v>1574.93</v>
      </c>
      <c r="Q1239" t="s">
        <v>83</v>
      </c>
      <c r="R1239" t="s">
        <v>41</v>
      </c>
      <c r="S1239">
        <v>2</v>
      </c>
      <c r="T1239">
        <v>1</v>
      </c>
      <c r="U1239" t="s">
        <v>32</v>
      </c>
      <c r="V1239" t="s">
        <v>33</v>
      </c>
      <c r="W1239">
        <v>5</v>
      </c>
    </row>
    <row r="1240" spans="1:23" x14ac:dyDescent="0.25">
      <c r="A1240" t="s">
        <v>1842</v>
      </c>
      <c r="B1240" s="1">
        <v>45783</v>
      </c>
      <c r="C1240" t="s">
        <v>163</v>
      </c>
      <c r="D1240" t="s">
        <v>45</v>
      </c>
      <c r="E1240" t="s">
        <v>46</v>
      </c>
      <c r="F1240" t="s">
        <v>27</v>
      </c>
      <c r="G1240" t="s">
        <v>113</v>
      </c>
      <c r="H1240">
        <v>2</v>
      </c>
      <c r="I1240" s="21">
        <v>26227</v>
      </c>
      <c r="J1240">
        <v>20</v>
      </c>
      <c r="K1240" s="21">
        <v>10490.8</v>
      </c>
      <c r="L1240" s="21">
        <v>41963.199999999997</v>
      </c>
      <c r="M1240" s="21">
        <v>34267.19</v>
      </c>
      <c r="N1240" s="21">
        <v>7696.01</v>
      </c>
      <c r="O1240" t="s">
        <v>60</v>
      </c>
      <c r="P1240" s="21">
        <v>2486.79</v>
      </c>
      <c r="Q1240" t="s">
        <v>73</v>
      </c>
      <c r="R1240" t="s">
        <v>41</v>
      </c>
      <c r="S1240">
        <v>2</v>
      </c>
      <c r="T1240">
        <v>3</v>
      </c>
      <c r="U1240" t="s">
        <v>56</v>
      </c>
      <c r="V1240" t="s">
        <v>33</v>
      </c>
      <c r="W1240">
        <v>5</v>
      </c>
    </row>
    <row r="1241" spans="1:23" x14ac:dyDescent="0.25">
      <c r="A1241" t="s">
        <v>1843</v>
      </c>
      <c r="B1241" s="1">
        <v>45929</v>
      </c>
      <c r="C1241" t="s">
        <v>370</v>
      </c>
      <c r="D1241" t="s">
        <v>154</v>
      </c>
      <c r="E1241" t="s">
        <v>36</v>
      </c>
      <c r="F1241" t="s">
        <v>53</v>
      </c>
      <c r="G1241" t="s">
        <v>59</v>
      </c>
      <c r="H1241">
        <v>2</v>
      </c>
      <c r="I1241" s="21">
        <v>16691</v>
      </c>
      <c r="J1241">
        <v>25</v>
      </c>
      <c r="K1241" s="21">
        <v>8345.5</v>
      </c>
      <c r="L1241" s="21">
        <v>25036.5</v>
      </c>
      <c r="M1241" s="21">
        <v>19612.740000000002</v>
      </c>
      <c r="N1241" s="21">
        <v>5423.76</v>
      </c>
      <c r="O1241" t="s">
        <v>91</v>
      </c>
      <c r="P1241" s="21">
        <v>1098.73</v>
      </c>
      <c r="Q1241" t="s">
        <v>68</v>
      </c>
      <c r="R1241" t="s">
        <v>41</v>
      </c>
      <c r="S1241">
        <v>2</v>
      </c>
      <c r="T1241">
        <v>0</v>
      </c>
      <c r="U1241" t="s">
        <v>32</v>
      </c>
      <c r="V1241" t="s">
        <v>50</v>
      </c>
      <c r="W1241">
        <v>4</v>
      </c>
    </row>
    <row r="1242" spans="1:23" x14ac:dyDescent="0.25">
      <c r="A1242" t="s">
        <v>1844</v>
      </c>
      <c r="B1242" s="1">
        <v>45868</v>
      </c>
      <c r="C1242" t="s">
        <v>1172</v>
      </c>
      <c r="D1242" t="s">
        <v>154</v>
      </c>
      <c r="E1242" t="s">
        <v>36</v>
      </c>
      <c r="F1242" t="s">
        <v>53</v>
      </c>
      <c r="G1242" t="s">
        <v>151</v>
      </c>
      <c r="H1242">
        <v>2</v>
      </c>
      <c r="I1242" s="21">
        <v>10943</v>
      </c>
      <c r="J1242">
        <v>25</v>
      </c>
      <c r="K1242" s="21">
        <v>5471.5</v>
      </c>
      <c r="L1242" s="21">
        <v>16414.5</v>
      </c>
      <c r="M1242" s="21">
        <v>12747.71</v>
      </c>
      <c r="N1242" s="21">
        <v>3666.79</v>
      </c>
      <c r="O1242" t="s">
        <v>29</v>
      </c>
      <c r="P1242" s="21">
        <v>476</v>
      </c>
      <c r="Q1242" t="s">
        <v>68</v>
      </c>
      <c r="R1242" t="s">
        <v>31</v>
      </c>
      <c r="S1242">
        <v>5</v>
      </c>
      <c r="T1242">
        <v>4</v>
      </c>
      <c r="U1242" t="s">
        <v>32</v>
      </c>
      <c r="V1242" t="s">
        <v>33</v>
      </c>
      <c r="W1242">
        <v>4</v>
      </c>
    </row>
    <row r="1243" spans="1:23" x14ac:dyDescent="0.25">
      <c r="A1243" t="s">
        <v>1845</v>
      </c>
      <c r="B1243" s="1">
        <v>45947</v>
      </c>
      <c r="C1243" t="s">
        <v>1538</v>
      </c>
      <c r="D1243" t="s">
        <v>124</v>
      </c>
      <c r="E1243" t="s">
        <v>46</v>
      </c>
      <c r="F1243" t="s">
        <v>27</v>
      </c>
      <c r="G1243" t="s">
        <v>72</v>
      </c>
      <c r="H1243">
        <v>2</v>
      </c>
      <c r="I1243" s="21">
        <v>13591</v>
      </c>
      <c r="J1243">
        <v>0</v>
      </c>
      <c r="K1243" s="21">
        <v>0</v>
      </c>
      <c r="L1243" s="21">
        <v>27182</v>
      </c>
      <c r="M1243" s="21">
        <v>17924.099999999999</v>
      </c>
      <c r="N1243" s="21">
        <v>9257.9</v>
      </c>
      <c r="O1243" t="s">
        <v>60</v>
      </c>
      <c r="P1243" s="21">
        <v>674.37</v>
      </c>
      <c r="Q1243" t="s">
        <v>40</v>
      </c>
      <c r="R1243" t="s">
        <v>31</v>
      </c>
      <c r="S1243">
        <v>5</v>
      </c>
      <c r="T1243">
        <v>4</v>
      </c>
      <c r="U1243" t="s">
        <v>32</v>
      </c>
      <c r="V1243" t="s">
        <v>33</v>
      </c>
      <c r="W1243">
        <v>1</v>
      </c>
    </row>
    <row r="1244" spans="1:23" x14ac:dyDescent="0.25">
      <c r="A1244" t="s">
        <v>1846</v>
      </c>
      <c r="B1244" s="1">
        <v>46007</v>
      </c>
      <c r="C1244" t="s">
        <v>1288</v>
      </c>
      <c r="D1244" t="s">
        <v>124</v>
      </c>
      <c r="E1244" t="s">
        <v>46</v>
      </c>
      <c r="F1244" t="s">
        <v>37</v>
      </c>
      <c r="G1244" t="s">
        <v>161</v>
      </c>
      <c r="H1244">
        <v>4</v>
      </c>
      <c r="I1244" s="21">
        <v>22499</v>
      </c>
      <c r="J1244">
        <v>10</v>
      </c>
      <c r="K1244" s="21">
        <v>8999.6</v>
      </c>
      <c r="L1244" s="21">
        <v>80996.399999999994</v>
      </c>
      <c r="M1244" s="21">
        <v>61498.43</v>
      </c>
      <c r="N1244" s="21">
        <v>19497.97</v>
      </c>
      <c r="O1244" t="s">
        <v>39</v>
      </c>
      <c r="P1244" s="21">
        <v>261.60000000000002</v>
      </c>
      <c r="Q1244" t="s">
        <v>30</v>
      </c>
      <c r="R1244" t="s">
        <v>41</v>
      </c>
      <c r="S1244">
        <v>2</v>
      </c>
      <c r="T1244">
        <v>3</v>
      </c>
      <c r="U1244" t="s">
        <v>32</v>
      </c>
      <c r="V1244" t="s">
        <v>42</v>
      </c>
    </row>
    <row r="1245" spans="1:23" x14ac:dyDescent="0.25">
      <c r="A1245" t="s">
        <v>1847</v>
      </c>
      <c r="B1245" s="1">
        <v>45750</v>
      </c>
      <c r="C1245" t="s">
        <v>1451</v>
      </c>
      <c r="D1245" t="s">
        <v>45</v>
      </c>
      <c r="E1245" t="s">
        <v>36</v>
      </c>
      <c r="F1245" t="s">
        <v>37</v>
      </c>
      <c r="G1245" t="s">
        <v>161</v>
      </c>
      <c r="H1245">
        <v>1</v>
      </c>
      <c r="I1245" s="21">
        <v>38766</v>
      </c>
      <c r="J1245">
        <v>0</v>
      </c>
      <c r="K1245" s="21">
        <v>0</v>
      </c>
      <c r="L1245" s="21">
        <v>38766</v>
      </c>
      <c r="M1245" s="21">
        <v>31354.69</v>
      </c>
      <c r="N1245" s="21">
        <v>7411.31</v>
      </c>
      <c r="O1245" t="s">
        <v>39</v>
      </c>
      <c r="P1245" s="21">
        <v>2298.66</v>
      </c>
      <c r="Q1245" t="s">
        <v>73</v>
      </c>
      <c r="R1245" t="s">
        <v>31</v>
      </c>
      <c r="S1245">
        <v>5</v>
      </c>
      <c r="T1245">
        <v>2</v>
      </c>
      <c r="U1245" t="s">
        <v>32</v>
      </c>
      <c r="V1245" t="s">
        <v>33</v>
      </c>
      <c r="W1245">
        <v>5</v>
      </c>
    </row>
    <row r="1246" spans="1:23" x14ac:dyDescent="0.25">
      <c r="A1246" t="s">
        <v>1848</v>
      </c>
      <c r="B1246" s="1">
        <v>45745</v>
      </c>
      <c r="C1246" t="s">
        <v>1017</v>
      </c>
      <c r="D1246" t="s">
        <v>79</v>
      </c>
      <c r="E1246" t="s">
        <v>26</v>
      </c>
      <c r="F1246" t="s">
        <v>47</v>
      </c>
      <c r="G1246" t="s">
        <v>138</v>
      </c>
      <c r="H1246">
        <v>1</v>
      </c>
      <c r="I1246" s="21">
        <v>39898</v>
      </c>
      <c r="J1246">
        <v>10</v>
      </c>
      <c r="K1246" s="21">
        <v>3989.8</v>
      </c>
      <c r="L1246" s="21">
        <v>35908.199999999997</v>
      </c>
      <c r="M1246" s="21">
        <v>26180.58</v>
      </c>
      <c r="N1246" s="21">
        <v>9727.6200000000008</v>
      </c>
      <c r="O1246" t="s">
        <v>60</v>
      </c>
      <c r="P1246" s="21">
        <v>1413.72</v>
      </c>
      <c r="Q1246" t="s">
        <v>83</v>
      </c>
      <c r="R1246" t="s">
        <v>31</v>
      </c>
      <c r="S1246">
        <v>5</v>
      </c>
      <c r="T1246">
        <v>2</v>
      </c>
      <c r="U1246" t="s">
        <v>32</v>
      </c>
      <c r="V1246" t="s">
        <v>50</v>
      </c>
      <c r="W1246">
        <v>5</v>
      </c>
    </row>
    <row r="1247" spans="1:23" x14ac:dyDescent="0.25">
      <c r="A1247" t="s">
        <v>1849</v>
      </c>
      <c r="B1247" s="1">
        <v>45747</v>
      </c>
      <c r="C1247" t="s">
        <v>1850</v>
      </c>
      <c r="D1247" t="s">
        <v>45</v>
      </c>
      <c r="E1247" t="s">
        <v>26</v>
      </c>
      <c r="F1247" t="s">
        <v>53</v>
      </c>
      <c r="G1247" t="s">
        <v>54</v>
      </c>
      <c r="H1247">
        <v>3</v>
      </c>
      <c r="I1247" s="21">
        <v>94727</v>
      </c>
      <c r="J1247">
        <v>5</v>
      </c>
      <c r="K1247" s="21">
        <v>14209.05</v>
      </c>
      <c r="L1247" s="21">
        <v>269971.95</v>
      </c>
      <c r="M1247" s="21">
        <v>216965.72</v>
      </c>
      <c r="N1247" s="21">
        <v>53006.23</v>
      </c>
      <c r="O1247" t="s">
        <v>49</v>
      </c>
      <c r="P1247" s="21">
        <v>74.48</v>
      </c>
      <c r="Q1247" t="s">
        <v>40</v>
      </c>
      <c r="R1247" t="s">
        <v>31</v>
      </c>
      <c r="S1247">
        <v>5</v>
      </c>
      <c r="T1247">
        <v>2</v>
      </c>
      <c r="U1247" t="s">
        <v>32</v>
      </c>
      <c r="V1247" t="s">
        <v>33</v>
      </c>
      <c r="W1247">
        <v>4</v>
      </c>
    </row>
    <row r="1248" spans="1:23" x14ac:dyDescent="0.25">
      <c r="A1248" t="s">
        <v>1851</v>
      </c>
      <c r="B1248" s="1">
        <v>45698</v>
      </c>
      <c r="C1248" t="s">
        <v>150</v>
      </c>
      <c r="D1248" t="s">
        <v>90</v>
      </c>
      <c r="E1248" t="s">
        <v>36</v>
      </c>
      <c r="F1248" t="s">
        <v>47</v>
      </c>
      <c r="G1248" t="s">
        <v>105</v>
      </c>
      <c r="H1248">
        <v>1</v>
      </c>
      <c r="I1248" s="21">
        <v>48228</v>
      </c>
      <c r="J1248">
        <v>0</v>
      </c>
      <c r="K1248" s="21">
        <v>0</v>
      </c>
      <c r="L1248" s="21">
        <v>48228</v>
      </c>
      <c r="M1248" s="21">
        <v>32440.59</v>
      </c>
      <c r="N1248" s="21">
        <v>15787.41</v>
      </c>
      <c r="O1248" t="s">
        <v>60</v>
      </c>
      <c r="P1248" s="21">
        <v>580.89</v>
      </c>
      <c r="Q1248" t="s">
        <v>30</v>
      </c>
      <c r="R1248" t="s">
        <v>31</v>
      </c>
      <c r="S1248">
        <v>5</v>
      </c>
      <c r="T1248">
        <v>5</v>
      </c>
      <c r="U1248" t="s">
        <v>32</v>
      </c>
      <c r="V1248" t="s">
        <v>33</v>
      </c>
      <c r="W1248">
        <v>5</v>
      </c>
    </row>
    <row r="1249" spans="1:23" x14ac:dyDescent="0.25">
      <c r="A1249" t="s">
        <v>1852</v>
      </c>
      <c r="B1249" s="1">
        <v>45970</v>
      </c>
      <c r="C1249" t="s">
        <v>1186</v>
      </c>
      <c r="D1249" t="s">
        <v>63</v>
      </c>
      <c r="E1249" t="s">
        <v>46</v>
      </c>
      <c r="F1249" t="s">
        <v>37</v>
      </c>
      <c r="G1249" t="s">
        <v>161</v>
      </c>
      <c r="H1249">
        <v>3</v>
      </c>
      <c r="I1249" s="21">
        <v>37838</v>
      </c>
      <c r="J1249">
        <v>25</v>
      </c>
      <c r="K1249" s="21">
        <v>28378.5</v>
      </c>
      <c r="L1249" s="21">
        <v>85135.5</v>
      </c>
      <c r="M1249" s="21">
        <v>61990.41</v>
      </c>
      <c r="N1249" s="21">
        <v>23145.09</v>
      </c>
      <c r="O1249" t="s">
        <v>29</v>
      </c>
      <c r="P1249" s="21">
        <v>1687.75</v>
      </c>
      <c r="Q1249" t="s">
        <v>73</v>
      </c>
      <c r="R1249" t="s">
        <v>31</v>
      </c>
      <c r="S1249">
        <v>5</v>
      </c>
      <c r="T1249">
        <v>3</v>
      </c>
      <c r="U1249" t="s">
        <v>32</v>
      </c>
      <c r="V1249" t="s">
        <v>33</v>
      </c>
      <c r="W1249">
        <v>5</v>
      </c>
    </row>
    <row r="1250" spans="1:23" x14ac:dyDescent="0.25">
      <c r="A1250" t="s">
        <v>1853</v>
      </c>
      <c r="B1250" s="1">
        <v>45853</v>
      </c>
      <c r="C1250" t="s">
        <v>785</v>
      </c>
      <c r="D1250" t="s">
        <v>97</v>
      </c>
      <c r="E1250" t="s">
        <v>46</v>
      </c>
      <c r="F1250" t="s">
        <v>53</v>
      </c>
      <c r="G1250" t="s">
        <v>151</v>
      </c>
      <c r="H1250">
        <v>2</v>
      </c>
      <c r="I1250" s="21">
        <v>23723</v>
      </c>
      <c r="J1250">
        <v>0</v>
      </c>
      <c r="K1250" s="21">
        <v>0</v>
      </c>
      <c r="L1250" s="21">
        <v>47446</v>
      </c>
      <c r="M1250" s="21">
        <v>36341.19</v>
      </c>
      <c r="N1250" s="21">
        <v>11104.81</v>
      </c>
      <c r="O1250" t="s">
        <v>55</v>
      </c>
      <c r="P1250" s="21">
        <v>235.78</v>
      </c>
      <c r="Q1250" t="s">
        <v>83</v>
      </c>
      <c r="R1250" t="s">
        <v>41</v>
      </c>
      <c r="S1250">
        <v>2</v>
      </c>
      <c r="T1250">
        <v>2</v>
      </c>
      <c r="U1250" t="s">
        <v>32</v>
      </c>
      <c r="V1250" t="s">
        <v>33</v>
      </c>
      <c r="W1250">
        <v>2</v>
      </c>
    </row>
    <row r="1251" spans="1:23" x14ac:dyDescent="0.25">
      <c r="A1251" t="s">
        <v>1854</v>
      </c>
      <c r="B1251" s="1">
        <v>45975</v>
      </c>
      <c r="C1251" t="s">
        <v>1759</v>
      </c>
      <c r="D1251" t="s">
        <v>124</v>
      </c>
      <c r="E1251" t="s">
        <v>46</v>
      </c>
      <c r="F1251" t="s">
        <v>37</v>
      </c>
      <c r="G1251" t="s">
        <v>161</v>
      </c>
      <c r="H1251">
        <v>1</v>
      </c>
      <c r="I1251" s="21">
        <v>21338</v>
      </c>
      <c r="J1251">
        <v>10</v>
      </c>
      <c r="K1251" s="21">
        <v>2133.8000000000002</v>
      </c>
      <c r="L1251" s="21">
        <v>19204.2</v>
      </c>
      <c r="M1251" s="21">
        <v>11958.79</v>
      </c>
      <c r="N1251" s="21">
        <v>7245.41</v>
      </c>
      <c r="O1251" t="s">
        <v>29</v>
      </c>
      <c r="P1251" s="21">
        <v>1697.21</v>
      </c>
      <c r="Q1251" t="s">
        <v>73</v>
      </c>
      <c r="R1251" t="s">
        <v>41</v>
      </c>
      <c r="S1251">
        <v>2</v>
      </c>
      <c r="T1251">
        <v>1</v>
      </c>
      <c r="U1251" t="s">
        <v>32</v>
      </c>
      <c r="V1251" t="s">
        <v>33</v>
      </c>
      <c r="W1251">
        <v>5</v>
      </c>
    </row>
    <row r="1252" spans="1:23" x14ac:dyDescent="0.25">
      <c r="A1252" t="s">
        <v>1855</v>
      </c>
      <c r="B1252" s="1">
        <v>46007</v>
      </c>
      <c r="C1252" t="s">
        <v>729</v>
      </c>
      <c r="D1252" t="s">
        <v>90</v>
      </c>
      <c r="E1252" t="s">
        <v>46</v>
      </c>
      <c r="F1252" t="s">
        <v>86</v>
      </c>
      <c r="G1252" t="s">
        <v>110</v>
      </c>
      <c r="H1252">
        <v>2</v>
      </c>
      <c r="I1252" s="21">
        <v>24691</v>
      </c>
      <c r="J1252">
        <v>10</v>
      </c>
      <c r="K1252" s="21">
        <v>4938.2</v>
      </c>
      <c r="L1252" s="21">
        <v>44443.8</v>
      </c>
      <c r="M1252" s="21">
        <v>27023.45</v>
      </c>
      <c r="N1252" s="21">
        <v>17420.349999999999</v>
      </c>
      <c r="O1252" t="s">
        <v>55</v>
      </c>
      <c r="P1252" s="21">
        <v>407.06</v>
      </c>
      <c r="Q1252" t="s">
        <v>68</v>
      </c>
      <c r="R1252" t="s">
        <v>31</v>
      </c>
      <c r="S1252">
        <v>5</v>
      </c>
      <c r="T1252">
        <v>4</v>
      </c>
      <c r="U1252" t="s">
        <v>32</v>
      </c>
      <c r="V1252" t="s">
        <v>42</v>
      </c>
    </row>
    <row r="1253" spans="1:23" x14ac:dyDescent="0.25">
      <c r="A1253" t="s">
        <v>1856</v>
      </c>
      <c r="B1253" s="1">
        <v>45781</v>
      </c>
      <c r="C1253" t="s">
        <v>1249</v>
      </c>
      <c r="D1253" t="s">
        <v>124</v>
      </c>
      <c r="E1253" t="s">
        <v>46</v>
      </c>
      <c r="F1253" t="s">
        <v>47</v>
      </c>
      <c r="G1253" t="s">
        <v>105</v>
      </c>
      <c r="H1253">
        <v>3</v>
      </c>
      <c r="I1253" s="21">
        <v>36579</v>
      </c>
      <c r="J1253">
        <v>5</v>
      </c>
      <c r="K1253" s="21">
        <v>5486.85</v>
      </c>
      <c r="L1253" s="21">
        <v>104250.15</v>
      </c>
      <c r="M1253" s="21">
        <v>74508.850000000006</v>
      </c>
      <c r="N1253" s="21">
        <v>29741.3</v>
      </c>
      <c r="O1253" t="s">
        <v>55</v>
      </c>
      <c r="P1253" s="21">
        <v>2312.0700000000002</v>
      </c>
      <c r="Q1253" t="s">
        <v>73</v>
      </c>
      <c r="R1253" t="s">
        <v>41</v>
      </c>
      <c r="S1253">
        <v>2</v>
      </c>
      <c r="T1253">
        <v>0</v>
      </c>
      <c r="U1253" t="s">
        <v>32</v>
      </c>
      <c r="V1253" t="s">
        <v>50</v>
      </c>
      <c r="W1253">
        <v>2</v>
      </c>
    </row>
    <row r="1254" spans="1:23" x14ac:dyDescent="0.25">
      <c r="A1254" t="s">
        <v>1857</v>
      </c>
      <c r="B1254" s="1">
        <v>45912</v>
      </c>
      <c r="C1254" t="s">
        <v>854</v>
      </c>
      <c r="D1254" t="s">
        <v>154</v>
      </c>
      <c r="E1254" t="s">
        <v>46</v>
      </c>
      <c r="F1254" t="s">
        <v>47</v>
      </c>
      <c r="G1254" t="s">
        <v>105</v>
      </c>
      <c r="H1254">
        <v>1</v>
      </c>
      <c r="I1254" s="21">
        <v>52770</v>
      </c>
      <c r="J1254">
        <v>0</v>
      </c>
      <c r="K1254" s="21">
        <v>0</v>
      </c>
      <c r="L1254" s="21">
        <v>52770</v>
      </c>
      <c r="M1254" s="21">
        <v>38995.78</v>
      </c>
      <c r="N1254" s="21">
        <v>13774.22</v>
      </c>
      <c r="O1254" t="s">
        <v>49</v>
      </c>
      <c r="P1254" s="21">
        <v>473.73</v>
      </c>
      <c r="Q1254" t="s">
        <v>83</v>
      </c>
      <c r="R1254" t="s">
        <v>41</v>
      </c>
      <c r="S1254">
        <v>2</v>
      </c>
      <c r="T1254">
        <v>1</v>
      </c>
      <c r="U1254" t="s">
        <v>32</v>
      </c>
      <c r="V1254" t="s">
        <v>33</v>
      </c>
      <c r="W1254">
        <v>5</v>
      </c>
    </row>
    <row r="1255" spans="1:23" x14ac:dyDescent="0.25">
      <c r="A1255" t="s">
        <v>1858</v>
      </c>
      <c r="B1255" s="1">
        <v>45956</v>
      </c>
      <c r="C1255" t="s">
        <v>451</v>
      </c>
      <c r="D1255" t="s">
        <v>97</v>
      </c>
      <c r="E1255" t="s">
        <v>46</v>
      </c>
      <c r="F1255" t="s">
        <v>47</v>
      </c>
      <c r="G1255" t="s">
        <v>105</v>
      </c>
      <c r="H1255">
        <v>1</v>
      </c>
      <c r="I1255" s="21">
        <v>44352</v>
      </c>
      <c r="J1255">
        <v>25</v>
      </c>
      <c r="K1255" s="21">
        <v>11088</v>
      </c>
      <c r="L1255" s="21">
        <v>33264</v>
      </c>
      <c r="M1255" s="21">
        <v>21613.23</v>
      </c>
      <c r="N1255" s="21">
        <v>11650.77</v>
      </c>
      <c r="O1255" t="s">
        <v>29</v>
      </c>
      <c r="P1255" s="21">
        <v>2497.84</v>
      </c>
      <c r="Q1255" t="s">
        <v>68</v>
      </c>
      <c r="R1255" t="s">
        <v>41</v>
      </c>
      <c r="S1255">
        <v>2</v>
      </c>
      <c r="T1255">
        <v>3</v>
      </c>
      <c r="U1255" t="s">
        <v>32</v>
      </c>
      <c r="V1255" t="s">
        <v>50</v>
      </c>
      <c r="W1255">
        <v>2</v>
      </c>
    </row>
    <row r="1256" spans="1:23" x14ac:dyDescent="0.25">
      <c r="A1256" t="s">
        <v>1859</v>
      </c>
      <c r="B1256" s="1">
        <v>45731</v>
      </c>
      <c r="C1256" t="s">
        <v>1860</v>
      </c>
      <c r="D1256" t="s">
        <v>71</v>
      </c>
      <c r="E1256" t="s">
        <v>36</v>
      </c>
      <c r="F1256" t="s">
        <v>47</v>
      </c>
      <c r="G1256" t="s">
        <v>105</v>
      </c>
      <c r="H1256">
        <v>2</v>
      </c>
      <c r="I1256" s="21">
        <v>41664</v>
      </c>
      <c r="J1256">
        <v>0</v>
      </c>
      <c r="K1256" s="21">
        <v>0</v>
      </c>
      <c r="L1256" s="21">
        <v>83328</v>
      </c>
      <c r="M1256" s="21">
        <v>54218.61</v>
      </c>
      <c r="N1256" s="21">
        <v>29109.39</v>
      </c>
      <c r="O1256" t="s">
        <v>60</v>
      </c>
      <c r="P1256" s="21">
        <v>2241.17</v>
      </c>
      <c r="Q1256" t="s">
        <v>68</v>
      </c>
      <c r="R1256" t="s">
        <v>41</v>
      </c>
      <c r="S1256">
        <v>2</v>
      </c>
      <c r="T1256">
        <v>4</v>
      </c>
      <c r="U1256" t="s">
        <v>56</v>
      </c>
      <c r="V1256" t="s">
        <v>33</v>
      </c>
      <c r="W1256">
        <v>5</v>
      </c>
    </row>
    <row r="1257" spans="1:23" x14ac:dyDescent="0.25">
      <c r="A1257" t="s">
        <v>1861</v>
      </c>
      <c r="B1257" s="1">
        <v>45776</v>
      </c>
      <c r="C1257" t="s">
        <v>1862</v>
      </c>
      <c r="D1257" t="s">
        <v>154</v>
      </c>
      <c r="E1257" t="s">
        <v>26</v>
      </c>
      <c r="F1257" t="s">
        <v>47</v>
      </c>
      <c r="G1257" t="s">
        <v>138</v>
      </c>
      <c r="H1257">
        <v>1</v>
      </c>
      <c r="I1257" s="21">
        <v>43941</v>
      </c>
      <c r="J1257">
        <v>15</v>
      </c>
      <c r="K1257" s="21">
        <v>6591.15</v>
      </c>
      <c r="L1257" s="21">
        <v>37349.85</v>
      </c>
      <c r="M1257" s="21">
        <v>24557.599999999999</v>
      </c>
      <c r="N1257" s="21">
        <v>12792.25</v>
      </c>
      <c r="O1257" t="s">
        <v>29</v>
      </c>
      <c r="P1257" s="21">
        <v>635.03</v>
      </c>
      <c r="Q1257" t="s">
        <v>73</v>
      </c>
      <c r="R1257" t="s">
        <v>41</v>
      </c>
      <c r="S1257">
        <v>2</v>
      </c>
      <c r="T1257">
        <v>1</v>
      </c>
      <c r="U1257" t="s">
        <v>32</v>
      </c>
      <c r="V1257" t="s">
        <v>33</v>
      </c>
      <c r="W1257">
        <v>2</v>
      </c>
    </row>
    <row r="1258" spans="1:23" x14ac:dyDescent="0.25">
      <c r="A1258" t="s">
        <v>1863</v>
      </c>
      <c r="B1258" s="1">
        <v>45894</v>
      </c>
      <c r="C1258" t="s">
        <v>1405</v>
      </c>
      <c r="D1258" t="s">
        <v>45</v>
      </c>
      <c r="E1258" t="s">
        <v>26</v>
      </c>
      <c r="F1258" t="s">
        <v>27</v>
      </c>
      <c r="G1258" t="s">
        <v>28</v>
      </c>
      <c r="H1258">
        <v>3</v>
      </c>
      <c r="I1258" s="21">
        <v>14005</v>
      </c>
      <c r="J1258">
        <v>15</v>
      </c>
      <c r="K1258" s="21">
        <v>6302.25</v>
      </c>
      <c r="L1258" s="21">
        <v>35712.75</v>
      </c>
      <c r="M1258" s="21">
        <v>25003</v>
      </c>
      <c r="N1258" s="21">
        <v>10709.75</v>
      </c>
      <c r="O1258" t="s">
        <v>49</v>
      </c>
      <c r="P1258" s="21">
        <v>324.91000000000003</v>
      </c>
      <c r="Q1258" t="s">
        <v>73</v>
      </c>
      <c r="R1258" t="s">
        <v>41</v>
      </c>
      <c r="S1258">
        <v>2</v>
      </c>
      <c r="T1258">
        <v>5</v>
      </c>
      <c r="U1258" t="s">
        <v>56</v>
      </c>
      <c r="V1258" t="s">
        <v>33</v>
      </c>
      <c r="W1258">
        <v>4</v>
      </c>
    </row>
    <row r="1259" spans="1:23" x14ac:dyDescent="0.25">
      <c r="A1259" t="s">
        <v>1864</v>
      </c>
      <c r="B1259" s="1">
        <v>45984</v>
      </c>
      <c r="C1259" t="s">
        <v>1865</v>
      </c>
      <c r="D1259" t="s">
        <v>79</v>
      </c>
      <c r="E1259" t="s">
        <v>46</v>
      </c>
      <c r="F1259" t="s">
        <v>27</v>
      </c>
      <c r="G1259" t="s">
        <v>164</v>
      </c>
      <c r="H1259">
        <v>1</v>
      </c>
      <c r="I1259" s="21">
        <v>6634</v>
      </c>
      <c r="J1259">
        <v>5</v>
      </c>
      <c r="K1259" s="21">
        <v>331.7</v>
      </c>
      <c r="L1259" s="21">
        <v>6302.3</v>
      </c>
      <c r="M1259" s="21">
        <v>4492.55</v>
      </c>
      <c r="N1259" s="21">
        <v>1809.75</v>
      </c>
      <c r="O1259" t="s">
        <v>91</v>
      </c>
      <c r="P1259" s="21">
        <v>394.67</v>
      </c>
      <c r="Q1259" t="s">
        <v>68</v>
      </c>
      <c r="R1259" t="s">
        <v>31</v>
      </c>
      <c r="S1259">
        <v>5</v>
      </c>
      <c r="T1259">
        <v>6</v>
      </c>
      <c r="U1259" t="s">
        <v>32</v>
      </c>
      <c r="V1259" t="s">
        <v>50</v>
      </c>
      <c r="W1259">
        <v>5</v>
      </c>
    </row>
    <row r="1260" spans="1:23" x14ac:dyDescent="0.25">
      <c r="A1260" t="s">
        <v>1866</v>
      </c>
      <c r="B1260" s="1">
        <v>45788</v>
      </c>
      <c r="C1260" t="s">
        <v>770</v>
      </c>
      <c r="D1260" t="s">
        <v>90</v>
      </c>
      <c r="E1260" t="s">
        <v>46</v>
      </c>
      <c r="F1260" t="s">
        <v>27</v>
      </c>
      <c r="G1260" t="s">
        <v>164</v>
      </c>
      <c r="H1260">
        <v>1</v>
      </c>
      <c r="I1260" s="21">
        <v>16571</v>
      </c>
      <c r="J1260">
        <v>0</v>
      </c>
      <c r="K1260" s="21">
        <v>0</v>
      </c>
      <c r="L1260" s="21">
        <v>16571</v>
      </c>
      <c r="M1260" s="21">
        <v>13393.97</v>
      </c>
      <c r="N1260" s="21">
        <v>3177.03</v>
      </c>
      <c r="O1260" t="s">
        <v>55</v>
      </c>
      <c r="P1260" s="21">
        <v>277.64</v>
      </c>
      <c r="Q1260" t="s">
        <v>73</v>
      </c>
      <c r="R1260" t="s">
        <v>31</v>
      </c>
      <c r="S1260">
        <v>5</v>
      </c>
      <c r="T1260">
        <v>3</v>
      </c>
      <c r="U1260" t="s">
        <v>32</v>
      </c>
      <c r="V1260" t="s">
        <v>33</v>
      </c>
      <c r="W1260">
        <v>5</v>
      </c>
    </row>
    <row r="1261" spans="1:23" x14ac:dyDescent="0.25">
      <c r="A1261" t="s">
        <v>1867</v>
      </c>
      <c r="B1261" s="1">
        <v>45893</v>
      </c>
      <c r="C1261" t="s">
        <v>1868</v>
      </c>
      <c r="D1261" t="s">
        <v>63</v>
      </c>
      <c r="E1261" t="s">
        <v>46</v>
      </c>
      <c r="F1261" t="s">
        <v>37</v>
      </c>
      <c r="G1261" t="s">
        <v>224</v>
      </c>
      <c r="H1261">
        <v>1</v>
      </c>
      <c r="I1261" s="21">
        <v>39623</v>
      </c>
      <c r="J1261">
        <v>20</v>
      </c>
      <c r="K1261" s="21">
        <v>7924.6</v>
      </c>
      <c r="L1261" s="21">
        <v>31698.400000000001</v>
      </c>
      <c r="M1261" s="21">
        <v>18567.23</v>
      </c>
      <c r="N1261" s="21">
        <v>13131.17</v>
      </c>
      <c r="O1261" t="s">
        <v>55</v>
      </c>
      <c r="P1261" s="21">
        <v>952.62</v>
      </c>
      <c r="Q1261" t="s">
        <v>30</v>
      </c>
      <c r="R1261" t="s">
        <v>41</v>
      </c>
      <c r="S1261">
        <v>2</v>
      </c>
      <c r="T1261">
        <v>5</v>
      </c>
      <c r="U1261" t="s">
        <v>32</v>
      </c>
      <c r="V1261" t="s">
        <v>42</v>
      </c>
    </row>
    <row r="1262" spans="1:23" x14ac:dyDescent="0.25">
      <c r="A1262" t="s">
        <v>1869</v>
      </c>
      <c r="B1262" s="1">
        <v>45788</v>
      </c>
      <c r="C1262" t="s">
        <v>1870</v>
      </c>
      <c r="D1262" t="s">
        <v>63</v>
      </c>
      <c r="E1262" t="s">
        <v>46</v>
      </c>
      <c r="F1262" t="s">
        <v>86</v>
      </c>
      <c r="G1262" t="s">
        <v>87</v>
      </c>
      <c r="H1262">
        <v>3</v>
      </c>
      <c r="I1262" s="21">
        <v>13289</v>
      </c>
      <c r="J1262">
        <v>5</v>
      </c>
      <c r="K1262" s="21">
        <v>1993.35</v>
      </c>
      <c r="L1262" s="21">
        <v>37873.65</v>
      </c>
      <c r="M1262" s="21">
        <v>24274.93</v>
      </c>
      <c r="N1262" s="21">
        <v>13598.72</v>
      </c>
      <c r="O1262" t="s">
        <v>55</v>
      </c>
      <c r="P1262" s="21">
        <v>2344.7199999999998</v>
      </c>
      <c r="Q1262" t="s">
        <v>30</v>
      </c>
      <c r="R1262" t="s">
        <v>31</v>
      </c>
      <c r="S1262">
        <v>5</v>
      </c>
      <c r="T1262">
        <v>6</v>
      </c>
      <c r="U1262" t="s">
        <v>56</v>
      </c>
      <c r="V1262" t="s">
        <v>33</v>
      </c>
      <c r="W1262">
        <v>5</v>
      </c>
    </row>
    <row r="1263" spans="1:23" x14ac:dyDescent="0.25">
      <c r="A1263" t="s">
        <v>1871</v>
      </c>
      <c r="B1263" s="1">
        <v>45999</v>
      </c>
      <c r="C1263" t="s">
        <v>1872</v>
      </c>
      <c r="D1263" t="s">
        <v>45</v>
      </c>
      <c r="E1263" t="s">
        <v>26</v>
      </c>
      <c r="F1263" t="s">
        <v>27</v>
      </c>
      <c r="G1263" t="s">
        <v>28</v>
      </c>
      <c r="H1263">
        <v>2</v>
      </c>
      <c r="I1263" s="21">
        <v>4612</v>
      </c>
      <c r="J1263">
        <v>15</v>
      </c>
      <c r="K1263" s="21">
        <v>1383.6</v>
      </c>
      <c r="L1263" s="21">
        <v>7840.4</v>
      </c>
      <c r="M1263" s="21">
        <v>5442.54</v>
      </c>
      <c r="N1263" s="21">
        <v>2397.86</v>
      </c>
      <c r="O1263" t="s">
        <v>39</v>
      </c>
      <c r="P1263" s="21">
        <v>1715.43</v>
      </c>
      <c r="Q1263" t="s">
        <v>68</v>
      </c>
      <c r="R1263" t="s">
        <v>31</v>
      </c>
      <c r="S1263">
        <v>5</v>
      </c>
      <c r="T1263">
        <v>5</v>
      </c>
      <c r="U1263" t="s">
        <v>32</v>
      </c>
      <c r="V1263" t="s">
        <v>33</v>
      </c>
      <c r="W1263">
        <v>4</v>
      </c>
    </row>
    <row r="1264" spans="1:23" x14ac:dyDescent="0.25">
      <c r="A1264" t="s">
        <v>1873</v>
      </c>
      <c r="B1264" s="1">
        <v>45662</v>
      </c>
      <c r="C1264" t="s">
        <v>1443</v>
      </c>
      <c r="D1264" t="s">
        <v>71</v>
      </c>
      <c r="E1264" t="s">
        <v>36</v>
      </c>
      <c r="F1264" t="s">
        <v>53</v>
      </c>
      <c r="G1264" t="s">
        <v>54</v>
      </c>
      <c r="H1264">
        <v>1</v>
      </c>
      <c r="I1264" s="21">
        <v>52673</v>
      </c>
      <c r="J1264">
        <v>0</v>
      </c>
      <c r="K1264" s="21">
        <v>0</v>
      </c>
      <c r="L1264" s="21">
        <v>52673</v>
      </c>
      <c r="M1264" s="21">
        <v>33373.480000000003</v>
      </c>
      <c r="N1264" s="21">
        <v>19299.52</v>
      </c>
      <c r="O1264" t="s">
        <v>55</v>
      </c>
      <c r="P1264" s="21">
        <v>477.19</v>
      </c>
      <c r="Q1264" t="s">
        <v>68</v>
      </c>
      <c r="R1264" t="s">
        <v>41</v>
      </c>
      <c r="S1264">
        <v>2</v>
      </c>
      <c r="T1264">
        <v>3</v>
      </c>
      <c r="U1264" t="s">
        <v>56</v>
      </c>
      <c r="V1264" t="s">
        <v>33</v>
      </c>
      <c r="W1264">
        <v>3</v>
      </c>
    </row>
    <row r="1265" spans="1:23" x14ac:dyDescent="0.25">
      <c r="A1265" t="s">
        <v>1874</v>
      </c>
      <c r="B1265" s="1">
        <v>45896</v>
      </c>
      <c r="C1265" t="s">
        <v>386</v>
      </c>
      <c r="D1265" t="s">
        <v>124</v>
      </c>
      <c r="E1265" t="s">
        <v>26</v>
      </c>
      <c r="F1265" t="s">
        <v>86</v>
      </c>
      <c r="G1265" t="s">
        <v>87</v>
      </c>
      <c r="H1265">
        <v>1</v>
      </c>
      <c r="I1265" s="21">
        <v>7668</v>
      </c>
      <c r="J1265">
        <v>20</v>
      </c>
      <c r="K1265" s="21">
        <v>1533.6</v>
      </c>
      <c r="L1265" s="21">
        <v>6134.4</v>
      </c>
      <c r="M1265" s="21">
        <v>4195.22</v>
      </c>
      <c r="N1265" s="21">
        <v>1939.18</v>
      </c>
      <c r="O1265" t="s">
        <v>60</v>
      </c>
      <c r="P1265" s="21">
        <v>2478.33</v>
      </c>
      <c r="Q1265" t="s">
        <v>73</v>
      </c>
      <c r="R1265" t="s">
        <v>31</v>
      </c>
      <c r="S1265">
        <v>5</v>
      </c>
      <c r="T1265">
        <v>0</v>
      </c>
      <c r="U1265" t="s">
        <v>32</v>
      </c>
      <c r="V1265" t="s">
        <v>50</v>
      </c>
      <c r="W1265">
        <v>4</v>
      </c>
    </row>
    <row r="1266" spans="1:23" x14ac:dyDescent="0.25">
      <c r="A1266" t="s">
        <v>1875</v>
      </c>
      <c r="B1266" s="1">
        <v>45805</v>
      </c>
      <c r="C1266" t="s">
        <v>785</v>
      </c>
      <c r="D1266" t="s">
        <v>79</v>
      </c>
      <c r="E1266" t="s">
        <v>26</v>
      </c>
      <c r="F1266" t="s">
        <v>53</v>
      </c>
      <c r="G1266" t="s">
        <v>268</v>
      </c>
      <c r="H1266">
        <v>1</v>
      </c>
      <c r="I1266" s="21">
        <v>14896</v>
      </c>
      <c r="J1266">
        <v>5</v>
      </c>
      <c r="K1266" s="21">
        <v>744.8</v>
      </c>
      <c r="L1266" s="21">
        <v>14151.2</v>
      </c>
      <c r="M1266" s="21">
        <v>9753.32</v>
      </c>
      <c r="N1266" s="21">
        <v>4397.88</v>
      </c>
      <c r="O1266" t="s">
        <v>29</v>
      </c>
      <c r="P1266" s="21">
        <v>292.72000000000003</v>
      </c>
      <c r="Q1266" t="s">
        <v>73</v>
      </c>
      <c r="R1266" t="s">
        <v>31</v>
      </c>
      <c r="S1266">
        <v>5</v>
      </c>
      <c r="T1266">
        <v>5</v>
      </c>
      <c r="U1266" t="s">
        <v>32</v>
      </c>
      <c r="V1266" t="s">
        <v>33</v>
      </c>
      <c r="W1266">
        <v>4</v>
      </c>
    </row>
    <row r="1267" spans="1:23" x14ac:dyDescent="0.25">
      <c r="A1267" t="s">
        <v>1876</v>
      </c>
      <c r="B1267" s="1">
        <v>46004</v>
      </c>
      <c r="C1267" t="s">
        <v>887</v>
      </c>
      <c r="D1267" t="s">
        <v>63</v>
      </c>
      <c r="E1267" t="s">
        <v>46</v>
      </c>
      <c r="F1267" t="s">
        <v>47</v>
      </c>
      <c r="G1267" t="s">
        <v>48</v>
      </c>
      <c r="H1267">
        <v>2</v>
      </c>
      <c r="I1267" s="21">
        <v>24755</v>
      </c>
      <c r="J1267">
        <v>20</v>
      </c>
      <c r="K1267" s="21">
        <v>9902</v>
      </c>
      <c r="L1267" s="21">
        <v>39608</v>
      </c>
      <c r="M1267" s="21">
        <v>29802.799999999999</v>
      </c>
      <c r="N1267" s="21">
        <v>9805.2000000000007</v>
      </c>
      <c r="O1267" t="s">
        <v>60</v>
      </c>
      <c r="P1267" s="21">
        <v>495.94</v>
      </c>
      <c r="Q1267" t="s">
        <v>68</v>
      </c>
      <c r="R1267" t="s">
        <v>41</v>
      </c>
      <c r="S1267">
        <v>2</v>
      </c>
      <c r="T1267">
        <v>6</v>
      </c>
      <c r="U1267" t="s">
        <v>32</v>
      </c>
      <c r="V1267" t="s">
        <v>42</v>
      </c>
    </row>
    <row r="1268" spans="1:23" x14ac:dyDescent="0.25">
      <c r="A1268" t="s">
        <v>1877</v>
      </c>
      <c r="B1268" s="1">
        <v>45937</v>
      </c>
      <c r="C1268" t="s">
        <v>1060</v>
      </c>
      <c r="D1268" t="s">
        <v>67</v>
      </c>
      <c r="E1268" t="s">
        <v>46</v>
      </c>
      <c r="F1268" t="s">
        <v>86</v>
      </c>
      <c r="G1268" t="s">
        <v>180</v>
      </c>
      <c r="H1268">
        <v>2</v>
      </c>
      <c r="I1268" s="21">
        <v>67763</v>
      </c>
      <c r="J1268">
        <v>25</v>
      </c>
      <c r="K1268" s="21">
        <v>33881.5</v>
      </c>
      <c r="L1268" s="21">
        <v>101644.5</v>
      </c>
      <c r="M1268" s="21">
        <v>79323.33</v>
      </c>
      <c r="N1268" s="21">
        <v>22321.17</v>
      </c>
      <c r="O1268" t="s">
        <v>60</v>
      </c>
      <c r="P1268" s="21">
        <v>1798.68</v>
      </c>
      <c r="Q1268" t="s">
        <v>68</v>
      </c>
      <c r="R1268" t="s">
        <v>31</v>
      </c>
      <c r="S1268">
        <v>5</v>
      </c>
      <c r="T1268">
        <v>4</v>
      </c>
      <c r="U1268" t="s">
        <v>32</v>
      </c>
      <c r="V1268" t="s">
        <v>33</v>
      </c>
      <c r="W1268">
        <v>4</v>
      </c>
    </row>
    <row r="1269" spans="1:23" x14ac:dyDescent="0.25">
      <c r="A1269" t="s">
        <v>1878</v>
      </c>
      <c r="B1269" s="1">
        <v>45738</v>
      </c>
      <c r="C1269" t="s">
        <v>107</v>
      </c>
      <c r="D1269" t="s">
        <v>79</v>
      </c>
      <c r="E1269" t="s">
        <v>46</v>
      </c>
      <c r="F1269" t="s">
        <v>37</v>
      </c>
      <c r="G1269" t="s">
        <v>38</v>
      </c>
      <c r="H1269">
        <v>1</v>
      </c>
      <c r="I1269" s="21">
        <v>27200</v>
      </c>
      <c r="J1269">
        <v>25</v>
      </c>
      <c r="K1269" s="21">
        <v>6800</v>
      </c>
      <c r="L1269" s="21">
        <v>20400</v>
      </c>
      <c r="M1269" s="21">
        <v>11228.02</v>
      </c>
      <c r="N1269" s="21">
        <v>9171.98</v>
      </c>
      <c r="O1269" t="s">
        <v>39</v>
      </c>
      <c r="P1269" s="21">
        <v>1894.19</v>
      </c>
      <c r="Q1269" t="s">
        <v>83</v>
      </c>
      <c r="R1269" t="s">
        <v>31</v>
      </c>
      <c r="S1269">
        <v>5</v>
      </c>
      <c r="T1269">
        <v>3</v>
      </c>
      <c r="U1269" t="s">
        <v>32</v>
      </c>
      <c r="V1269" t="s">
        <v>33</v>
      </c>
      <c r="W1269">
        <v>5</v>
      </c>
    </row>
    <row r="1270" spans="1:23" x14ac:dyDescent="0.25">
      <c r="A1270" t="s">
        <v>1879</v>
      </c>
      <c r="B1270" s="1">
        <v>45695</v>
      </c>
      <c r="C1270" t="s">
        <v>438</v>
      </c>
      <c r="D1270" t="s">
        <v>63</v>
      </c>
      <c r="E1270" t="s">
        <v>36</v>
      </c>
      <c r="F1270" t="s">
        <v>86</v>
      </c>
      <c r="G1270" t="s">
        <v>127</v>
      </c>
      <c r="H1270">
        <v>1</v>
      </c>
      <c r="I1270" s="21">
        <v>84941</v>
      </c>
      <c r="J1270">
        <v>15</v>
      </c>
      <c r="K1270" s="21">
        <v>12741.15</v>
      </c>
      <c r="L1270" s="21">
        <v>72199.850000000006</v>
      </c>
      <c r="M1270" s="21">
        <v>40624.01</v>
      </c>
      <c r="N1270" s="21">
        <v>31575.84</v>
      </c>
      <c r="O1270" t="s">
        <v>49</v>
      </c>
      <c r="P1270" s="21">
        <v>72.760000000000005</v>
      </c>
      <c r="Q1270" t="s">
        <v>83</v>
      </c>
      <c r="R1270" t="s">
        <v>41</v>
      </c>
      <c r="S1270">
        <v>2</v>
      </c>
      <c r="T1270">
        <v>1</v>
      </c>
      <c r="U1270" t="s">
        <v>32</v>
      </c>
      <c r="V1270" t="s">
        <v>33</v>
      </c>
      <c r="W1270">
        <v>1</v>
      </c>
    </row>
    <row r="1271" spans="1:23" x14ac:dyDescent="0.25">
      <c r="A1271" t="s">
        <v>1880</v>
      </c>
      <c r="B1271" s="1">
        <v>45884</v>
      </c>
      <c r="C1271" t="s">
        <v>203</v>
      </c>
      <c r="D1271" t="s">
        <v>63</v>
      </c>
      <c r="E1271" t="s">
        <v>36</v>
      </c>
      <c r="F1271" t="s">
        <v>37</v>
      </c>
      <c r="G1271" t="s">
        <v>161</v>
      </c>
      <c r="H1271">
        <v>1</v>
      </c>
      <c r="I1271" s="21">
        <v>39778</v>
      </c>
      <c r="J1271">
        <v>0</v>
      </c>
      <c r="K1271" s="21">
        <v>0</v>
      </c>
      <c r="L1271" s="21">
        <v>39778</v>
      </c>
      <c r="M1271" s="21">
        <v>23791.9</v>
      </c>
      <c r="N1271" s="21">
        <v>15986.1</v>
      </c>
      <c r="O1271" t="s">
        <v>39</v>
      </c>
      <c r="P1271" s="21">
        <v>680.71</v>
      </c>
      <c r="Q1271" t="s">
        <v>30</v>
      </c>
      <c r="R1271" t="s">
        <v>31</v>
      </c>
      <c r="S1271">
        <v>5</v>
      </c>
      <c r="T1271">
        <v>5</v>
      </c>
      <c r="U1271" t="s">
        <v>32</v>
      </c>
      <c r="V1271" t="s">
        <v>42</v>
      </c>
    </row>
    <row r="1272" spans="1:23" x14ac:dyDescent="0.25">
      <c r="A1272" t="s">
        <v>1881</v>
      </c>
      <c r="B1272" s="1">
        <v>45834</v>
      </c>
      <c r="C1272" t="s">
        <v>1037</v>
      </c>
      <c r="D1272" t="s">
        <v>124</v>
      </c>
      <c r="E1272" t="s">
        <v>46</v>
      </c>
      <c r="F1272" t="s">
        <v>27</v>
      </c>
      <c r="G1272" t="s">
        <v>76</v>
      </c>
      <c r="H1272">
        <v>2</v>
      </c>
      <c r="I1272" s="21">
        <v>24089</v>
      </c>
      <c r="J1272">
        <v>20</v>
      </c>
      <c r="K1272" s="21">
        <v>9635.6</v>
      </c>
      <c r="L1272" s="21">
        <v>38542.400000000001</v>
      </c>
      <c r="M1272" s="21">
        <v>26757.22</v>
      </c>
      <c r="N1272" s="21">
        <v>11785.18</v>
      </c>
      <c r="O1272" t="s">
        <v>29</v>
      </c>
      <c r="P1272" s="21">
        <v>939.9</v>
      </c>
      <c r="Q1272" t="s">
        <v>40</v>
      </c>
      <c r="R1272" t="s">
        <v>31</v>
      </c>
      <c r="S1272">
        <v>5</v>
      </c>
      <c r="T1272">
        <v>7</v>
      </c>
      <c r="U1272" t="s">
        <v>56</v>
      </c>
      <c r="V1272" t="s">
        <v>33</v>
      </c>
      <c r="W1272">
        <v>4</v>
      </c>
    </row>
    <row r="1273" spans="1:23" x14ac:dyDescent="0.25">
      <c r="A1273" t="s">
        <v>1882</v>
      </c>
      <c r="B1273" s="1">
        <v>45958</v>
      </c>
      <c r="C1273" t="s">
        <v>779</v>
      </c>
      <c r="D1273" t="s">
        <v>63</v>
      </c>
      <c r="E1273" t="s">
        <v>46</v>
      </c>
      <c r="F1273" t="s">
        <v>86</v>
      </c>
      <c r="G1273" t="s">
        <v>180</v>
      </c>
      <c r="H1273">
        <v>2</v>
      </c>
      <c r="I1273" s="21">
        <v>37028</v>
      </c>
      <c r="J1273">
        <v>0</v>
      </c>
      <c r="K1273" s="21">
        <v>0</v>
      </c>
      <c r="L1273" s="21">
        <v>74056</v>
      </c>
      <c r="M1273" s="21">
        <v>44731.57</v>
      </c>
      <c r="N1273" s="21">
        <v>29324.43</v>
      </c>
      <c r="O1273" t="s">
        <v>49</v>
      </c>
      <c r="P1273" s="21">
        <v>168.64</v>
      </c>
      <c r="Q1273" t="s">
        <v>83</v>
      </c>
      <c r="R1273" t="s">
        <v>41</v>
      </c>
      <c r="S1273">
        <v>2</v>
      </c>
      <c r="T1273">
        <v>3</v>
      </c>
      <c r="U1273" t="s">
        <v>56</v>
      </c>
      <c r="V1273" t="s">
        <v>33</v>
      </c>
      <c r="W1273">
        <v>3</v>
      </c>
    </row>
    <row r="1274" spans="1:23" x14ac:dyDescent="0.25">
      <c r="A1274" t="s">
        <v>1883</v>
      </c>
      <c r="B1274" s="1">
        <v>45811</v>
      </c>
      <c r="C1274" t="s">
        <v>492</v>
      </c>
      <c r="D1274" t="s">
        <v>71</v>
      </c>
      <c r="E1274" t="s">
        <v>46</v>
      </c>
      <c r="F1274" t="s">
        <v>37</v>
      </c>
      <c r="G1274" t="s">
        <v>38</v>
      </c>
      <c r="H1274">
        <v>2</v>
      </c>
      <c r="I1274" s="21">
        <v>15022</v>
      </c>
      <c r="J1274">
        <v>0</v>
      </c>
      <c r="K1274" s="21">
        <v>0</v>
      </c>
      <c r="L1274" s="21">
        <v>30044</v>
      </c>
      <c r="M1274" s="21">
        <v>24466.12</v>
      </c>
      <c r="N1274" s="21">
        <v>5577.88</v>
      </c>
      <c r="O1274" t="s">
        <v>60</v>
      </c>
      <c r="P1274" s="21">
        <v>1614.81</v>
      </c>
      <c r="Q1274" t="s">
        <v>40</v>
      </c>
      <c r="R1274" t="s">
        <v>31</v>
      </c>
      <c r="S1274">
        <v>5</v>
      </c>
      <c r="T1274">
        <v>4</v>
      </c>
      <c r="U1274" t="s">
        <v>32</v>
      </c>
      <c r="V1274" t="s">
        <v>50</v>
      </c>
      <c r="W1274">
        <v>5</v>
      </c>
    </row>
    <row r="1275" spans="1:23" x14ac:dyDescent="0.25">
      <c r="A1275" t="s">
        <v>1884</v>
      </c>
      <c r="B1275" s="1">
        <v>45985</v>
      </c>
      <c r="C1275" t="s">
        <v>144</v>
      </c>
      <c r="D1275" t="s">
        <v>79</v>
      </c>
      <c r="E1275" t="s">
        <v>26</v>
      </c>
      <c r="F1275" t="s">
        <v>86</v>
      </c>
      <c r="G1275" t="s">
        <v>87</v>
      </c>
      <c r="H1275">
        <v>3</v>
      </c>
      <c r="I1275" s="21">
        <v>55620</v>
      </c>
      <c r="J1275">
        <v>10</v>
      </c>
      <c r="K1275" s="21">
        <v>16686</v>
      </c>
      <c r="L1275" s="21">
        <v>150174</v>
      </c>
      <c r="M1275" s="21">
        <v>104374.05</v>
      </c>
      <c r="N1275" s="21">
        <v>45799.95</v>
      </c>
      <c r="O1275" t="s">
        <v>91</v>
      </c>
      <c r="P1275" s="21">
        <v>308.20999999999998</v>
      </c>
      <c r="Q1275" t="s">
        <v>68</v>
      </c>
      <c r="R1275" t="s">
        <v>41</v>
      </c>
      <c r="S1275">
        <v>2</v>
      </c>
      <c r="T1275">
        <v>4</v>
      </c>
      <c r="U1275" t="s">
        <v>32</v>
      </c>
      <c r="V1275" t="s">
        <v>42</v>
      </c>
    </row>
    <row r="1276" spans="1:23" x14ac:dyDescent="0.25">
      <c r="A1276" t="s">
        <v>1885</v>
      </c>
      <c r="B1276" s="1">
        <v>45875</v>
      </c>
      <c r="C1276" t="s">
        <v>228</v>
      </c>
      <c r="D1276" t="s">
        <v>79</v>
      </c>
      <c r="E1276" t="s">
        <v>26</v>
      </c>
      <c r="F1276" t="s">
        <v>27</v>
      </c>
      <c r="G1276" t="s">
        <v>76</v>
      </c>
      <c r="H1276">
        <v>1</v>
      </c>
      <c r="I1276" s="21">
        <v>8308</v>
      </c>
      <c r="J1276">
        <v>10</v>
      </c>
      <c r="K1276" s="21">
        <v>830.8</v>
      </c>
      <c r="L1276" s="21">
        <v>7477.2</v>
      </c>
      <c r="M1276" s="21">
        <v>4568.5</v>
      </c>
      <c r="N1276" s="21">
        <v>2908.7</v>
      </c>
      <c r="O1276" t="s">
        <v>55</v>
      </c>
      <c r="P1276" s="21">
        <v>1298.04</v>
      </c>
      <c r="Q1276" t="s">
        <v>73</v>
      </c>
      <c r="R1276" t="s">
        <v>31</v>
      </c>
      <c r="S1276">
        <v>5</v>
      </c>
      <c r="T1276">
        <v>7</v>
      </c>
      <c r="U1276" t="s">
        <v>56</v>
      </c>
      <c r="V1276" t="s">
        <v>33</v>
      </c>
      <c r="W1276">
        <v>4</v>
      </c>
    </row>
    <row r="1277" spans="1:23" x14ac:dyDescent="0.25">
      <c r="A1277" t="s">
        <v>1886</v>
      </c>
      <c r="B1277" s="1">
        <v>46011</v>
      </c>
      <c r="C1277" t="s">
        <v>1186</v>
      </c>
      <c r="D1277" t="s">
        <v>67</v>
      </c>
      <c r="E1277" t="s">
        <v>26</v>
      </c>
      <c r="F1277" t="s">
        <v>86</v>
      </c>
      <c r="G1277" t="s">
        <v>94</v>
      </c>
      <c r="H1277">
        <v>2</v>
      </c>
      <c r="I1277" s="21">
        <v>24033</v>
      </c>
      <c r="J1277">
        <v>0</v>
      </c>
      <c r="K1277" s="21">
        <v>0</v>
      </c>
      <c r="L1277" s="21">
        <v>48066</v>
      </c>
      <c r="M1277" s="21">
        <v>32195.77</v>
      </c>
      <c r="N1277" s="21">
        <v>15870.23</v>
      </c>
      <c r="O1277" t="s">
        <v>49</v>
      </c>
      <c r="P1277" s="21">
        <v>385.65</v>
      </c>
      <c r="Q1277" t="s">
        <v>40</v>
      </c>
      <c r="R1277" t="s">
        <v>41</v>
      </c>
      <c r="S1277">
        <v>2</v>
      </c>
      <c r="T1277">
        <v>2</v>
      </c>
      <c r="U1277" t="s">
        <v>32</v>
      </c>
      <c r="V1277" t="s">
        <v>33</v>
      </c>
      <c r="W1277">
        <v>4</v>
      </c>
    </row>
    <row r="1278" spans="1:23" x14ac:dyDescent="0.25">
      <c r="A1278" t="s">
        <v>1887</v>
      </c>
      <c r="B1278" s="1">
        <v>45786</v>
      </c>
      <c r="C1278" t="s">
        <v>191</v>
      </c>
      <c r="D1278" t="s">
        <v>45</v>
      </c>
      <c r="E1278" t="s">
        <v>46</v>
      </c>
      <c r="F1278" t="s">
        <v>37</v>
      </c>
      <c r="G1278" t="s">
        <v>313</v>
      </c>
      <c r="H1278">
        <v>2</v>
      </c>
      <c r="I1278" s="21">
        <v>30702</v>
      </c>
      <c r="J1278">
        <v>0</v>
      </c>
      <c r="K1278" s="21">
        <v>0</v>
      </c>
      <c r="L1278" s="21">
        <v>61404</v>
      </c>
      <c r="M1278" s="21">
        <v>37887.08</v>
      </c>
      <c r="N1278" s="21">
        <v>23516.92</v>
      </c>
      <c r="O1278" t="s">
        <v>39</v>
      </c>
      <c r="P1278" s="21">
        <v>733.81</v>
      </c>
      <c r="Q1278" t="s">
        <v>83</v>
      </c>
      <c r="R1278" t="s">
        <v>41</v>
      </c>
      <c r="S1278">
        <v>2</v>
      </c>
      <c r="T1278">
        <v>0</v>
      </c>
      <c r="U1278" t="s">
        <v>32</v>
      </c>
      <c r="V1278" t="s">
        <v>50</v>
      </c>
      <c r="W1278">
        <v>3</v>
      </c>
    </row>
    <row r="1279" spans="1:23" x14ac:dyDescent="0.25">
      <c r="A1279" t="s">
        <v>1888</v>
      </c>
      <c r="B1279" s="1">
        <v>45891</v>
      </c>
      <c r="C1279" t="s">
        <v>1217</v>
      </c>
      <c r="D1279" t="s">
        <v>97</v>
      </c>
      <c r="E1279" t="s">
        <v>46</v>
      </c>
      <c r="F1279" t="s">
        <v>47</v>
      </c>
      <c r="G1279" t="s">
        <v>105</v>
      </c>
      <c r="H1279">
        <v>1</v>
      </c>
      <c r="I1279" s="21">
        <v>43406</v>
      </c>
      <c r="J1279">
        <v>15</v>
      </c>
      <c r="K1279" s="21">
        <v>6510.9</v>
      </c>
      <c r="L1279" s="21">
        <v>36895.1</v>
      </c>
      <c r="M1279" s="21">
        <v>25441.86</v>
      </c>
      <c r="N1279" s="21">
        <v>11453.24</v>
      </c>
      <c r="O1279" t="s">
        <v>39</v>
      </c>
      <c r="P1279" s="21">
        <v>319.22000000000003</v>
      </c>
      <c r="Q1279" t="s">
        <v>68</v>
      </c>
      <c r="R1279" t="s">
        <v>41</v>
      </c>
      <c r="S1279">
        <v>2</v>
      </c>
      <c r="T1279">
        <v>2</v>
      </c>
      <c r="U1279" t="s">
        <v>32</v>
      </c>
      <c r="V1279" t="s">
        <v>33</v>
      </c>
      <c r="W1279">
        <v>5</v>
      </c>
    </row>
    <row r="1280" spans="1:23" x14ac:dyDescent="0.25">
      <c r="A1280" t="s">
        <v>1889</v>
      </c>
      <c r="B1280" s="1">
        <v>45812</v>
      </c>
      <c r="C1280" t="s">
        <v>1601</v>
      </c>
      <c r="D1280" t="s">
        <v>124</v>
      </c>
      <c r="E1280" t="s">
        <v>36</v>
      </c>
      <c r="F1280" t="s">
        <v>53</v>
      </c>
      <c r="G1280" t="s">
        <v>54</v>
      </c>
      <c r="H1280">
        <v>1</v>
      </c>
      <c r="I1280" s="21">
        <v>25943</v>
      </c>
      <c r="J1280">
        <v>15</v>
      </c>
      <c r="K1280" s="21">
        <v>3891.45</v>
      </c>
      <c r="L1280" s="21">
        <v>22051.55</v>
      </c>
      <c r="M1280" s="21">
        <v>13711.99</v>
      </c>
      <c r="N1280" s="21">
        <v>8339.56</v>
      </c>
      <c r="O1280" t="s">
        <v>60</v>
      </c>
      <c r="P1280" s="21">
        <v>2177.04</v>
      </c>
      <c r="Q1280" t="s">
        <v>40</v>
      </c>
      <c r="R1280" t="s">
        <v>31</v>
      </c>
      <c r="S1280">
        <v>5</v>
      </c>
      <c r="T1280">
        <v>5</v>
      </c>
      <c r="U1280" t="s">
        <v>32</v>
      </c>
      <c r="V1280" t="s">
        <v>33</v>
      </c>
      <c r="W1280">
        <v>1</v>
      </c>
    </row>
    <row r="1281" spans="1:23" x14ac:dyDescent="0.25">
      <c r="A1281" t="s">
        <v>1890</v>
      </c>
      <c r="B1281" s="1">
        <v>45759</v>
      </c>
      <c r="C1281" t="s">
        <v>1891</v>
      </c>
      <c r="D1281" t="s">
        <v>154</v>
      </c>
      <c r="E1281" t="s">
        <v>36</v>
      </c>
      <c r="F1281" t="s">
        <v>53</v>
      </c>
      <c r="G1281" t="s">
        <v>82</v>
      </c>
      <c r="H1281">
        <v>1</v>
      </c>
      <c r="I1281" s="21">
        <v>12776</v>
      </c>
      <c r="J1281">
        <v>10</v>
      </c>
      <c r="K1281" s="21">
        <v>1277.5999999999999</v>
      </c>
      <c r="L1281" s="21">
        <v>11498.4</v>
      </c>
      <c r="M1281" s="21">
        <v>7376.46</v>
      </c>
      <c r="N1281" s="21">
        <v>4121.9399999999996</v>
      </c>
      <c r="O1281" t="s">
        <v>55</v>
      </c>
      <c r="P1281" s="21">
        <v>1941.05</v>
      </c>
      <c r="Q1281" t="s">
        <v>40</v>
      </c>
      <c r="R1281" t="s">
        <v>31</v>
      </c>
      <c r="S1281">
        <v>5</v>
      </c>
      <c r="T1281">
        <v>6</v>
      </c>
      <c r="U1281" t="s">
        <v>32</v>
      </c>
      <c r="V1281" t="s">
        <v>50</v>
      </c>
      <c r="W1281">
        <v>4</v>
      </c>
    </row>
    <row r="1282" spans="1:23" x14ac:dyDescent="0.25">
      <c r="A1282" t="s">
        <v>1892</v>
      </c>
      <c r="B1282" s="1">
        <v>45854</v>
      </c>
      <c r="C1282" t="s">
        <v>1078</v>
      </c>
      <c r="D1282" t="s">
        <v>124</v>
      </c>
      <c r="E1282" t="s">
        <v>26</v>
      </c>
      <c r="F1282" t="s">
        <v>27</v>
      </c>
      <c r="G1282" t="s">
        <v>28</v>
      </c>
      <c r="H1282">
        <v>2</v>
      </c>
      <c r="I1282" s="21">
        <v>23923</v>
      </c>
      <c r="J1282">
        <v>15</v>
      </c>
      <c r="K1282" s="21">
        <v>7176.9</v>
      </c>
      <c r="L1282" s="21">
        <v>40669.1</v>
      </c>
      <c r="M1282" s="21">
        <v>22840.15</v>
      </c>
      <c r="N1282" s="21">
        <v>17828.95</v>
      </c>
      <c r="O1282" t="s">
        <v>55</v>
      </c>
      <c r="P1282" s="21">
        <v>2379.3000000000002</v>
      </c>
      <c r="Q1282" t="s">
        <v>73</v>
      </c>
      <c r="R1282" t="s">
        <v>41</v>
      </c>
      <c r="S1282">
        <v>2</v>
      </c>
      <c r="T1282">
        <v>2</v>
      </c>
      <c r="U1282" t="s">
        <v>32</v>
      </c>
      <c r="V1282" t="s">
        <v>33</v>
      </c>
      <c r="W1282">
        <v>5</v>
      </c>
    </row>
    <row r="1283" spans="1:23" x14ac:dyDescent="0.25">
      <c r="A1283" t="s">
        <v>1893</v>
      </c>
      <c r="B1283" s="1">
        <v>45905</v>
      </c>
      <c r="C1283" t="s">
        <v>1894</v>
      </c>
      <c r="D1283" t="s">
        <v>45</v>
      </c>
      <c r="E1283" t="s">
        <v>46</v>
      </c>
      <c r="F1283" t="s">
        <v>86</v>
      </c>
      <c r="G1283" t="s">
        <v>94</v>
      </c>
      <c r="H1283">
        <v>1</v>
      </c>
      <c r="I1283" s="21">
        <v>42898</v>
      </c>
      <c r="J1283">
        <v>10</v>
      </c>
      <c r="K1283" s="21">
        <v>4289.8</v>
      </c>
      <c r="L1283" s="21">
        <v>38608.199999999997</v>
      </c>
      <c r="M1283" s="21">
        <v>23581.3</v>
      </c>
      <c r="N1283" s="21">
        <v>15026.9</v>
      </c>
      <c r="O1283" t="s">
        <v>91</v>
      </c>
      <c r="P1283" s="21">
        <v>237.47</v>
      </c>
      <c r="Q1283" t="s">
        <v>40</v>
      </c>
      <c r="R1283" t="s">
        <v>31</v>
      </c>
      <c r="S1283">
        <v>5</v>
      </c>
      <c r="T1283">
        <v>4</v>
      </c>
      <c r="U1283" t="s">
        <v>32</v>
      </c>
      <c r="V1283" t="s">
        <v>33</v>
      </c>
      <c r="W1283">
        <v>5</v>
      </c>
    </row>
    <row r="1284" spans="1:23" x14ac:dyDescent="0.25">
      <c r="A1284" t="s">
        <v>1895</v>
      </c>
      <c r="B1284" s="1">
        <v>45712</v>
      </c>
      <c r="C1284" t="s">
        <v>1896</v>
      </c>
      <c r="D1284" t="s">
        <v>25</v>
      </c>
      <c r="E1284" t="s">
        <v>46</v>
      </c>
      <c r="F1284" t="s">
        <v>53</v>
      </c>
      <c r="G1284" t="s">
        <v>82</v>
      </c>
      <c r="H1284">
        <v>1</v>
      </c>
      <c r="I1284" s="21">
        <v>118965</v>
      </c>
      <c r="J1284">
        <v>0</v>
      </c>
      <c r="K1284" s="21">
        <v>0</v>
      </c>
      <c r="L1284" s="21">
        <v>118965</v>
      </c>
      <c r="M1284" s="21">
        <v>93277.85</v>
      </c>
      <c r="N1284" s="21">
        <v>25687.15</v>
      </c>
      <c r="O1284" t="s">
        <v>49</v>
      </c>
      <c r="P1284" s="21">
        <v>105.51</v>
      </c>
      <c r="Q1284" t="s">
        <v>40</v>
      </c>
      <c r="R1284" t="s">
        <v>41</v>
      </c>
      <c r="S1284">
        <v>2</v>
      </c>
      <c r="T1284">
        <v>1</v>
      </c>
      <c r="U1284" t="s">
        <v>32</v>
      </c>
      <c r="V1284" t="s">
        <v>42</v>
      </c>
    </row>
    <row r="1285" spans="1:23" x14ac:dyDescent="0.25">
      <c r="A1285" t="s">
        <v>1897</v>
      </c>
      <c r="B1285" s="1">
        <v>45779</v>
      </c>
      <c r="C1285" t="s">
        <v>1041</v>
      </c>
      <c r="D1285" t="s">
        <v>71</v>
      </c>
      <c r="E1285" t="s">
        <v>46</v>
      </c>
      <c r="F1285" t="s">
        <v>27</v>
      </c>
      <c r="G1285" t="s">
        <v>164</v>
      </c>
      <c r="H1285">
        <v>3</v>
      </c>
      <c r="I1285" s="21">
        <v>8072</v>
      </c>
      <c r="J1285">
        <v>25</v>
      </c>
      <c r="K1285" s="21">
        <v>6054</v>
      </c>
      <c r="L1285" s="21">
        <v>18162</v>
      </c>
      <c r="M1285" s="21">
        <v>12063.66</v>
      </c>
      <c r="N1285" s="21">
        <v>6098.34</v>
      </c>
      <c r="O1285" t="s">
        <v>60</v>
      </c>
      <c r="P1285" s="21">
        <v>1232.49</v>
      </c>
      <c r="Q1285" t="s">
        <v>68</v>
      </c>
      <c r="R1285" t="s">
        <v>31</v>
      </c>
      <c r="S1285">
        <v>5</v>
      </c>
      <c r="T1285">
        <v>6</v>
      </c>
      <c r="U1285" t="s">
        <v>56</v>
      </c>
      <c r="V1285" t="s">
        <v>33</v>
      </c>
      <c r="W1285">
        <v>3</v>
      </c>
    </row>
    <row r="1286" spans="1:23" x14ac:dyDescent="0.25">
      <c r="A1286" t="s">
        <v>1898</v>
      </c>
      <c r="B1286" s="1">
        <v>45853</v>
      </c>
      <c r="C1286" t="s">
        <v>195</v>
      </c>
      <c r="D1286" t="s">
        <v>154</v>
      </c>
      <c r="E1286" t="s">
        <v>46</v>
      </c>
      <c r="F1286" t="s">
        <v>27</v>
      </c>
      <c r="G1286" t="s">
        <v>113</v>
      </c>
      <c r="H1286">
        <v>4</v>
      </c>
      <c r="I1286" s="21">
        <v>4390</v>
      </c>
      <c r="J1286">
        <v>10</v>
      </c>
      <c r="K1286" s="21">
        <v>1756</v>
      </c>
      <c r="L1286" s="21">
        <v>15804</v>
      </c>
      <c r="M1286" s="21">
        <v>12766.8</v>
      </c>
      <c r="N1286" s="21">
        <v>3037.2</v>
      </c>
      <c r="O1286" t="s">
        <v>91</v>
      </c>
      <c r="P1286" s="21">
        <v>729.92</v>
      </c>
      <c r="Q1286" t="s">
        <v>83</v>
      </c>
      <c r="R1286" t="s">
        <v>31</v>
      </c>
      <c r="S1286">
        <v>5</v>
      </c>
      <c r="T1286">
        <v>0</v>
      </c>
      <c r="U1286" t="s">
        <v>32</v>
      </c>
      <c r="V1286" t="s">
        <v>50</v>
      </c>
      <c r="W1286">
        <v>4</v>
      </c>
    </row>
    <row r="1287" spans="1:23" x14ac:dyDescent="0.25">
      <c r="A1287" t="s">
        <v>1899</v>
      </c>
      <c r="B1287" s="1">
        <v>45950</v>
      </c>
      <c r="C1287" t="s">
        <v>278</v>
      </c>
      <c r="D1287" t="s">
        <v>25</v>
      </c>
      <c r="E1287" t="s">
        <v>46</v>
      </c>
      <c r="F1287" t="s">
        <v>27</v>
      </c>
      <c r="G1287" t="s">
        <v>113</v>
      </c>
      <c r="H1287">
        <v>1</v>
      </c>
      <c r="I1287" s="21">
        <v>7725</v>
      </c>
      <c r="J1287">
        <v>10</v>
      </c>
      <c r="K1287" s="21">
        <v>772.5</v>
      </c>
      <c r="L1287" s="21">
        <v>6952.5</v>
      </c>
      <c r="M1287" s="21">
        <v>4391.2</v>
      </c>
      <c r="N1287" s="21">
        <v>2561.3000000000002</v>
      </c>
      <c r="O1287" t="s">
        <v>60</v>
      </c>
      <c r="P1287" s="21">
        <v>950.71</v>
      </c>
      <c r="Q1287" t="s">
        <v>30</v>
      </c>
      <c r="R1287" t="s">
        <v>31</v>
      </c>
      <c r="S1287">
        <v>5</v>
      </c>
      <c r="T1287">
        <v>2</v>
      </c>
      <c r="U1287" t="s">
        <v>32</v>
      </c>
      <c r="V1287" t="s">
        <v>33</v>
      </c>
      <c r="W1287">
        <v>5</v>
      </c>
    </row>
    <row r="1288" spans="1:23" x14ac:dyDescent="0.25">
      <c r="A1288" t="s">
        <v>1900</v>
      </c>
      <c r="B1288" s="1">
        <v>45841</v>
      </c>
      <c r="C1288" t="s">
        <v>288</v>
      </c>
      <c r="D1288" t="s">
        <v>71</v>
      </c>
      <c r="E1288" t="s">
        <v>26</v>
      </c>
      <c r="F1288" t="s">
        <v>37</v>
      </c>
      <c r="G1288" t="s">
        <v>313</v>
      </c>
      <c r="H1288">
        <v>1</v>
      </c>
      <c r="I1288" s="21">
        <v>34640</v>
      </c>
      <c r="J1288">
        <v>0</v>
      </c>
      <c r="K1288" s="21">
        <v>0</v>
      </c>
      <c r="L1288" s="21">
        <v>34640</v>
      </c>
      <c r="M1288" s="21">
        <v>22038.52</v>
      </c>
      <c r="N1288" s="21">
        <v>12601.48</v>
      </c>
      <c r="O1288" t="s">
        <v>39</v>
      </c>
      <c r="P1288" s="21">
        <v>2347.2199999999998</v>
      </c>
      <c r="Q1288" t="s">
        <v>83</v>
      </c>
      <c r="R1288" t="s">
        <v>31</v>
      </c>
      <c r="S1288">
        <v>5</v>
      </c>
      <c r="T1288">
        <v>1</v>
      </c>
      <c r="U1288" t="s">
        <v>32</v>
      </c>
      <c r="V1288" t="s">
        <v>33</v>
      </c>
      <c r="W1288">
        <v>5</v>
      </c>
    </row>
    <row r="1289" spans="1:23" x14ac:dyDescent="0.25">
      <c r="A1289" t="s">
        <v>1901</v>
      </c>
      <c r="B1289" s="1">
        <v>45952</v>
      </c>
      <c r="C1289" t="s">
        <v>494</v>
      </c>
      <c r="D1289" t="s">
        <v>71</v>
      </c>
      <c r="E1289" t="s">
        <v>36</v>
      </c>
      <c r="F1289" t="s">
        <v>37</v>
      </c>
      <c r="G1289" t="s">
        <v>38</v>
      </c>
      <c r="H1289">
        <v>3</v>
      </c>
      <c r="I1289" s="21">
        <v>32159</v>
      </c>
      <c r="J1289">
        <v>10</v>
      </c>
      <c r="K1289" s="21">
        <v>9647.7000000000007</v>
      </c>
      <c r="L1289" s="21">
        <v>86829.3</v>
      </c>
      <c r="M1289" s="21">
        <v>56860.4</v>
      </c>
      <c r="N1289" s="21">
        <v>29968.9</v>
      </c>
      <c r="O1289" t="s">
        <v>60</v>
      </c>
      <c r="P1289" s="21">
        <v>2226.5500000000002</v>
      </c>
      <c r="Q1289" t="s">
        <v>40</v>
      </c>
      <c r="R1289" t="s">
        <v>31</v>
      </c>
      <c r="S1289">
        <v>5</v>
      </c>
      <c r="T1289">
        <v>6</v>
      </c>
      <c r="U1289" t="s">
        <v>56</v>
      </c>
      <c r="V1289" t="s">
        <v>33</v>
      </c>
      <c r="W1289">
        <v>2</v>
      </c>
    </row>
    <row r="1290" spans="1:23" x14ac:dyDescent="0.25">
      <c r="A1290" t="s">
        <v>1902</v>
      </c>
      <c r="B1290" s="1">
        <v>45809</v>
      </c>
      <c r="C1290" t="s">
        <v>1903</v>
      </c>
      <c r="D1290" t="s">
        <v>67</v>
      </c>
      <c r="E1290" t="s">
        <v>26</v>
      </c>
      <c r="F1290" t="s">
        <v>27</v>
      </c>
      <c r="G1290" t="s">
        <v>72</v>
      </c>
      <c r="H1290">
        <v>1</v>
      </c>
      <c r="I1290" s="21">
        <v>28796</v>
      </c>
      <c r="J1290">
        <v>5</v>
      </c>
      <c r="K1290" s="21">
        <v>1439.8</v>
      </c>
      <c r="L1290" s="21">
        <v>27356.2</v>
      </c>
      <c r="M1290" s="21">
        <v>22386.44</v>
      </c>
      <c r="N1290" s="21">
        <v>4969.76</v>
      </c>
      <c r="O1290" t="s">
        <v>60</v>
      </c>
      <c r="P1290" s="21">
        <v>2042.96</v>
      </c>
      <c r="Q1290" t="s">
        <v>83</v>
      </c>
      <c r="R1290" t="s">
        <v>41</v>
      </c>
      <c r="S1290">
        <v>2</v>
      </c>
      <c r="T1290">
        <v>6</v>
      </c>
      <c r="U1290" t="s">
        <v>32</v>
      </c>
      <c r="V1290" t="s">
        <v>50</v>
      </c>
      <c r="W1290">
        <v>4</v>
      </c>
    </row>
    <row r="1291" spans="1:23" x14ac:dyDescent="0.25">
      <c r="A1291" t="s">
        <v>1904</v>
      </c>
      <c r="B1291" s="1">
        <v>46016</v>
      </c>
      <c r="C1291" t="s">
        <v>1094</v>
      </c>
      <c r="D1291" t="s">
        <v>90</v>
      </c>
      <c r="E1291" t="s">
        <v>46</v>
      </c>
      <c r="F1291" t="s">
        <v>37</v>
      </c>
      <c r="G1291" t="s">
        <v>313</v>
      </c>
      <c r="H1291">
        <v>1</v>
      </c>
      <c r="I1291" s="21">
        <v>36038</v>
      </c>
      <c r="J1291">
        <v>5</v>
      </c>
      <c r="K1291" s="21">
        <v>1801.9</v>
      </c>
      <c r="L1291" s="21">
        <v>34236.1</v>
      </c>
      <c r="M1291" s="21">
        <v>20835.88</v>
      </c>
      <c r="N1291" s="21">
        <v>13400.22</v>
      </c>
      <c r="O1291" t="s">
        <v>49</v>
      </c>
      <c r="P1291" s="21">
        <v>403.76</v>
      </c>
      <c r="Q1291" t="s">
        <v>68</v>
      </c>
      <c r="R1291" t="s">
        <v>41</v>
      </c>
      <c r="S1291">
        <v>2</v>
      </c>
      <c r="T1291">
        <v>1</v>
      </c>
      <c r="U1291" t="s">
        <v>32</v>
      </c>
      <c r="V1291" t="s">
        <v>33</v>
      </c>
      <c r="W1291">
        <v>2</v>
      </c>
    </row>
    <row r="1292" spans="1:23" x14ac:dyDescent="0.25">
      <c r="A1292" t="s">
        <v>1905</v>
      </c>
      <c r="B1292" s="1">
        <v>45809</v>
      </c>
      <c r="C1292" t="s">
        <v>648</v>
      </c>
      <c r="D1292" t="s">
        <v>63</v>
      </c>
      <c r="E1292" t="s">
        <v>46</v>
      </c>
      <c r="F1292" t="s">
        <v>47</v>
      </c>
      <c r="G1292" t="s">
        <v>64</v>
      </c>
      <c r="H1292">
        <v>3</v>
      </c>
      <c r="I1292" s="21">
        <v>28113</v>
      </c>
      <c r="J1292">
        <v>15</v>
      </c>
      <c r="K1292" s="21">
        <v>12650.85</v>
      </c>
      <c r="L1292" s="21">
        <v>71688.149999999994</v>
      </c>
      <c r="M1292" s="21">
        <v>57521.73</v>
      </c>
      <c r="N1292" s="21">
        <v>14166.42</v>
      </c>
      <c r="O1292" t="s">
        <v>39</v>
      </c>
      <c r="P1292" s="21">
        <v>2176.77</v>
      </c>
      <c r="Q1292" t="s">
        <v>68</v>
      </c>
      <c r="R1292" t="s">
        <v>41</v>
      </c>
      <c r="S1292">
        <v>2</v>
      </c>
      <c r="T1292">
        <v>2</v>
      </c>
      <c r="U1292" t="s">
        <v>32</v>
      </c>
      <c r="V1292" t="s">
        <v>33</v>
      </c>
      <c r="W1292">
        <v>5</v>
      </c>
    </row>
    <row r="1293" spans="1:23" x14ac:dyDescent="0.25">
      <c r="A1293" t="s">
        <v>1906</v>
      </c>
      <c r="B1293" s="1">
        <v>45669</v>
      </c>
      <c r="C1293" t="s">
        <v>421</v>
      </c>
      <c r="D1293" t="s">
        <v>67</v>
      </c>
      <c r="E1293" t="s">
        <v>26</v>
      </c>
      <c r="F1293" t="s">
        <v>86</v>
      </c>
      <c r="G1293" t="s">
        <v>87</v>
      </c>
      <c r="H1293">
        <v>2</v>
      </c>
      <c r="I1293" s="21">
        <v>76112</v>
      </c>
      <c r="J1293">
        <v>0</v>
      </c>
      <c r="K1293" s="21">
        <v>0</v>
      </c>
      <c r="L1293" s="21">
        <v>152224</v>
      </c>
      <c r="M1293" s="21">
        <v>89340.02</v>
      </c>
      <c r="N1293" s="21">
        <v>62883.98</v>
      </c>
      <c r="O1293" t="s">
        <v>91</v>
      </c>
      <c r="P1293" s="21">
        <v>416.02</v>
      </c>
      <c r="Q1293" t="s">
        <v>83</v>
      </c>
      <c r="R1293" t="s">
        <v>31</v>
      </c>
      <c r="S1293">
        <v>5</v>
      </c>
      <c r="T1293">
        <v>0</v>
      </c>
      <c r="U1293" t="s">
        <v>32</v>
      </c>
      <c r="V1293" t="s">
        <v>50</v>
      </c>
      <c r="W1293">
        <v>5</v>
      </c>
    </row>
    <row r="1294" spans="1:23" x14ac:dyDescent="0.25">
      <c r="A1294" t="s">
        <v>1907</v>
      </c>
      <c r="B1294" s="1">
        <v>45995</v>
      </c>
      <c r="C1294" t="s">
        <v>1303</v>
      </c>
      <c r="D1294" t="s">
        <v>124</v>
      </c>
      <c r="E1294" t="s">
        <v>26</v>
      </c>
      <c r="F1294" t="s">
        <v>53</v>
      </c>
      <c r="G1294" t="s">
        <v>54</v>
      </c>
      <c r="H1294">
        <v>1</v>
      </c>
      <c r="I1294" s="21">
        <v>36842</v>
      </c>
      <c r="J1294">
        <v>25</v>
      </c>
      <c r="K1294" s="21">
        <v>9210.5</v>
      </c>
      <c r="L1294" s="21">
        <v>27631.5</v>
      </c>
      <c r="M1294" s="21">
        <v>16311.56</v>
      </c>
      <c r="N1294" s="21">
        <v>11319.94</v>
      </c>
      <c r="O1294" t="s">
        <v>91</v>
      </c>
      <c r="P1294" s="21">
        <v>1747.14</v>
      </c>
      <c r="Q1294" t="s">
        <v>73</v>
      </c>
      <c r="R1294" t="s">
        <v>31</v>
      </c>
      <c r="S1294">
        <v>5</v>
      </c>
      <c r="T1294">
        <v>6</v>
      </c>
      <c r="U1294" t="s">
        <v>32</v>
      </c>
      <c r="V1294" t="s">
        <v>42</v>
      </c>
    </row>
    <row r="1295" spans="1:23" x14ac:dyDescent="0.25">
      <c r="A1295" t="s">
        <v>1908</v>
      </c>
      <c r="B1295" s="1">
        <v>45860</v>
      </c>
      <c r="C1295" t="s">
        <v>762</v>
      </c>
      <c r="D1295" t="s">
        <v>63</v>
      </c>
      <c r="E1295" t="s">
        <v>46</v>
      </c>
      <c r="F1295" t="s">
        <v>86</v>
      </c>
      <c r="G1295" t="s">
        <v>180</v>
      </c>
      <c r="H1295">
        <v>3</v>
      </c>
      <c r="I1295" s="21">
        <v>48415</v>
      </c>
      <c r="J1295">
        <v>5</v>
      </c>
      <c r="K1295" s="21">
        <v>7262.25</v>
      </c>
      <c r="L1295" s="21">
        <v>137982.75</v>
      </c>
      <c r="M1295" s="21">
        <v>96422.46</v>
      </c>
      <c r="N1295" s="21">
        <v>41560.29</v>
      </c>
      <c r="O1295" t="s">
        <v>49</v>
      </c>
      <c r="P1295" s="21">
        <v>51.7</v>
      </c>
      <c r="Q1295" t="s">
        <v>30</v>
      </c>
      <c r="R1295" t="s">
        <v>31</v>
      </c>
      <c r="S1295">
        <v>5</v>
      </c>
      <c r="T1295">
        <v>6</v>
      </c>
      <c r="U1295" t="s">
        <v>56</v>
      </c>
      <c r="V1295" t="s">
        <v>33</v>
      </c>
      <c r="W1295">
        <v>1</v>
      </c>
    </row>
    <row r="1296" spans="1:23" x14ac:dyDescent="0.25">
      <c r="A1296" t="s">
        <v>1909</v>
      </c>
      <c r="B1296" s="1">
        <v>45798</v>
      </c>
      <c r="C1296" t="s">
        <v>921</v>
      </c>
      <c r="D1296" t="s">
        <v>154</v>
      </c>
      <c r="E1296" t="s">
        <v>26</v>
      </c>
      <c r="F1296" t="s">
        <v>86</v>
      </c>
      <c r="G1296" t="s">
        <v>87</v>
      </c>
      <c r="H1296">
        <v>1</v>
      </c>
      <c r="I1296" s="21">
        <v>25732</v>
      </c>
      <c r="J1296">
        <v>20</v>
      </c>
      <c r="K1296" s="21">
        <v>5146.3999999999996</v>
      </c>
      <c r="L1296" s="21">
        <v>20585.599999999999</v>
      </c>
      <c r="M1296" s="21">
        <v>13920.16</v>
      </c>
      <c r="N1296" s="21">
        <v>6665.44</v>
      </c>
      <c r="O1296" t="s">
        <v>91</v>
      </c>
      <c r="P1296" s="21">
        <v>1152.5899999999999</v>
      </c>
      <c r="Q1296" t="s">
        <v>40</v>
      </c>
      <c r="R1296" t="s">
        <v>31</v>
      </c>
      <c r="S1296">
        <v>5</v>
      </c>
      <c r="T1296">
        <v>5</v>
      </c>
      <c r="U1296" t="s">
        <v>32</v>
      </c>
      <c r="V1296" t="s">
        <v>33</v>
      </c>
      <c r="W1296">
        <v>1</v>
      </c>
    </row>
    <row r="1297" spans="1:23" x14ac:dyDescent="0.25">
      <c r="A1297" t="s">
        <v>1910</v>
      </c>
      <c r="B1297" s="1">
        <v>45662</v>
      </c>
      <c r="C1297" t="s">
        <v>1172</v>
      </c>
      <c r="D1297" t="s">
        <v>63</v>
      </c>
      <c r="E1297" t="s">
        <v>26</v>
      </c>
      <c r="F1297" t="s">
        <v>53</v>
      </c>
      <c r="G1297" t="s">
        <v>54</v>
      </c>
      <c r="H1297">
        <v>3</v>
      </c>
      <c r="I1297" s="21">
        <v>67058</v>
      </c>
      <c r="J1297">
        <v>0</v>
      </c>
      <c r="K1297" s="21">
        <v>0</v>
      </c>
      <c r="L1297" s="21">
        <v>201174</v>
      </c>
      <c r="M1297" s="21">
        <v>123575.33</v>
      </c>
      <c r="N1297" s="21">
        <v>77598.67</v>
      </c>
      <c r="O1297" t="s">
        <v>49</v>
      </c>
      <c r="P1297" s="21">
        <v>190.94</v>
      </c>
      <c r="Q1297" t="s">
        <v>40</v>
      </c>
      <c r="R1297" t="s">
        <v>41</v>
      </c>
      <c r="S1297">
        <v>2</v>
      </c>
      <c r="T1297">
        <v>1</v>
      </c>
      <c r="U1297" t="s">
        <v>32</v>
      </c>
      <c r="V1297" t="s">
        <v>33</v>
      </c>
      <c r="W1297">
        <v>5</v>
      </c>
    </row>
    <row r="1298" spans="1:23" x14ac:dyDescent="0.25">
      <c r="A1298" t="s">
        <v>1911</v>
      </c>
      <c r="B1298" s="1">
        <v>45947</v>
      </c>
      <c r="C1298" t="s">
        <v>1870</v>
      </c>
      <c r="D1298" t="s">
        <v>63</v>
      </c>
      <c r="E1298" t="s">
        <v>26</v>
      </c>
      <c r="F1298" t="s">
        <v>37</v>
      </c>
      <c r="G1298" t="s">
        <v>313</v>
      </c>
      <c r="H1298">
        <v>1</v>
      </c>
      <c r="I1298" s="21">
        <v>7515</v>
      </c>
      <c r="J1298">
        <v>0</v>
      </c>
      <c r="K1298" s="21">
        <v>0</v>
      </c>
      <c r="L1298" s="21">
        <v>7515</v>
      </c>
      <c r="M1298" s="21">
        <v>5954.95</v>
      </c>
      <c r="N1298" s="21">
        <v>1560.05</v>
      </c>
      <c r="O1298" t="s">
        <v>55</v>
      </c>
      <c r="P1298" s="21">
        <v>1690.41</v>
      </c>
      <c r="Q1298" t="s">
        <v>30</v>
      </c>
      <c r="R1298" t="s">
        <v>31</v>
      </c>
      <c r="S1298">
        <v>5</v>
      </c>
      <c r="T1298">
        <v>6</v>
      </c>
      <c r="U1298" t="s">
        <v>56</v>
      </c>
      <c r="V1298" t="s">
        <v>33</v>
      </c>
      <c r="W1298">
        <v>5</v>
      </c>
    </row>
    <row r="1299" spans="1:23" x14ac:dyDescent="0.25">
      <c r="A1299" t="s">
        <v>1912</v>
      </c>
      <c r="B1299" s="1">
        <v>46009</v>
      </c>
      <c r="C1299" t="s">
        <v>1790</v>
      </c>
      <c r="D1299" t="s">
        <v>154</v>
      </c>
      <c r="E1299" t="s">
        <v>26</v>
      </c>
      <c r="F1299" t="s">
        <v>27</v>
      </c>
      <c r="G1299" t="s">
        <v>72</v>
      </c>
      <c r="H1299">
        <v>1</v>
      </c>
      <c r="I1299" s="21">
        <v>8739</v>
      </c>
      <c r="J1299">
        <v>0</v>
      </c>
      <c r="K1299" s="21">
        <v>0</v>
      </c>
      <c r="L1299" s="21">
        <v>8739</v>
      </c>
      <c r="M1299" s="21">
        <v>5384.8</v>
      </c>
      <c r="N1299" s="21">
        <v>3354.2</v>
      </c>
      <c r="O1299" t="s">
        <v>60</v>
      </c>
      <c r="P1299" s="21">
        <v>1369.22</v>
      </c>
      <c r="Q1299" t="s">
        <v>73</v>
      </c>
      <c r="R1299" t="s">
        <v>31</v>
      </c>
      <c r="S1299">
        <v>5</v>
      </c>
      <c r="T1299">
        <v>4</v>
      </c>
      <c r="U1299" t="s">
        <v>32</v>
      </c>
      <c r="V1299" t="s">
        <v>33</v>
      </c>
      <c r="W1299">
        <v>5</v>
      </c>
    </row>
    <row r="1300" spans="1:23" x14ac:dyDescent="0.25">
      <c r="A1300" t="s">
        <v>1913</v>
      </c>
      <c r="B1300" s="1">
        <v>45683</v>
      </c>
      <c r="C1300" t="s">
        <v>1046</v>
      </c>
      <c r="D1300" t="s">
        <v>79</v>
      </c>
      <c r="E1300" t="s">
        <v>26</v>
      </c>
      <c r="F1300" t="s">
        <v>27</v>
      </c>
      <c r="G1300" t="s">
        <v>72</v>
      </c>
      <c r="H1300">
        <v>1</v>
      </c>
      <c r="I1300" s="21">
        <v>10344</v>
      </c>
      <c r="J1300">
        <v>25</v>
      </c>
      <c r="K1300" s="21">
        <v>2586</v>
      </c>
      <c r="L1300" s="21">
        <v>7758</v>
      </c>
      <c r="M1300" s="21">
        <v>6205.11</v>
      </c>
      <c r="N1300" s="21">
        <v>1552.89</v>
      </c>
      <c r="O1300" t="s">
        <v>39</v>
      </c>
      <c r="P1300" s="21">
        <v>1520.93</v>
      </c>
      <c r="Q1300" t="s">
        <v>40</v>
      </c>
      <c r="R1300" t="s">
        <v>41</v>
      </c>
      <c r="S1300">
        <v>2</v>
      </c>
      <c r="T1300">
        <v>5</v>
      </c>
      <c r="U1300" t="s">
        <v>32</v>
      </c>
      <c r="V1300" t="s">
        <v>42</v>
      </c>
    </row>
    <row r="1301" spans="1:23" x14ac:dyDescent="0.25">
      <c r="A1301" t="s">
        <v>1914</v>
      </c>
      <c r="B1301" s="1">
        <v>45968</v>
      </c>
      <c r="C1301" t="s">
        <v>263</v>
      </c>
      <c r="D1301" t="s">
        <v>63</v>
      </c>
      <c r="E1301" t="s">
        <v>36</v>
      </c>
      <c r="F1301" t="s">
        <v>86</v>
      </c>
      <c r="G1301" t="s">
        <v>110</v>
      </c>
      <c r="H1301">
        <v>1</v>
      </c>
      <c r="I1301" s="21">
        <v>47286</v>
      </c>
      <c r="J1301">
        <v>10</v>
      </c>
      <c r="K1301" s="21">
        <v>4728.6000000000004</v>
      </c>
      <c r="L1301" s="21">
        <v>42557.4</v>
      </c>
      <c r="M1301" s="21">
        <v>30268.87</v>
      </c>
      <c r="N1301" s="21">
        <v>12288.53</v>
      </c>
      <c r="O1301" t="s">
        <v>29</v>
      </c>
      <c r="P1301" s="21">
        <v>1158.98</v>
      </c>
      <c r="Q1301" t="s">
        <v>30</v>
      </c>
      <c r="R1301" t="s">
        <v>31</v>
      </c>
      <c r="S1301">
        <v>5</v>
      </c>
      <c r="T1301">
        <v>1</v>
      </c>
      <c r="U1301" t="s">
        <v>32</v>
      </c>
      <c r="V1301" t="s">
        <v>50</v>
      </c>
      <c r="W1301">
        <v>5</v>
      </c>
    </row>
    <row r="1302" spans="1:23" x14ac:dyDescent="0.25">
      <c r="A1302" t="s">
        <v>1915</v>
      </c>
      <c r="B1302" s="1">
        <v>45912</v>
      </c>
      <c r="C1302" t="s">
        <v>1623</v>
      </c>
      <c r="D1302" t="s">
        <v>154</v>
      </c>
      <c r="E1302" t="s">
        <v>46</v>
      </c>
      <c r="F1302" t="s">
        <v>86</v>
      </c>
      <c r="G1302" t="s">
        <v>87</v>
      </c>
      <c r="H1302">
        <v>2</v>
      </c>
      <c r="I1302" s="21">
        <v>23139</v>
      </c>
      <c r="J1302">
        <v>25</v>
      </c>
      <c r="K1302" s="21">
        <v>11569.5</v>
      </c>
      <c r="L1302" s="21">
        <v>34708.5</v>
      </c>
      <c r="M1302" s="21">
        <v>24578.67</v>
      </c>
      <c r="N1302" s="21">
        <v>10129.83</v>
      </c>
      <c r="O1302" t="s">
        <v>49</v>
      </c>
      <c r="P1302" s="21">
        <v>440.16</v>
      </c>
      <c r="Q1302" t="s">
        <v>83</v>
      </c>
      <c r="R1302" t="s">
        <v>31</v>
      </c>
      <c r="S1302">
        <v>5</v>
      </c>
      <c r="T1302">
        <v>5</v>
      </c>
      <c r="U1302" t="s">
        <v>32</v>
      </c>
      <c r="V1302" t="s">
        <v>42</v>
      </c>
    </row>
    <row r="1303" spans="1:23" x14ac:dyDescent="0.25">
      <c r="A1303" t="s">
        <v>1916</v>
      </c>
      <c r="B1303" s="1">
        <v>45804</v>
      </c>
      <c r="C1303" t="s">
        <v>973</v>
      </c>
      <c r="D1303" t="s">
        <v>97</v>
      </c>
      <c r="E1303" t="s">
        <v>46</v>
      </c>
      <c r="F1303" t="s">
        <v>86</v>
      </c>
      <c r="G1303" t="s">
        <v>110</v>
      </c>
      <c r="H1303">
        <v>1</v>
      </c>
      <c r="I1303" s="21">
        <v>29914</v>
      </c>
      <c r="J1303">
        <v>15</v>
      </c>
      <c r="K1303" s="21">
        <v>4487.1000000000004</v>
      </c>
      <c r="L1303" s="21">
        <v>25426.9</v>
      </c>
      <c r="M1303" s="21">
        <v>19074.099999999999</v>
      </c>
      <c r="N1303" s="21">
        <v>6352.8</v>
      </c>
      <c r="O1303" t="s">
        <v>39</v>
      </c>
      <c r="P1303" s="21">
        <v>2078.23</v>
      </c>
      <c r="Q1303" t="s">
        <v>40</v>
      </c>
      <c r="R1303" t="s">
        <v>31</v>
      </c>
      <c r="S1303">
        <v>5</v>
      </c>
      <c r="T1303">
        <v>6</v>
      </c>
      <c r="U1303" t="s">
        <v>56</v>
      </c>
      <c r="V1303" t="s">
        <v>33</v>
      </c>
      <c r="W1303">
        <v>2</v>
      </c>
    </row>
    <row r="1304" spans="1:23" x14ac:dyDescent="0.25">
      <c r="A1304" t="s">
        <v>1917</v>
      </c>
      <c r="B1304" s="1">
        <v>45775</v>
      </c>
      <c r="C1304" t="s">
        <v>219</v>
      </c>
      <c r="D1304" t="s">
        <v>154</v>
      </c>
      <c r="E1304" t="s">
        <v>46</v>
      </c>
      <c r="F1304" t="s">
        <v>86</v>
      </c>
      <c r="G1304" t="s">
        <v>127</v>
      </c>
      <c r="H1304">
        <v>1</v>
      </c>
      <c r="I1304" s="21">
        <v>70447</v>
      </c>
      <c r="J1304">
        <v>25</v>
      </c>
      <c r="K1304" s="21">
        <v>17611.75</v>
      </c>
      <c r="L1304" s="21">
        <v>52835.25</v>
      </c>
      <c r="M1304" s="21">
        <v>36568.120000000003</v>
      </c>
      <c r="N1304" s="21">
        <v>16267.13</v>
      </c>
      <c r="O1304" t="s">
        <v>49</v>
      </c>
      <c r="P1304" s="21">
        <v>286.64</v>
      </c>
      <c r="Q1304" t="s">
        <v>40</v>
      </c>
      <c r="R1304" t="s">
        <v>31</v>
      </c>
      <c r="S1304">
        <v>5</v>
      </c>
      <c r="T1304">
        <v>4</v>
      </c>
      <c r="U1304" t="s">
        <v>32</v>
      </c>
      <c r="V1304" t="s">
        <v>33</v>
      </c>
      <c r="W1304">
        <v>4</v>
      </c>
    </row>
    <row r="1305" spans="1:23" x14ac:dyDescent="0.25">
      <c r="A1305" t="s">
        <v>1918</v>
      </c>
      <c r="B1305" s="1">
        <v>45968</v>
      </c>
      <c r="C1305" t="s">
        <v>1787</v>
      </c>
      <c r="D1305" t="s">
        <v>97</v>
      </c>
      <c r="E1305" t="s">
        <v>46</v>
      </c>
      <c r="F1305" t="s">
        <v>27</v>
      </c>
      <c r="G1305" t="s">
        <v>164</v>
      </c>
      <c r="H1305">
        <v>1</v>
      </c>
      <c r="I1305" s="21">
        <v>27462</v>
      </c>
      <c r="J1305">
        <v>10</v>
      </c>
      <c r="K1305" s="21">
        <v>2746.2</v>
      </c>
      <c r="L1305" s="21">
        <v>24715.8</v>
      </c>
      <c r="M1305" s="21">
        <v>17434.39</v>
      </c>
      <c r="N1305" s="21">
        <v>7281.41</v>
      </c>
      <c r="O1305" t="s">
        <v>39</v>
      </c>
      <c r="P1305" s="21">
        <v>1275.3399999999999</v>
      </c>
      <c r="Q1305" t="s">
        <v>40</v>
      </c>
      <c r="R1305" t="s">
        <v>41</v>
      </c>
      <c r="S1305">
        <v>2</v>
      </c>
      <c r="T1305">
        <v>1</v>
      </c>
      <c r="U1305" t="s">
        <v>32</v>
      </c>
      <c r="V1305" t="s">
        <v>33</v>
      </c>
      <c r="W1305">
        <v>3</v>
      </c>
    </row>
    <row r="1306" spans="1:23" x14ac:dyDescent="0.25">
      <c r="A1306" t="s">
        <v>1919</v>
      </c>
      <c r="B1306" s="1">
        <v>45838</v>
      </c>
      <c r="C1306" t="s">
        <v>1298</v>
      </c>
      <c r="D1306" t="s">
        <v>71</v>
      </c>
      <c r="E1306" t="s">
        <v>26</v>
      </c>
      <c r="F1306" t="s">
        <v>37</v>
      </c>
      <c r="G1306" t="s">
        <v>38</v>
      </c>
      <c r="H1306">
        <v>1</v>
      </c>
      <c r="I1306" s="21">
        <v>21651</v>
      </c>
      <c r="J1306">
        <v>15</v>
      </c>
      <c r="K1306" s="21">
        <v>3247.65</v>
      </c>
      <c r="L1306" s="21">
        <v>18403.349999999999</v>
      </c>
      <c r="M1306" s="21">
        <v>11079.84</v>
      </c>
      <c r="N1306" s="21">
        <v>7323.51</v>
      </c>
      <c r="O1306" t="s">
        <v>55</v>
      </c>
      <c r="P1306" s="21">
        <v>1628.06</v>
      </c>
      <c r="Q1306" t="s">
        <v>30</v>
      </c>
      <c r="R1306" t="s">
        <v>31</v>
      </c>
      <c r="S1306">
        <v>5</v>
      </c>
      <c r="T1306">
        <v>0</v>
      </c>
      <c r="U1306" t="s">
        <v>32</v>
      </c>
      <c r="V1306" t="s">
        <v>50</v>
      </c>
      <c r="W1306">
        <v>5</v>
      </c>
    </row>
    <row r="1307" spans="1:23" x14ac:dyDescent="0.25">
      <c r="A1307" t="s">
        <v>1920</v>
      </c>
      <c r="B1307" s="1">
        <v>45770</v>
      </c>
      <c r="C1307" t="s">
        <v>702</v>
      </c>
      <c r="D1307" t="s">
        <v>79</v>
      </c>
      <c r="E1307" t="s">
        <v>36</v>
      </c>
      <c r="F1307" t="s">
        <v>47</v>
      </c>
      <c r="G1307" t="s">
        <v>146</v>
      </c>
      <c r="H1307">
        <v>1</v>
      </c>
      <c r="I1307" s="21">
        <v>34340</v>
      </c>
      <c r="J1307">
        <v>0</v>
      </c>
      <c r="K1307" s="21">
        <v>0</v>
      </c>
      <c r="L1307" s="21">
        <v>34340</v>
      </c>
      <c r="M1307" s="21">
        <v>18955.689999999999</v>
      </c>
      <c r="N1307" s="21">
        <v>15384.31</v>
      </c>
      <c r="O1307" t="s">
        <v>55</v>
      </c>
      <c r="P1307" s="21">
        <v>2272</v>
      </c>
      <c r="Q1307" t="s">
        <v>30</v>
      </c>
      <c r="R1307" t="s">
        <v>41</v>
      </c>
      <c r="S1307">
        <v>2</v>
      </c>
      <c r="T1307">
        <v>1</v>
      </c>
      <c r="U1307" t="s">
        <v>32</v>
      </c>
      <c r="V1307" t="s">
        <v>33</v>
      </c>
      <c r="W1307">
        <v>3</v>
      </c>
    </row>
    <row r="1308" spans="1:23" x14ac:dyDescent="0.25">
      <c r="A1308" t="s">
        <v>1921</v>
      </c>
      <c r="B1308" s="1">
        <v>45983</v>
      </c>
      <c r="C1308" t="s">
        <v>1680</v>
      </c>
      <c r="D1308" t="s">
        <v>25</v>
      </c>
      <c r="E1308" t="s">
        <v>26</v>
      </c>
      <c r="F1308" t="s">
        <v>37</v>
      </c>
      <c r="G1308" t="s">
        <v>100</v>
      </c>
      <c r="H1308">
        <v>1</v>
      </c>
      <c r="I1308" s="21">
        <v>27492</v>
      </c>
      <c r="J1308">
        <v>20</v>
      </c>
      <c r="K1308" s="21">
        <v>5498.4</v>
      </c>
      <c r="L1308" s="21">
        <v>21993.599999999999</v>
      </c>
      <c r="M1308" s="21">
        <v>14187.14</v>
      </c>
      <c r="N1308" s="21">
        <v>7806.46</v>
      </c>
      <c r="O1308" t="s">
        <v>60</v>
      </c>
      <c r="P1308" s="21">
        <v>1191.19</v>
      </c>
      <c r="Q1308" t="s">
        <v>83</v>
      </c>
      <c r="R1308" t="s">
        <v>41</v>
      </c>
      <c r="S1308">
        <v>2</v>
      </c>
      <c r="T1308">
        <v>2</v>
      </c>
      <c r="U1308" t="s">
        <v>32</v>
      </c>
      <c r="V1308" t="s">
        <v>33</v>
      </c>
      <c r="W1308">
        <v>4</v>
      </c>
    </row>
    <row r="1309" spans="1:23" x14ac:dyDescent="0.25">
      <c r="A1309" t="s">
        <v>1922</v>
      </c>
      <c r="B1309" s="1">
        <v>45755</v>
      </c>
      <c r="C1309" t="s">
        <v>1518</v>
      </c>
      <c r="D1309" t="s">
        <v>97</v>
      </c>
      <c r="E1309" t="s">
        <v>46</v>
      </c>
      <c r="F1309" t="s">
        <v>53</v>
      </c>
      <c r="G1309" t="s">
        <v>151</v>
      </c>
      <c r="H1309">
        <v>2</v>
      </c>
      <c r="I1309" s="21">
        <v>63385</v>
      </c>
      <c r="J1309">
        <v>10</v>
      </c>
      <c r="K1309" s="21">
        <v>12677</v>
      </c>
      <c r="L1309" s="21">
        <v>114093</v>
      </c>
      <c r="M1309" s="21">
        <v>64947.28</v>
      </c>
      <c r="N1309" s="21">
        <v>49145.72</v>
      </c>
      <c r="O1309" t="s">
        <v>60</v>
      </c>
      <c r="P1309" s="21">
        <v>947.72</v>
      </c>
      <c r="Q1309" t="s">
        <v>68</v>
      </c>
      <c r="R1309" t="s">
        <v>41</v>
      </c>
      <c r="S1309">
        <v>2</v>
      </c>
      <c r="T1309">
        <v>1</v>
      </c>
      <c r="U1309" t="s">
        <v>32</v>
      </c>
      <c r="V1309" t="s">
        <v>33</v>
      </c>
      <c r="W1309">
        <v>3</v>
      </c>
    </row>
    <row r="1310" spans="1:23" x14ac:dyDescent="0.25">
      <c r="A1310" t="s">
        <v>1923</v>
      </c>
      <c r="B1310" s="1">
        <v>45975</v>
      </c>
      <c r="C1310" t="s">
        <v>496</v>
      </c>
      <c r="D1310" t="s">
        <v>63</v>
      </c>
      <c r="E1310" t="s">
        <v>26</v>
      </c>
      <c r="F1310" t="s">
        <v>47</v>
      </c>
      <c r="G1310" t="s">
        <v>48</v>
      </c>
      <c r="H1310">
        <v>2</v>
      </c>
      <c r="I1310" s="21">
        <v>26405</v>
      </c>
      <c r="J1310">
        <v>5</v>
      </c>
      <c r="K1310" s="21">
        <v>2640.5</v>
      </c>
      <c r="L1310" s="21">
        <v>50169.5</v>
      </c>
      <c r="M1310" s="21">
        <v>34762.78</v>
      </c>
      <c r="N1310" s="21">
        <v>15406.72</v>
      </c>
      <c r="O1310" t="s">
        <v>55</v>
      </c>
      <c r="P1310" s="21">
        <v>1378.88</v>
      </c>
      <c r="Q1310" t="s">
        <v>68</v>
      </c>
      <c r="R1310" t="s">
        <v>41</v>
      </c>
      <c r="S1310">
        <v>2</v>
      </c>
      <c r="T1310">
        <v>0</v>
      </c>
      <c r="U1310" t="s">
        <v>32</v>
      </c>
      <c r="V1310" t="s">
        <v>42</v>
      </c>
    </row>
    <row r="1311" spans="1:23" x14ac:dyDescent="0.25">
      <c r="A1311" t="s">
        <v>1924</v>
      </c>
      <c r="B1311" s="1">
        <v>45786</v>
      </c>
      <c r="C1311" t="s">
        <v>1281</v>
      </c>
      <c r="D1311" t="s">
        <v>79</v>
      </c>
      <c r="E1311" t="s">
        <v>46</v>
      </c>
      <c r="F1311" t="s">
        <v>86</v>
      </c>
      <c r="G1311" t="s">
        <v>127</v>
      </c>
      <c r="H1311">
        <v>1</v>
      </c>
      <c r="I1311" s="21">
        <v>45098</v>
      </c>
      <c r="J1311">
        <v>5</v>
      </c>
      <c r="K1311" s="21">
        <v>2254.9</v>
      </c>
      <c r="L1311" s="21">
        <v>42843.1</v>
      </c>
      <c r="M1311" s="21">
        <v>29494.37</v>
      </c>
      <c r="N1311" s="21">
        <v>13348.73</v>
      </c>
      <c r="O1311" t="s">
        <v>60</v>
      </c>
      <c r="P1311" s="21">
        <v>304.01</v>
      </c>
      <c r="Q1311" t="s">
        <v>73</v>
      </c>
      <c r="R1311" t="s">
        <v>31</v>
      </c>
      <c r="S1311">
        <v>5</v>
      </c>
      <c r="T1311">
        <v>5</v>
      </c>
      <c r="U1311" t="s">
        <v>32</v>
      </c>
      <c r="V1311" t="s">
        <v>33</v>
      </c>
      <c r="W1311">
        <v>2</v>
      </c>
    </row>
    <row r="1312" spans="1:23" x14ac:dyDescent="0.25">
      <c r="A1312" t="s">
        <v>1925</v>
      </c>
      <c r="B1312" s="1">
        <v>46005</v>
      </c>
      <c r="C1312" t="s">
        <v>1926</v>
      </c>
      <c r="D1312" t="s">
        <v>124</v>
      </c>
      <c r="E1312" t="s">
        <v>36</v>
      </c>
      <c r="F1312" t="s">
        <v>53</v>
      </c>
      <c r="G1312" t="s">
        <v>82</v>
      </c>
      <c r="H1312">
        <v>2</v>
      </c>
      <c r="I1312" s="21">
        <v>45435</v>
      </c>
      <c r="J1312">
        <v>15</v>
      </c>
      <c r="K1312" s="21">
        <v>13630.5</v>
      </c>
      <c r="L1312" s="21">
        <v>77239.5</v>
      </c>
      <c r="M1312" s="21">
        <v>55786.38</v>
      </c>
      <c r="N1312" s="21">
        <v>21453.119999999999</v>
      </c>
      <c r="O1312" t="s">
        <v>55</v>
      </c>
      <c r="P1312" s="21">
        <v>1315.02</v>
      </c>
      <c r="Q1312" t="s">
        <v>40</v>
      </c>
      <c r="R1312" t="s">
        <v>41</v>
      </c>
      <c r="S1312">
        <v>2</v>
      </c>
      <c r="T1312">
        <v>4</v>
      </c>
      <c r="U1312" t="s">
        <v>32</v>
      </c>
      <c r="V1312" t="s">
        <v>42</v>
      </c>
    </row>
    <row r="1313" spans="1:23" x14ac:dyDescent="0.25">
      <c r="A1313" t="s">
        <v>1927</v>
      </c>
      <c r="B1313" s="1">
        <v>45995</v>
      </c>
      <c r="C1313" t="s">
        <v>1894</v>
      </c>
      <c r="D1313" t="s">
        <v>25</v>
      </c>
      <c r="E1313" t="s">
        <v>26</v>
      </c>
      <c r="F1313" t="s">
        <v>27</v>
      </c>
      <c r="G1313" t="s">
        <v>76</v>
      </c>
      <c r="H1313">
        <v>1</v>
      </c>
      <c r="I1313" s="21">
        <v>20756</v>
      </c>
      <c r="J1313">
        <v>10</v>
      </c>
      <c r="K1313" s="21">
        <v>2075.6</v>
      </c>
      <c r="L1313" s="21">
        <v>18680.400000000001</v>
      </c>
      <c r="M1313" s="21">
        <v>11876.98</v>
      </c>
      <c r="N1313" s="21">
        <v>6803.42</v>
      </c>
      <c r="O1313" t="s">
        <v>91</v>
      </c>
      <c r="P1313" s="21">
        <v>1014.06</v>
      </c>
      <c r="Q1313" t="s">
        <v>30</v>
      </c>
      <c r="R1313" t="s">
        <v>41</v>
      </c>
      <c r="S1313">
        <v>2</v>
      </c>
      <c r="T1313">
        <v>3</v>
      </c>
      <c r="U1313" t="s">
        <v>56</v>
      </c>
      <c r="V1313" t="s">
        <v>33</v>
      </c>
      <c r="W1313">
        <v>2</v>
      </c>
    </row>
    <row r="1314" spans="1:23" x14ac:dyDescent="0.25">
      <c r="A1314" t="s">
        <v>1928</v>
      </c>
      <c r="B1314" s="1">
        <v>46006</v>
      </c>
      <c r="C1314" t="s">
        <v>1729</v>
      </c>
      <c r="D1314" t="s">
        <v>90</v>
      </c>
      <c r="E1314" t="s">
        <v>46</v>
      </c>
      <c r="F1314" t="s">
        <v>27</v>
      </c>
      <c r="G1314" t="s">
        <v>72</v>
      </c>
      <c r="H1314">
        <v>2</v>
      </c>
      <c r="I1314" s="21">
        <v>25678</v>
      </c>
      <c r="J1314">
        <v>10</v>
      </c>
      <c r="K1314" s="21">
        <v>5135.6000000000004</v>
      </c>
      <c r="L1314" s="21">
        <v>46220.4</v>
      </c>
      <c r="M1314" s="21">
        <v>32715.22</v>
      </c>
      <c r="N1314" s="21">
        <v>13505.18</v>
      </c>
      <c r="O1314" t="s">
        <v>29</v>
      </c>
      <c r="P1314" s="21">
        <v>2459.96</v>
      </c>
      <c r="Q1314" t="s">
        <v>83</v>
      </c>
      <c r="R1314" t="s">
        <v>31</v>
      </c>
      <c r="S1314">
        <v>5</v>
      </c>
      <c r="T1314">
        <v>1</v>
      </c>
      <c r="U1314" t="s">
        <v>32</v>
      </c>
      <c r="V1314" t="s">
        <v>50</v>
      </c>
      <c r="W1314">
        <v>5</v>
      </c>
    </row>
    <row r="1315" spans="1:23" x14ac:dyDescent="0.25">
      <c r="A1315" t="s">
        <v>1929</v>
      </c>
      <c r="B1315" s="1">
        <v>45728</v>
      </c>
      <c r="C1315" t="s">
        <v>756</v>
      </c>
      <c r="D1315" t="s">
        <v>63</v>
      </c>
      <c r="E1315" t="s">
        <v>26</v>
      </c>
      <c r="F1315" t="s">
        <v>47</v>
      </c>
      <c r="G1315" t="s">
        <v>64</v>
      </c>
      <c r="H1315">
        <v>2</v>
      </c>
      <c r="I1315" s="21">
        <v>22287</v>
      </c>
      <c r="J1315">
        <v>0</v>
      </c>
      <c r="K1315" s="21">
        <v>0</v>
      </c>
      <c r="L1315" s="21">
        <v>44574</v>
      </c>
      <c r="M1315" s="21">
        <v>28512.799999999999</v>
      </c>
      <c r="N1315" s="21">
        <v>16061.2</v>
      </c>
      <c r="O1315" t="s">
        <v>91</v>
      </c>
      <c r="P1315" s="21">
        <v>639.78</v>
      </c>
      <c r="Q1315" t="s">
        <v>73</v>
      </c>
      <c r="R1315" t="s">
        <v>31</v>
      </c>
      <c r="S1315">
        <v>5</v>
      </c>
      <c r="T1315">
        <v>6</v>
      </c>
      <c r="U1315" t="s">
        <v>56</v>
      </c>
      <c r="V1315" t="s">
        <v>33</v>
      </c>
      <c r="W1315">
        <v>4</v>
      </c>
    </row>
    <row r="1316" spans="1:23" x14ac:dyDescent="0.25">
      <c r="A1316" t="s">
        <v>1930</v>
      </c>
      <c r="B1316" s="1">
        <v>45979</v>
      </c>
      <c r="C1316" t="s">
        <v>1324</v>
      </c>
      <c r="D1316" t="s">
        <v>79</v>
      </c>
      <c r="E1316" t="s">
        <v>26</v>
      </c>
      <c r="F1316" t="s">
        <v>47</v>
      </c>
      <c r="G1316" t="s">
        <v>138</v>
      </c>
      <c r="H1316">
        <v>2</v>
      </c>
      <c r="I1316" s="21">
        <v>25723</v>
      </c>
      <c r="J1316">
        <v>10</v>
      </c>
      <c r="K1316" s="21">
        <v>5144.6000000000004</v>
      </c>
      <c r="L1316" s="21">
        <v>46301.4</v>
      </c>
      <c r="M1316" s="21">
        <v>33087.39</v>
      </c>
      <c r="N1316" s="21">
        <v>13214.01</v>
      </c>
      <c r="O1316" t="s">
        <v>29</v>
      </c>
      <c r="P1316" s="21">
        <v>1381.02</v>
      </c>
      <c r="Q1316" t="s">
        <v>30</v>
      </c>
      <c r="R1316" t="s">
        <v>41</v>
      </c>
      <c r="S1316">
        <v>2</v>
      </c>
      <c r="T1316">
        <v>2</v>
      </c>
      <c r="U1316" t="s">
        <v>32</v>
      </c>
      <c r="V1316" t="s">
        <v>33</v>
      </c>
      <c r="W1316">
        <v>1</v>
      </c>
    </row>
    <row r="1317" spans="1:23" x14ac:dyDescent="0.25">
      <c r="A1317" t="s">
        <v>1931</v>
      </c>
      <c r="B1317" s="1">
        <v>45707</v>
      </c>
      <c r="C1317" t="s">
        <v>35</v>
      </c>
      <c r="D1317" t="s">
        <v>124</v>
      </c>
      <c r="E1317" t="s">
        <v>26</v>
      </c>
      <c r="F1317" t="s">
        <v>86</v>
      </c>
      <c r="G1317" t="s">
        <v>110</v>
      </c>
      <c r="H1317">
        <v>2</v>
      </c>
      <c r="I1317" s="21">
        <v>47943</v>
      </c>
      <c r="J1317">
        <v>15</v>
      </c>
      <c r="K1317" s="21">
        <v>14382.9</v>
      </c>
      <c r="L1317" s="21">
        <v>81503.100000000006</v>
      </c>
      <c r="M1317" s="21">
        <v>60150.06</v>
      </c>
      <c r="N1317" s="21">
        <v>21353.040000000001</v>
      </c>
      <c r="O1317" t="s">
        <v>55</v>
      </c>
      <c r="P1317" s="21">
        <v>1166.6500000000001</v>
      </c>
      <c r="Q1317" t="s">
        <v>68</v>
      </c>
      <c r="R1317" t="s">
        <v>31</v>
      </c>
      <c r="S1317">
        <v>5</v>
      </c>
      <c r="T1317">
        <v>2</v>
      </c>
      <c r="U1317" t="s">
        <v>32</v>
      </c>
      <c r="V1317" t="s">
        <v>33</v>
      </c>
      <c r="W1317">
        <v>5</v>
      </c>
    </row>
    <row r="1318" spans="1:23" x14ac:dyDescent="0.25">
      <c r="A1318" t="s">
        <v>1932</v>
      </c>
      <c r="B1318" s="1">
        <v>45979</v>
      </c>
      <c r="C1318" t="s">
        <v>774</v>
      </c>
      <c r="D1318" t="s">
        <v>90</v>
      </c>
      <c r="E1318" t="s">
        <v>26</v>
      </c>
      <c r="F1318" t="s">
        <v>47</v>
      </c>
      <c r="G1318" t="s">
        <v>146</v>
      </c>
      <c r="H1318">
        <v>2</v>
      </c>
      <c r="I1318" s="21">
        <v>53952</v>
      </c>
      <c r="J1318">
        <v>15</v>
      </c>
      <c r="K1318" s="21">
        <v>16185.6</v>
      </c>
      <c r="L1318" s="21">
        <v>91718.399999999994</v>
      </c>
      <c r="M1318" s="21">
        <v>71213.259999999995</v>
      </c>
      <c r="N1318" s="21">
        <v>20505.14</v>
      </c>
      <c r="O1318" t="s">
        <v>49</v>
      </c>
      <c r="P1318" s="21">
        <v>432.19</v>
      </c>
      <c r="Q1318" t="s">
        <v>30</v>
      </c>
      <c r="R1318" t="s">
        <v>31</v>
      </c>
      <c r="S1318">
        <v>5</v>
      </c>
      <c r="T1318">
        <v>2</v>
      </c>
      <c r="U1318" t="s">
        <v>32</v>
      </c>
      <c r="V1318" t="s">
        <v>33</v>
      </c>
      <c r="W1318">
        <v>1</v>
      </c>
    </row>
    <row r="1319" spans="1:23" x14ac:dyDescent="0.25">
      <c r="A1319" t="s">
        <v>1933</v>
      </c>
      <c r="B1319" s="1">
        <v>45988</v>
      </c>
      <c r="C1319" t="s">
        <v>249</v>
      </c>
      <c r="D1319" t="s">
        <v>71</v>
      </c>
      <c r="E1319" t="s">
        <v>36</v>
      </c>
      <c r="F1319" t="s">
        <v>47</v>
      </c>
      <c r="G1319" t="s">
        <v>138</v>
      </c>
      <c r="H1319">
        <v>1</v>
      </c>
      <c r="I1319" s="21">
        <v>51655</v>
      </c>
      <c r="J1319">
        <v>25</v>
      </c>
      <c r="K1319" s="21">
        <v>12913.75</v>
      </c>
      <c r="L1319" s="21">
        <v>38741.25</v>
      </c>
      <c r="M1319" s="21">
        <v>30965.77</v>
      </c>
      <c r="N1319" s="21">
        <v>7775.48</v>
      </c>
      <c r="O1319" t="s">
        <v>91</v>
      </c>
      <c r="P1319" s="21">
        <v>1351.5</v>
      </c>
      <c r="Q1319" t="s">
        <v>73</v>
      </c>
      <c r="R1319" t="s">
        <v>41</v>
      </c>
      <c r="S1319">
        <v>2</v>
      </c>
      <c r="T1319">
        <v>1</v>
      </c>
      <c r="U1319" t="s">
        <v>32</v>
      </c>
      <c r="V1319" t="s">
        <v>33</v>
      </c>
      <c r="W1319">
        <v>5</v>
      </c>
    </row>
    <row r="1320" spans="1:23" x14ac:dyDescent="0.25">
      <c r="A1320" t="s">
        <v>1934</v>
      </c>
      <c r="B1320" s="1">
        <v>45678</v>
      </c>
      <c r="C1320" t="s">
        <v>434</v>
      </c>
      <c r="D1320" t="s">
        <v>25</v>
      </c>
      <c r="E1320" t="s">
        <v>46</v>
      </c>
      <c r="F1320" t="s">
        <v>47</v>
      </c>
      <c r="G1320" t="s">
        <v>105</v>
      </c>
      <c r="H1320">
        <v>2</v>
      </c>
      <c r="I1320" s="21">
        <v>8533</v>
      </c>
      <c r="J1320">
        <v>0</v>
      </c>
      <c r="K1320" s="21">
        <v>0</v>
      </c>
      <c r="L1320" s="21">
        <v>17066</v>
      </c>
      <c r="M1320" s="21">
        <v>11506.67</v>
      </c>
      <c r="N1320" s="21">
        <v>5559.33</v>
      </c>
      <c r="O1320" t="s">
        <v>29</v>
      </c>
      <c r="P1320" s="21">
        <v>1289.6400000000001</v>
      </c>
      <c r="Q1320" t="s">
        <v>30</v>
      </c>
      <c r="R1320" t="s">
        <v>31</v>
      </c>
      <c r="S1320">
        <v>5</v>
      </c>
      <c r="T1320">
        <v>3</v>
      </c>
      <c r="U1320" t="s">
        <v>32</v>
      </c>
      <c r="V1320" t="s">
        <v>33</v>
      </c>
      <c r="W1320">
        <v>5</v>
      </c>
    </row>
    <row r="1321" spans="1:23" x14ac:dyDescent="0.25">
      <c r="A1321" t="s">
        <v>1935</v>
      </c>
      <c r="B1321" s="1">
        <v>45816</v>
      </c>
      <c r="C1321" t="s">
        <v>633</v>
      </c>
      <c r="D1321" t="s">
        <v>90</v>
      </c>
      <c r="E1321" t="s">
        <v>36</v>
      </c>
      <c r="F1321" t="s">
        <v>37</v>
      </c>
      <c r="G1321" t="s">
        <v>38</v>
      </c>
      <c r="H1321">
        <v>1</v>
      </c>
      <c r="I1321" s="21">
        <v>32076</v>
      </c>
      <c r="J1321">
        <v>10</v>
      </c>
      <c r="K1321" s="21">
        <v>3207.6</v>
      </c>
      <c r="L1321" s="21">
        <v>28868.400000000001</v>
      </c>
      <c r="M1321" s="21">
        <v>22299.65</v>
      </c>
      <c r="N1321" s="21">
        <v>6568.75</v>
      </c>
      <c r="O1321" t="s">
        <v>91</v>
      </c>
      <c r="P1321" s="21">
        <v>2243.7199999999998</v>
      </c>
      <c r="Q1321" t="s">
        <v>73</v>
      </c>
      <c r="R1321" t="s">
        <v>41</v>
      </c>
      <c r="S1321">
        <v>2</v>
      </c>
      <c r="T1321">
        <v>0</v>
      </c>
      <c r="U1321" t="s">
        <v>32</v>
      </c>
      <c r="V1321" t="s">
        <v>50</v>
      </c>
      <c r="W1321">
        <v>5</v>
      </c>
    </row>
    <row r="1322" spans="1:23" x14ac:dyDescent="0.25">
      <c r="A1322" t="s">
        <v>1936</v>
      </c>
      <c r="B1322" s="1">
        <v>45883</v>
      </c>
      <c r="C1322" t="s">
        <v>898</v>
      </c>
      <c r="D1322" t="s">
        <v>25</v>
      </c>
      <c r="E1322" t="s">
        <v>46</v>
      </c>
      <c r="F1322" t="s">
        <v>27</v>
      </c>
      <c r="G1322" t="s">
        <v>113</v>
      </c>
      <c r="H1322">
        <v>2</v>
      </c>
      <c r="I1322" s="21">
        <v>13787</v>
      </c>
      <c r="J1322">
        <v>5</v>
      </c>
      <c r="K1322" s="21">
        <v>1378.7</v>
      </c>
      <c r="L1322" s="21">
        <v>26195.3</v>
      </c>
      <c r="M1322" s="21">
        <v>18604.009999999998</v>
      </c>
      <c r="N1322" s="21">
        <v>7591.29</v>
      </c>
      <c r="O1322" t="s">
        <v>49</v>
      </c>
      <c r="P1322" s="21">
        <v>253.59</v>
      </c>
      <c r="Q1322" t="s">
        <v>68</v>
      </c>
      <c r="R1322" t="s">
        <v>31</v>
      </c>
      <c r="S1322">
        <v>5</v>
      </c>
      <c r="T1322">
        <v>5</v>
      </c>
      <c r="U1322" t="s">
        <v>32</v>
      </c>
      <c r="V1322" t="s">
        <v>33</v>
      </c>
      <c r="W1322">
        <v>5</v>
      </c>
    </row>
    <row r="1323" spans="1:23" x14ac:dyDescent="0.25">
      <c r="A1323" t="s">
        <v>1937</v>
      </c>
      <c r="B1323" s="1">
        <v>45675</v>
      </c>
      <c r="C1323" t="s">
        <v>1160</v>
      </c>
      <c r="D1323" t="s">
        <v>25</v>
      </c>
      <c r="E1323" t="s">
        <v>46</v>
      </c>
      <c r="F1323" t="s">
        <v>27</v>
      </c>
      <c r="G1323" t="s">
        <v>28</v>
      </c>
      <c r="H1323">
        <v>1</v>
      </c>
      <c r="I1323" s="21">
        <v>13412</v>
      </c>
      <c r="J1323">
        <v>25</v>
      </c>
      <c r="K1323" s="21">
        <v>3353</v>
      </c>
      <c r="L1323" s="21">
        <v>10059</v>
      </c>
      <c r="M1323" s="21">
        <v>8214.61</v>
      </c>
      <c r="N1323" s="21">
        <v>1844.39</v>
      </c>
      <c r="O1323" t="s">
        <v>29</v>
      </c>
      <c r="P1323" s="21">
        <v>2101.58</v>
      </c>
      <c r="Q1323" t="s">
        <v>68</v>
      </c>
      <c r="R1323" t="s">
        <v>41</v>
      </c>
      <c r="S1323">
        <v>2</v>
      </c>
      <c r="T1323">
        <v>1</v>
      </c>
      <c r="U1323" t="s">
        <v>32</v>
      </c>
      <c r="V1323" t="s">
        <v>50</v>
      </c>
      <c r="W1323">
        <v>4</v>
      </c>
    </row>
    <row r="1324" spans="1:23" x14ac:dyDescent="0.25">
      <c r="A1324" t="s">
        <v>1938</v>
      </c>
      <c r="B1324" s="1">
        <v>45954</v>
      </c>
      <c r="C1324" t="s">
        <v>358</v>
      </c>
      <c r="D1324" t="s">
        <v>97</v>
      </c>
      <c r="E1324" t="s">
        <v>46</v>
      </c>
      <c r="F1324" t="s">
        <v>37</v>
      </c>
      <c r="G1324" t="s">
        <v>313</v>
      </c>
      <c r="H1324">
        <v>1</v>
      </c>
      <c r="I1324" s="21">
        <v>9195</v>
      </c>
      <c r="J1324">
        <v>0</v>
      </c>
      <c r="K1324" s="21">
        <v>0</v>
      </c>
      <c r="L1324" s="21">
        <v>9195</v>
      </c>
      <c r="M1324" s="21">
        <v>5647.61</v>
      </c>
      <c r="N1324" s="21">
        <v>3547.39</v>
      </c>
      <c r="O1324" t="s">
        <v>60</v>
      </c>
      <c r="P1324" s="21">
        <v>463.39</v>
      </c>
      <c r="Q1324" t="s">
        <v>40</v>
      </c>
      <c r="R1324" t="s">
        <v>31</v>
      </c>
      <c r="S1324">
        <v>5</v>
      </c>
      <c r="T1324">
        <v>4</v>
      </c>
      <c r="U1324" t="s">
        <v>32</v>
      </c>
      <c r="V1324" t="s">
        <v>33</v>
      </c>
      <c r="W1324">
        <v>2</v>
      </c>
    </row>
    <row r="1325" spans="1:23" x14ac:dyDescent="0.25">
      <c r="A1325" t="s">
        <v>1939</v>
      </c>
      <c r="B1325" s="1">
        <v>45844</v>
      </c>
      <c r="C1325" t="s">
        <v>1940</v>
      </c>
      <c r="D1325" t="s">
        <v>97</v>
      </c>
      <c r="E1325" t="s">
        <v>46</v>
      </c>
      <c r="F1325" t="s">
        <v>53</v>
      </c>
      <c r="G1325" t="s">
        <v>59</v>
      </c>
      <c r="H1325">
        <v>3</v>
      </c>
      <c r="I1325" s="21">
        <v>93808</v>
      </c>
      <c r="J1325">
        <v>0</v>
      </c>
      <c r="K1325" s="21">
        <v>0</v>
      </c>
      <c r="L1325" s="21">
        <v>281424</v>
      </c>
      <c r="M1325" s="21">
        <v>193591.78</v>
      </c>
      <c r="N1325" s="21">
        <v>87832.22</v>
      </c>
      <c r="O1325" t="s">
        <v>29</v>
      </c>
      <c r="P1325" s="21">
        <v>2103.3000000000002</v>
      </c>
      <c r="Q1325" t="s">
        <v>83</v>
      </c>
      <c r="R1325" t="s">
        <v>31</v>
      </c>
      <c r="S1325">
        <v>5</v>
      </c>
      <c r="T1325">
        <v>5</v>
      </c>
      <c r="U1325" t="s">
        <v>32</v>
      </c>
      <c r="V1325" t="s">
        <v>33</v>
      </c>
      <c r="W1325">
        <v>5</v>
      </c>
    </row>
    <row r="1326" spans="1:23" x14ac:dyDescent="0.25">
      <c r="A1326" t="s">
        <v>1941</v>
      </c>
      <c r="B1326" s="1">
        <v>45725</v>
      </c>
      <c r="C1326" t="s">
        <v>213</v>
      </c>
      <c r="D1326" t="s">
        <v>79</v>
      </c>
      <c r="E1326" t="s">
        <v>26</v>
      </c>
      <c r="F1326" t="s">
        <v>27</v>
      </c>
      <c r="G1326" t="s">
        <v>113</v>
      </c>
      <c r="H1326">
        <v>1</v>
      </c>
      <c r="I1326" s="21">
        <v>21680</v>
      </c>
      <c r="J1326">
        <v>15</v>
      </c>
      <c r="K1326" s="21">
        <v>3252</v>
      </c>
      <c r="L1326" s="21">
        <v>18428</v>
      </c>
      <c r="M1326" s="21">
        <v>12888.27</v>
      </c>
      <c r="N1326" s="21">
        <v>5539.73</v>
      </c>
      <c r="O1326" t="s">
        <v>55</v>
      </c>
      <c r="P1326" s="21">
        <v>2282.16</v>
      </c>
      <c r="Q1326" t="s">
        <v>40</v>
      </c>
      <c r="R1326" t="s">
        <v>31</v>
      </c>
      <c r="S1326">
        <v>5</v>
      </c>
      <c r="T1326">
        <v>5</v>
      </c>
      <c r="U1326" t="s">
        <v>32</v>
      </c>
      <c r="V1326" t="s">
        <v>33</v>
      </c>
      <c r="W1326">
        <v>3</v>
      </c>
    </row>
    <row r="1327" spans="1:23" x14ac:dyDescent="0.25">
      <c r="A1327" t="s">
        <v>1942</v>
      </c>
      <c r="B1327" s="1">
        <v>45704</v>
      </c>
      <c r="C1327" t="s">
        <v>595</v>
      </c>
      <c r="D1327" t="s">
        <v>90</v>
      </c>
      <c r="E1327" t="s">
        <v>26</v>
      </c>
      <c r="F1327" t="s">
        <v>27</v>
      </c>
      <c r="G1327" t="s">
        <v>72</v>
      </c>
      <c r="H1327">
        <v>1</v>
      </c>
      <c r="I1327" s="21">
        <v>20245</v>
      </c>
      <c r="J1327">
        <v>25</v>
      </c>
      <c r="K1327" s="21">
        <v>5061.25</v>
      </c>
      <c r="L1327" s="21">
        <v>15183.75</v>
      </c>
      <c r="M1327" s="21">
        <v>11560.82</v>
      </c>
      <c r="N1327" s="21">
        <v>3622.93</v>
      </c>
      <c r="O1327" t="s">
        <v>91</v>
      </c>
      <c r="P1327" s="21">
        <v>1014.92</v>
      </c>
      <c r="Q1327" t="s">
        <v>30</v>
      </c>
      <c r="R1327" t="s">
        <v>31</v>
      </c>
      <c r="S1327">
        <v>5</v>
      </c>
      <c r="T1327">
        <v>1</v>
      </c>
      <c r="U1327" t="s">
        <v>32</v>
      </c>
      <c r="V1327" t="s">
        <v>33</v>
      </c>
      <c r="W1327">
        <v>3</v>
      </c>
    </row>
    <row r="1328" spans="1:23" x14ac:dyDescent="0.25">
      <c r="A1328" t="s">
        <v>1943</v>
      </c>
      <c r="B1328" s="1">
        <v>45809</v>
      </c>
      <c r="C1328" t="s">
        <v>514</v>
      </c>
      <c r="D1328" t="s">
        <v>124</v>
      </c>
      <c r="E1328" t="s">
        <v>46</v>
      </c>
      <c r="F1328" t="s">
        <v>53</v>
      </c>
      <c r="G1328" t="s">
        <v>54</v>
      </c>
      <c r="H1328">
        <v>1</v>
      </c>
      <c r="I1328" s="21">
        <v>114564</v>
      </c>
      <c r="J1328">
        <v>10</v>
      </c>
      <c r="K1328" s="21">
        <v>11456.4</v>
      </c>
      <c r="L1328" s="21">
        <v>103107.6</v>
      </c>
      <c r="M1328" s="21">
        <v>66181.8</v>
      </c>
      <c r="N1328" s="21">
        <v>36925.800000000003</v>
      </c>
      <c r="O1328" t="s">
        <v>49</v>
      </c>
      <c r="P1328" s="21">
        <v>354.25</v>
      </c>
      <c r="Q1328" t="s">
        <v>83</v>
      </c>
      <c r="R1328" t="s">
        <v>41</v>
      </c>
      <c r="S1328">
        <v>2</v>
      </c>
      <c r="T1328">
        <v>1</v>
      </c>
      <c r="U1328" t="s">
        <v>32</v>
      </c>
      <c r="V1328" t="s">
        <v>33</v>
      </c>
      <c r="W1328">
        <v>4</v>
      </c>
    </row>
    <row r="1329" spans="1:23" x14ac:dyDescent="0.25">
      <c r="A1329" t="s">
        <v>1944</v>
      </c>
      <c r="B1329" s="1">
        <v>45825</v>
      </c>
      <c r="C1329" t="s">
        <v>1386</v>
      </c>
      <c r="D1329" t="s">
        <v>97</v>
      </c>
      <c r="E1329" t="s">
        <v>26</v>
      </c>
      <c r="F1329" t="s">
        <v>86</v>
      </c>
      <c r="G1329" t="s">
        <v>87</v>
      </c>
      <c r="H1329">
        <v>2</v>
      </c>
      <c r="I1329" s="21">
        <v>73708</v>
      </c>
      <c r="J1329">
        <v>10</v>
      </c>
      <c r="K1329" s="21">
        <v>14741.6</v>
      </c>
      <c r="L1329" s="21">
        <v>132674.4</v>
      </c>
      <c r="M1329" s="21">
        <v>74572.61</v>
      </c>
      <c r="N1329" s="21">
        <v>58101.79</v>
      </c>
      <c r="O1329" t="s">
        <v>60</v>
      </c>
      <c r="P1329" s="21">
        <v>2435.27</v>
      </c>
      <c r="Q1329" t="s">
        <v>73</v>
      </c>
      <c r="R1329" t="s">
        <v>31</v>
      </c>
      <c r="S1329">
        <v>5</v>
      </c>
      <c r="T1329">
        <v>4</v>
      </c>
      <c r="U1329" t="s">
        <v>32</v>
      </c>
      <c r="V1329" t="s">
        <v>33</v>
      </c>
      <c r="W1329">
        <v>1</v>
      </c>
    </row>
    <row r="1330" spans="1:23" x14ac:dyDescent="0.25">
      <c r="A1330" t="s">
        <v>1945</v>
      </c>
      <c r="B1330" s="1">
        <v>45870</v>
      </c>
      <c r="C1330" t="s">
        <v>480</v>
      </c>
      <c r="D1330" t="s">
        <v>90</v>
      </c>
      <c r="E1330" t="s">
        <v>36</v>
      </c>
      <c r="F1330" t="s">
        <v>53</v>
      </c>
      <c r="G1330" t="s">
        <v>59</v>
      </c>
      <c r="H1330">
        <v>1</v>
      </c>
      <c r="I1330" s="21">
        <v>28973</v>
      </c>
      <c r="J1330">
        <v>15</v>
      </c>
      <c r="K1330" s="21">
        <v>4345.95</v>
      </c>
      <c r="L1330" s="21">
        <v>24627.05</v>
      </c>
      <c r="M1330" s="21">
        <v>17107.27</v>
      </c>
      <c r="N1330" s="21">
        <v>7519.78</v>
      </c>
      <c r="O1330" t="s">
        <v>49</v>
      </c>
      <c r="P1330" s="21">
        <v>332.5</v>
      </c>
      <c r="Q1330" t="s">
        <v>30</v>
      </c>
      <c r="R1330" t="s">
        <v>31</v>
      </c>
      <c r="S1330">
        <v>5</v>
      </c>
      <c r="T1330">
        <v>2</v>
      </c>
      <c r="U1330" t="s">
        <v>32</v>
      </c>
      <c r="V1330" t="s">
        <v>33</v>
      </c>
      <c r="W1330">
        <v>3</v>
      </c>
    </row>
    <row r="1331" spans="1:23" x14ac:dyDescent="0.25">
      <c r="A1331" t="s">
        <v>1946</v>
      </c>
      <c r="B1331" s="1">
        <v>45747</v>
      </c>
      <c r="C1331" t="s">
        <v>958</v>
      </c>
      <c r="D1331" t="s">
        <v>90</v>
      </c>
      <c r="E1331" t="s">
        <v>26</v>
      </c>
      <c r="F1331" t="s">
        <v>37</v>
      </c>
      <c r="G1331" t="s">
        <v>38</v>
      </c>
      <c r="H1331">
        <v>3</v>
      </c>
      <c r="I1331" s="21">
        <v>7502</v>
      </c>
      <c r="J1331">
        <v>0</v>
      </c>
      <c r="K1331" s="21">
        <v>0</v>
      </c>
      <c r="L1331" s="21">
        <v>22506</v>
      </c>
      <c r="M1331" s="21">
        <v>13788.81</v>
      </c>
      <c r="N1331" s="21">
        <v>8717.19</v>
      </c>
      <c r="O1331" t="s">
        <v>29</v>
      </c>
      <c r="P1331" s="21">
        <v>1180.6099999999999</v>
      </c>
      <c r="Q1331" t="s">
        <v>73</v>
      </c>
      <c r="R1331" t="s">
        <v>41</v>
      </c>
      <c r="S1331">
        <v>2</v>
      </c>
      <c r="T1331">
        <v>3</v>
      </c>
      <c r="U1331" t="s">
        <v>56</v>
      </c>
      <c r="V1331" t="s">
        <v>33</v>
      </c>
      <c r="W1331">
        <v>3</v>
      </c>
    </row>
    <row r="1332" spans="1:23" x14ac:dyDescent="0.25">
      <c r="A1332" t="s">
        <v>1947</v>
      </c>
      <c r="B1332" s="1">
        <v>45760</v>
      </c>
      <c r="C1332" t="s">
        <v>362</v>
      </c>
      <c r="D1332" t="s">
        <v>45</v>
      </c>
      <c r="E1332" t="s">
        <v>46</v>
      </c>
      <c r="F1332" t="s">
        <v>86</v>
      </c>
      <c r="G1332" t="s">
        <v>127</v>
      </c>
      <c r="H1332">
        <v>2</v>
      </c>
      <c r="I1332" s="21">
        <v>62003</v>
      </c>
      <c r="J1332">
        <v>0</v>
      </c>
      <c r="K1332" s="21">
        <v>0</v>
      </c>
      <c r="L1332" s="21">
        <v>124006</v>
      </c>
      <c r="M1332" s="21">
        <v>82667.570000000007</v>
      </c>
      <c r="N1332" s="21">
        <v>41338.43</v>
      </c>
      <c r="O1332" t="s">
        <v>39</v>
      </c>
      <c r="P1332" s="21">
        <v>702.85</v>
      </c>
      <c r="Q1332" t="s">
        <v>30</v>
      </c>
      <c r="R1332" t="s">
        <v>41</v>
      </c>
      <c r="S1332">
        <v>2</v>
      </c>
      <c r="T1332">
        <v>5</v>
      </c>
      <c r="U1332" t="s">
        <v>56</v>
      </c>
      <c r="V1332" t="s">
        <v>33</v>
      </c>
      <c r="W1332">
        <v>4</v>
      </c>
    </row>
    <row r="1333" spans="1:23" x14ac:dyDescent="0.25">
      <c r="A1333" t="s">
        <v>1948</v>
      </c>
      <c r="B1333" s="1">
        <v>45725</v>
      </c>
      <c r="C1333" t="s">
        <v>1891</v>
      </c>
      <c r="D1333" t="s">
        <v>25</v>
      </c>
      <c r="E1333" t="s">
        <v>36</v>
      </c>
      <c r="F1333" t="s">
        <v>37</v>
      </c>
      <c r="G1333" t="s">
        <v>161</v>
      </c>
      <c r="H1333">
        <v>1</v>
      </c>
      <c r="I1333" s="21">
        <v>13653</v>
      </c>
      <c r="J1333">
        <v>20</v>
      </c>
      <c r="K1333" s="21">
        <v>2730.6</v>
      </c>
      <c r="L1333" s="21">
        <v>10922.4</v>
      </c>
      <c r="M1333" s="21">
        <v>6695.99</v>
      </c>
      <c r="N1333" s="21">
        <v>4226.41</v>
      </c>
      <c r="O1333" t="s">
        <v>29</v>
      </c>
      <c r="P1333" s="21">
        <v>1980.25</v>
      </c>
      <c r="Q1333" t="s">
        <v>68</v>
      </c>
      <c r="R1333" t="s">
        <v>41</v>
      </c>
      <c r="S1333">
        <v>2</v>
      </c>
      <c r="T1333">
        <v>4</v>
      </c>
      <c r="U1333" t="s">
        <v>32</v>
      </c>
      <c r="V1333" t="s">
        <v>42</v>
      </c>
    </row>
    <row r="1334" spans="1:23" x14ac:dyDescent="0.25">
      <c r="A1334" t="s">
        <v>1949</v>
      </c>
      <c r="B1334" s="1">
        <v>45934</v>
      </c>
      <c r="C1334" t="s">
        <v>1023</v>
      </c>
      <c r="D1334" t="s">
        <v>79</v>
      </c>
      <c r="E1334" t="s">
        <v>26</v>
      </c>
      <c r="F1334" t="s">
        <v>53</v>
      </c>
      <c r="G1334" t="s">
        <v>268</v>
      </c>
      <c r="H1334">
        <v>3</v>
      </c>
      <c r="I1334" s="21">
        <v>95755</v>
      </c>
      <c r="J1334">
        <v>0</v>
      </c>
      <c r="K1334" s="21">
        <v>0</v>
      </c>
      <c r="L1334" s="21">
        <v>287265</v>
      </c>
      <c r="M1334" s="21">
        <v>181270.88</v>
      </c>
      <c r="N1334" s="21">
        <v>105994.12</v>
      </c>
      <c r="O1334" t="s">
        <v>39</v>
      </c>
      <c r="P1334" s="21">
        <v>1464.98</v>
      </c>
      <c r="Q1334" t="s">
        <v>73</v>
      </c>
      <c r="R1334" t="s">
        <v>41</v>
      </c>
      <c r="S1334">
        <v>2</v>
      </c>
      <c r="T1334">
        <v>1</v>
      </c>
      <c r="U1334" t="s">
        <v>32</v>
      </c>
      <c r="V1334" t="s">
        <v>33</v>
      </c>
      <c r="W1334">
        <v>1</v>
      </c>
    </row>
    <row r="1335" spans="1:23" x14ac:dyDescent="0.25">
      <c r="A1335" t="s">
        <v>1950</v>
      </c>
      <c r="B1335" s="1">
        <v>45845</v>
      </c>
      <c r="C1335" t="s">
        <v>945</v>
      </c>
      <c r="D1335" t="s">
        <v>71</v>
      </c>
      <c r="E1335" t="s">
        <v>46</v>
      </c>
      <c r="F1335" t="s">
        <v>37</v>
      </c>
      <c r="G1335" t="s">
        <v>161</v>
      </c>
      <c r="H1335">
        <v>1</v>
      </c>
      <c r="I1335" s="21">
        <v>29185</v>
      </c>
      <c r="J1335">
        <v>20</v>
      </c>
      <c r="K1335" s="21">
        <v>5837</v>
      </c>
      <c r="L1335" s="21">
        <v>23348</v>
      </c>
      <c r="M1335" s="21">
        <v>17311.03</v>
      </c>
      <c r="N1335" s="21">
        <v>6036.97</v>
      </c>
      <c r="O1335" t="s">
        <v>60</v>
      </c>
      <c r="P1335" s="21">
        <v>481.36</v>
      </c>
      <c r="Q1335" t="s">
        <v>40</v>
      </c>
      <c r="R1335" t="s">
        <v>31</v>
      </c>
      <c r="S1335">
        <v>5</v>
      </c>
      <c r="T1335">
        <v>7</v>
      </c>
      <c r="U1335" t="s">
        <v>56</v>
      </c>
      <c r="V1335" t="s">
        <v>33</v>
      </c>
      <c r="W1335">
        <v>5</v>
      </c>
    </row>
    <row r="1336" spans="1:23" x14ac:dyDescent="0.25">
      <c r="A1336" t="s">
        <v>1951</v>
      </c>
      <c r="B1336" s="1">
        <v>45929</v>
      </c>
      <c r="C1336" t="s">
        <v>1952</v>
      </c>
      <c r="D1336" t="s">
        <v>79</v>
      </c>
      <c r="E1336" t="s">
        <v>26</v>
      </c>
      <c r="F1336" t="s">
        <v>86</v>
      </c>
      <c r="G1336" t="s">
        <v>110</v>
      </c>
      <c r="H1336">
        <v>2</v>
      </c>
      <c r="I1336" s="21">
        <v>61665</v>
      </c>
      <c r="J1336">
        <v>0</v>
      </c>
      <c r="K1336" s="21">
        <v>0</v>
      </c>
      <c r="L1336" s="21">
        <v>123330</v>
      </c>
      <c r="M1336" s="21">
        <v>79042.31</v>
      </c>
      <c r="N1336" s="21">
        <v>44287.69</v>
      </c>
      <c r="O1336" t="s">
        <v>49</v>
      </c>
      <c r="P1336" s="21">
        <v>281.13</v>
      </c>
      <c r="Q1336" t="s">
        <v>83</v>
      </c>
      <c r="R1336" t="s">
        <v>31</v>
      </c>
      <c r="S1336">
        <v>5</v>
      </c>
      <c r="T1336">
        <v>5</v>
      </c>
      <c r="U1336" t="s">
        <v>32</v>
      </c>
      <c r="V1336" t="s">
        <v>33</v>
      </c>
      <c r="W1336">
        <v>1</v>
      </c>
    </row>
    <row r="1337" spans="1:23" x14ac:dyDescent="0.25">
      <c r="A1337" t="s">
        <v>1953</v>
      </c>
      <c r="B1337" s="1">
        <v>45914</v>
      </c>
      <c r="C1337" t="s">
        <v>1954</v>
      </c>
      <c r="D1337" t="s">
        <v>79</v>
      </c>
      <c r="E1337" t="s">
        <v>36</v>
      </c>
      <c r="F1337" t="s">
        <v>27</v>
      </c>
      <c r="G1337" t="s">
        <v>28</v>
      </c>
      <c r="H1337">
        <v>1</v>
      </c>
      <c r="I1337" s="21">
        <v>12460</v>
      </c>
      <c r="J1337">
        <v>15</v>
      </c>
      <c r="K1337" s="21">
        <v>1869</v>
      </c>
      <c r="L1337" s="21">
        <v>10591</v>
      </c>
      <c r="M1337" s="21">
        <v>7824.03</v>
      </c>
      <c r="N1337" s="21">
        <v>2766.97</v>
      </c>
      <c r="O1337" t="s">
        <v>49</v>
      </c>
      <c r="P1337" s="21">
        <v>303.10000000000002</v>
      </c>
      <c r="Q1337" t="s">
        <v>30</v>
      </c>
      <c r="R1337" t="s">
        <v>41</v>
      </c>
      <c r="S1337">
        <v>2</v>
      </c>
      <c r="T1337">
        <v>1</v>
      </c>
      <c r="U1337" t="s">
        <v>32</v>
      </c>
      <c r="V1337" t="s">
        <v>33</v>
      </c>
      <c r="W1337">
        <v>5</v>
      </c>
    </row>
    <row r="1338" spans="1:23" x14ac:dyDescent="0.25">
      <c r="A1338" t="s">
        <v>1955</v>
      </c>
      <c r="B1338" s="1">
        <v>45797</v>
      </c>
      <c r="C1338" t="s">
        <v>286</v>
      </c>
      <c r="D1338" t="s">
        <v>154</v>
      </c>
      <c r="E1338" t="s">
        <v>36</v>
      </c>
      <c r="F1338" t="s">
        <v>27</v>
      </c>
      <c r="G1338" t="s">
        <v>72</v>
      </c>
      <c r="H1338">
        <v>3</v>
      </c>
      <c r="I1338" s="21">
        <v>25272</v>
      </c>
      <c r="J1338">
        <v>5</v>
      </c>
      <c r="K1338" s="21">
        <v>3790.8</v>
      </c>
      <c r="L1338" s="21">
        <v>72025.2</v>
      </c>
      <c r="M1338" s="21">
        <v>54600.55</v>
      </c>
      <c r="N1338" s="21">
        <v>17424.650000000001</v>
      </c>
      <c r="O1338" t="s">
        <v>29</v>
      </c>
      <c r="P1338" s="21">
        <v>2412.0100000000002</v>
      </c>
      <c r="Q1338" t="s">
        <v>73</v>
      </c>
      <c r="R1338" t="s">
        <v>31</v>
      </c>
      <c r="S1338">
        <v>5</v>
      </c>
      <c r="T1338">
        <v>3</v>
      </c>
      <c r="U1338" t="s">
        <v>32</v>
      </c>
      <c r="V1338" t="s">
        <v>33</v>
      </c>
      <c r="W1338">
        <v>4</v>
      </c>
    </row>
    <row r="1339" spans="1:23" x14ac:dyDescent="0.25">
      <c r="A1339" t="s">
        <v>1956</v>
      </c>
      <c r="B1339" s="1">
        <v>45742</v>
      </c>
      <c r="C1339" t="s">
        <v>199</v>
      </c>
      <c r="D1339" t="s">
        <v>71</v>
      </c>
      <c r="E1339" t="s">
        <v>36</v>
      </c>
      <c r="F1339" t="s">
        <v>53</v>
      </c>
      <c r="G1339" t="s">
        <v>82</v>
      </c>
      <c r="H1339">
        <v>1</v>
      </c>
      <c r="I1339" s="21">
        <v>33721</v>
      </c>
      <c r="J1339">
        <v>0</v>
      </c>
      <c r="K1339" s="21">
        <v>0</v>
      </c>
      <c r="L1339" s="21">
        <v>33721</v>
      </c>
      <c r="M1339" s="21">
        <v>24007.38</v>
      </c>
      <c r="N1339" s="21">
        <v>9713.6200000000008</v>
      </c>
      <c r="O1339" t="s">
        <v>49</v>
      </c>
      <c r="P1339" s="21">
        <v>245.98</v>
      </c>
      <c r="Q1339" t="s">
        <v>83</v>
      </c>
      <c r="R1339" t="s">
        <v>41</v>
      </c>
      <c r="S1339">
        <v>2</v>
      </c>
      <c r="T1339">
        <v>1</v>
      </c>
      <c r="U1339" t="s">
        <v>32</v>
      </c>
      <c r="V1339" t="s">
        <v>33</v>
      </c>
      <c r="W1339">
        <v>4</v>
      </c>
    </row>
    <row r="1340" spans="1:23" x14ac:dyDescent="0.25">
      <c r="A1340" t="s">
        <v>1957</v>
      </c>
      <c r="B1340" s="1">
        <v>45789</v>
      </c>
      <c r="C1340" t="s">
        <v>123</v>
      </c>
      <c r="D1340" t="s">
        <v>71</v>
      </c>
      <c r="E1340" t="s">
        <v>46</v>
      </c>
      <c r="F1340" t="s">
        <v>53</v>
      </c>
      <c r="G1340" t="s">
        <v>268</v>
      </c>
      <c r="H1340">
        <v>2</v>
      </c>
      <c r="I1340" s="21">
        <v>13203</v>
      </c>
      <c r="J1340">
        <v>10</v>
      </c>
      <c r="K1340" s="21">
        <v>2640.6</v>
      </c>
      <c r="L1340" s="21">
        <v>23765.4</v>
      </c>
      <c r="M1340" s="21">
        <v>17008.990000000002</v>
      </c>
      <c r="N1340" s="21">
        <v>6756.41</v>
      </c>
      <c r="O1340" t="s">
        <v>91</v>
      </c>
      <c r="P1340" s="21">
        <v>2269.1799999999998</v>
      </c>
      <c r="Q1340" t="s">
        <v>68</v>
      </c>
      <c r="R1340" t="s">
        <v>31</v>
      </c>
      <c r="S1340">
        <v>5</v>
      </c>
      <c r="T1340">
        <v>0</v>
      </c>
      <c r="U1340" t="s">
        <v>32</v>
      </c>
      <c r="V1340" t="s">
        <v>42</v>
      </c>
    </row>
    <row r="1341" spans="1:23" x14ac:dyDescent="0.25">
      <c r="A1341" t="s">
        <v>1958</v>
      </c>
      <c r="B1341" s="1">
        <v>45904</v>
      </c>
      <c r="C1341" t="s">
        <v>1421</v>
      </c>
      <c r="D1341" t="s">
        <v>124</v>
      </c>
      <c r="E1341" t="s">
        <v>26</v>
      </c>
      <c r="F1341" t="s">
        <v>27</v>
      </c>
      <c r="G1341" t="s">
        <v>113</v>
      </c>
      <c r="H1341">
        <v>2</v>
      </c>
      <c r="I1341" s="21">
        <v>18322</v>
      </c>
      <c r="J1341">
        <v>10</v>
      </c>
      <c r="K1341" s="21">
        <v>3664.4</v>
      </c>
      <c r="L1341" s="21">
        <v>32979.599999999999</v>
      </c>
      <c r="M1341" s="21">
        <v>19471.96</v>
      </c>
      <c r="N1341" s="21">
        <v>13507.64</v>
      </c>
      <c r="O1341" t="s">
        <v>60</v>
      </c>
      <c r="P1341" s="21">
        <v>1128.29</v>
      </c>
      <c r="Q1341" t="s">
        <v>73</v>
      </c>
      <c r="R1341" t="s">
        <v>41</v>
      </c>
      <c r="S1341">
        <v>2</v>
      </c>
      <c r="T1341">
        <v>2</v>
      </c>
      <c r="U1341" t="s">
        <v>32</v>
      </c>
      <c r="V1341" t="s">
        <v>33</v>
      </c>
      <c r="W1341">
        <v>5</v>
      </c>
    </row>
    <row r="1342" spans="1:23" x14ac:dyDescent="0.25">
      <c r="A1342" t="s">
        <v>1959</v>
      </c>
      <c r="B1342" s="1">
        <v>45809</v>
      </c>
      <c r="C1342" t="s">
        <v>274</v>
      </c>
      <c r="D1342" t="s">
        <v>124</v>
      </c>
      <c r="E1342" t="s">
        <v>26</v>
      </c>
      <c r="F1342" t="s">
        <v>86</v>
      </c>
      <c r="G1342" t="s">
        <v>180</v>
      </c>
      <c r="H1342">
        <v>1</v>
      </c>
      <c r="I1342" s="21">
        <v>57832</v>
      </c>
      <c r="J1342">
        <v>10</v>
      </c>
      <c r="K1342" s="21">
        <v>5783.2</v>
      </c>
      <c r="L1342" s="21">
        <v>52048.800000000003</v>
      </c>
      <c r="M1342" s="21">
        <v>30595.87</v>
      </c>
      <c r="N1342" s="21">
        <v>21452.93</v>
      </c>
      <c r="O1342" t="s">
        <v>91</v>
      </c>
      <c r="P1342" s="21">
        <v>1464.05</v>
      </c>
      <c r="Q1342" t="s">
        <v>68</v>
      </c>
      <c r="R1342" t="s">
        <v>31</v>
      </c>
      <c r="S1342">
        <v>5</v>
      </c>
      <c r="T1342">
        <v>5</v>
      </c>
      <c r="U1342" t="s">
        <v>32</v>
      </c>
      <c r="V1342" t="s">
        <v>33</v>
      </c>
      <c r="W1342">
        <v>1</v>
      </c>
    </row>
    <row r="1343" spans="1:23" x14ac:dyDescent="0.25">
      <c r="A1343" t="s">
        <v>1960</v>
      </c>
      <c r="B1343" s="1">
        <v>45831</v>
      </c>
      <c r="C1343" t="s">
        <v>1961</v>
      </c>
      <c r="D1343" t="s">
        <v>124</v>
      </c>
      <c r="E1343" t="s">
        <v>26</v>
      </c>
      <c r="F1343" t="s">
        <v>27</v>
      </c>
      <c r="G1343" t="s">
        <v>76</v>
      </c>
      <c r="H1343">
        <v>2</v>
      </c>
      <c r="I1343" s="21">
        <v>23565</v>
      </c>
      <c r="J1343">
        <v>10</v>
      </c>
      <c r="K1343" s="21">
        <v>4713</v>
      </c>
      <c r="L1343" s="21">
        <v>42417</v>
      </c>
      <c r="M1343" s="21">
        <v>30002.18</v>
      </c>
      <c r="N1343" s="21">
        <v>12414.82</v>
      </c>
      <c r="O1343" t="s">
        <v>55</v>
      </c>
      <c r="P1343" s="21">
        <v>1776.21</v>
      </c>
      <c r="Q1343" t="s">
        <v>30</v>
      </c>
      <c r="R1343" t="s">
        <v>31</v>
      </c>
      <c r="S1343">
        <v>5</v>
      </c>
      <c r="T1343">
        <v>5</v>
      </c>
      <c r="U1343" t="s">
        <v>32</v>
      </c>
      <c r="V1343" t="s">
        <v>33</v>
      </c>
      <c r="W1343">
        <v>4</v>
      </c>
    </row>
    <row r="1344" spans="1:23" x14ac:dyDescent="0.25">
      <c r="A1344" t="s">
        <v>1962</v>
      </c>
      <c r="B1344" s="1">
        <v>45716</v>
      </c>
      <c r="C1344" t="s">
        <v>150</v>
      </c>
      <c r="D1344" t="s">
        <v>45</v>
      </c>
      <c r="E1344" t="s">
        <v>46</v>
      </c>
      <c r="F1344" t="s">
        <v>86</v>
      </c>
      <c r="G1344" t="s">
        <v>180</v>
      </c>
      <c r="H1344">
        <v>3</v>
      </c>
      <c r="I1344" s="21">
        <v>48385</v>
      </c>
      <c r="J1344">
        <v>10</v>
      </c>
      <c r="K1344" s="21">
        <v>14515.5</v>
      </c>
      <c r="L1344" s="21">
        <v>130639.5</v>
      </c>
      <c r="M1344" s="21">
        <v>83959.95</v>
      </c>
      <c r="N1344" s="21">
        <v>46679.55</v>
      </c>
      <c r="O1344" t="s">
        <v>55</v>
      </c>
      <c r="P1344" s="21">
        <v>2427.65</v>
      </c>
      <c r="Q1344" t="s">
        <v>73</v>
      </c>
      <c r="R1344" t="s">
        <v>31</v>
      </c>
      <c r="S1344">
        <v>5</v>
      </c>
      <c r="T1344">
        <v>6</v>
      </c>
      <c r="U1344" t="s">
        <v>32</v>
      </c>
      <c r="V1344" t="s">
        <v>50</v>
      </c>
      <c r="W1344">
        <v>5</v>
      </c>
    </row>
    <row r="1345" spans="1:23" x14ac:dyDescent="0.25">
      <c r="A1345" t="s">
        <v>1963</v>
      </c>
      <c r="B1345" s="1">
        <v>45897</v>
      </c>
      <c r="C1345" t="s">
        <v>1558</v>
      </c>
      <c r="D1345" t="s">
        <v>67</v>
      </c>
      <c r="E1345" t="s">
        <v>46</v>
      </c>
      <c r="F1345" t="s">
        <v>86</v>
      </c>
      <c r="G1345" t="s">
        <v>110</v>
      </c>
      <c r="H1345">
        <v>3</v>
      </c>
      <c r="I1345" s="21">
        <v>6104</v>
      </c>
      <c r="J1345">
        <v>5</v>
      </c>
      <c r="K1345" s="21">
        <v>915.6</v>
      </c>
      <c r="L1345" s="21">
        <v>17396.400000000001</v>
      </c>
      <c r="M1345" s="21">
        <v>14061.68</v>
      </c>
      <c r="N1345" s="21">
        <v>3334.72</v>
      </c>
      <c r="O1345" t="s">
        <v>91</v>
      </c>
      <c r="P1345" s="21">
        <v>834.78</v>
      </c>
      <c r="Q1345" t="s">
        <v>83</v>
      </c>
      <c r="R1345" t="s">
        <v>41</v>
      </c>
      <c r="S1345">
        <v>2</v>
      </c>
      <c r="T1345">
        <v>4</v>
      </c>
      <c r="U1345" t="s">
        <v>56</v>
      </c>
      <c r="V1345" t="s">
        <v>33</v>
      </c>
      <c r="W1345">
        <v>3</v>
      </c>
    </row>
    <row r="1346" spans="1:23" x14ac:dyDescent="0.25">
      <c r="A1346" t="s">
        <v>1964</v>
      </c>
      <c r="B1346" s="1">
        <v>45696</v>
      </c>
      <c r="C1346" t="s">
        <v>717</v>
      </c>
      <c r="D1346" t="s">
        <v>45</v>
      </c>
      <c r="E1346" t="s">
        <v>46</v>
      </c>
      <c r="F1346" t="s">
        <v>86</v>
      </c>
      <c r="G1346" t="s">
        <v>127</v>
      </c>
      <c r="H1346">
        <v>1</v>
      </c>
      <c r="I1346" s="21">
        <v>83117</v>
      </c>
      <c r="J1346">
        <v>25</v>
      </c>
      <c r="K1346" s="21">
        <v>20779.25</v>
      </c>
      <c r="L1346" s="21">
        <v>62337.75</v>
      </c>
      <c r="M1346" s="21">
        <v>42138.47</v>
      </c>
      <c r="N1346" s="21">
        <v>20199.28</v>
      </c>
      <c r="O1346" t="s">
        <v>91</v>
      </c>
      <c r="P1346" s="21">
        <v>508.23</v>
      </c>
      <c r="Q1346" t="s">
        <v>83</v>
      </c>
      <c r="R1346" t="s">
        <v>31</v>
      </c>
      <c r="S1346">
        <v>5</v>
      </c>
      <c r="T1346">
        <v>6</v>
      </c>
      <c r="U1346" t="s">
        <v>56</v>
      </c>
      <c r="V1346" t="s">
        <v>33</v>
      </c>
      <c r="W1346">
        <v>1</v>
      </c>
    </row>
    <row r="1347" spans="1:23" x14ac:dyDescent="0.25">
      <c r="A1347" t="s">
        <v>1965</v>
      </c>
      <c r="B1347" s="1">
        <v>45730</v>
      </c>
      <c r="C1347" t="s">
        <v>945</v>
      </c>
      <c r="D1347" t="s">
        <v>25</v>
      </c>
      <c r="E1347" t="s">
        <v>46</v>
      </c>
      <c r="F1347" t="s">
        <v>86</v>
      </c>
      <c r="G1347" t="s">
        <v>180</v>
      </c>
      <c r="H1347">
        <v>1</v>
      </c>
      <c r="I1347" s="21">
        <v>18420</v>
      </c>
      <c r="J1347">
        <v>0</v>
      </c>
      <c r="K1347" s="21">
        <v>0</v>
      </c>
      <c r="L1347" s="21">
        <v>18420</v>
      </c>
      <c r="M1347" s="21">
        <v>13604.25</v>
      </c>
      <c r="N1347" s="21">
        <v>4815.75</v>
      </c>
      <c r="O1347" t="s">
        <v>39</v>
      </c>
      <c r="P1347" s="21">
        <v>429.78</v>
      </c>
      <c r="Q1347" t="s">
        <v>40</v>
      </c>
      <c r="R1347" t="s">
        <v>31</v>
      </c>
      <c r="S1347">
        <v>5</v>
      </c>
      <c r="T1347">
        <v>2</v>
      </c>
      <c r="U1347" t="s">
        <v>32</v>
      </c>
      <c r="V1347" t="s">
        <v>33</v>
      </c>
      <c r="W1347">
        <v>1</v>
      </c>
    </row>
    <row r="1348" spans="1:23" x14ac:dyDescent="0.25">
      <c r="A1348" t="s">
        <v>1966</v>
      </c>
      <c r="B1348" s="1">
        <v>45773</v>
      </c>
      <c r="C1348" t="s">
        <v>758</v>
      </c>
      <c r="D1348" t="s">
        <v>63</v>
      </c>
      <c r="E1348" t="s">
        <v>26</v>
      </c>
      <c r="F1348" t="s">
        <v>27</v>
      </c>
      <c r="G1348" t="s">
        <v>76</v>
      </c>
      <c r="H1348">
        <v>1</v>
      </c>
      <c r="I1348" s="21">
        <v>17692</v>
      </c>
      <c r="J1348">
        <v>25</v>
      </c>
      <c r="K1348" s="21">
        <v>4423</v>
      </c>
      <c r="L1348" s="21">
        <v>13269</v>
      </c>
      <c r="M1348" s="21">
        <v>8775.9699999999993</v>
      </c>
      <c r="N1348" s="21">
        <v>4493.03</v>
      </c>
      <c r="O1348" t="s">
        <v>91</v>
      </c>
      <c r="P1348" s="21">
        <v>1317.54</v>
      </c>
      <c r="Q1348" t="s">
        <v>40</v>
      </c>
      <c r="R1348" t="s">
        <v>31</v>
      </c>
      <c r="S1348">
        <v>5</v>
      </c>
      <c r="T1348">
        <v>6</v>
      </c>
      <c r="U1348" t="s">
        <v>32</v>
      </c>
      <c r="V1348" t="s">
        <v>50</v>
      </c>
      <c r="W1348">
        <v>1</v>
      </c>
    </row>
    <row r="1349" spans="1:23" x14ac:dyDescent="0.25">
      <c r="A1349" t="s">
        <v>1967</v>
      </c>
      <c r="B1349" s="1">
        <v>46004</v>
      </c>
      <c r="C1349" t="s">
        <v>792</v>
      </c>
      <c r="D1349" t="s">
        <v>79</v>
      </c>
      <c r="E1349" t="s">
        <v>26</v>
      </c>
      <c r="F1349" t="s">
        <v>53</v>
      </c>
      <c r="G1349" t="s">
        <v>82</v>
      </c>
      <c r="H1349">
        <v>1</v>
      </c>
      <c r="I1349" s="21">
        <v>77747</v>
      </c>
      <c r="J1349">
        <v>10</v>
      </c>
      <c r="K1349" s="21">
        <v>7774.7</v>
      </c>
      <c r="L1349" s="21">
        <v>69972.3</v>
      </c>
      <c r="M1349" s="21">
        <v>52861.71</v>
      </c>
      <c r="N1349" s="21">
        <v>17110.59</v>
      </c>
      <c r="O1349" t="s">
        <v>55</v>
      </c>
      <c r="P1349" s="21">
        <v>1460.21</v>
      </c>
      <c r="Q1349" t="s">
        <v>83</v>
      </c>
      <c r="R1349" t="s">
        <v>41</v>
      </c>
      <c r="S1349">
        <v>2</v>
      </c>
      <c r="T1349">
        <v>3</v>
      </c>
      <c r="U1349" t="s">
        <v>56</v>
      </c>
      <c r="V1349" t="s">
        <v>33</v>
      </c>
      <c r="W1349">
        <v>5</v>
      </c>
    </row>
    <row r="1350" spans="1:23" x14ac:dyDescent="0.25">
      <c r="A1350" t="s">
        <v>1968</v>
      </c>
      <c r="B1350" s="1">
        <v>46003</v>
      </c>
      <c r="C1350" t="s">
        <v>766</v>
      </c>
      <c r="D1350" t="s">
        <v>124</v>
      </c>
      <c r="E1350" t="s">
        <v>36</v>
      </c>
      <c r="F1350" t="s">
        <v>47</v>
      </c>
      <c r="G1350" t="s">
        <v>105</v>
      </c>
      <c r="H1350">
        <v>2</v>
      </c>
      <c r="I1350" s="21">
        <v>24254</v>
      </c>
      <c r="J1350">
        <v>0</v>
      </c>
      <c r="K1350" s="21">
        <v>0</v>
      </c>
      <c r="L1350" s="21">
        <v>48508</v>
      </c>
      <c r="M1350" s="21">
        <v>31973.85</v>
      </c>
      <c r="N1350" s="21">
        <v>16534.150000000001</v>
      </c>
      <c r="O1350" t="s">
        <v>91</v>
      </c>
      <c r="P1350" s="21">
        <v>324.73</v>
      </c>
      <c r="Q1350" t="s">
        <v>40</v>
      </c>
      <c r="R1350" t="s">
        <v>31</v>
      </c>
      <c r="S1350">
        <v>5</v>
      </c>
      <c r="T1350">
        <v>2</v>
      </c>
      <c r="U1350" t="s">
        <v>32</v>
      </c>
      <c r="V1350" t="s">
        <v>33</v>
      </c>
      <c r="W1350">
        <v>2</v>
      </c>
    </row>
    <row r="1351" spans="1:23" x14ac:dyDescent="0.25">
      <c r="A1351" t="s">
        <v>1969</v>
      </c>
      <c r="B1351" s="1">
        <v>45861</v>
      </c>
      <c r="C1351" t="s">
        <v>259</v>
      </c>
      <c r="D1351" t="s">
        <v>90</v>
      </c>
      <c r="E1351" t="s">
        <v>46</v>
      </c>
      <c r="F1351" t="s">
        <v>27</v>
      </c>
      <c r="G1351" t="s">
        <v>72</v>
      </c>
      <c r="H1351">
        <v>2</v>
      </c>
      <c r="I1351" s="21">
        <v>6640</v>
      </c>
      <c r="J1351">
        <v>0</v>
      </c>
      <c r="K1351" s="21">
        <v>0</v>
      </c>
      <c r="L1351" s="21">
        <v>13280</v>
      </c>
      <c r="M1351" s="21">
        <v>7401.92</v>
      </c>
      <c r="N1351" s="21">
        <v>5878.08</v>
      </c>
      <c r="O1351" t="s">
        <v>49</v>
      </c>
      <c r="P1351" s="21">
        <v>96.39</v>
      </c>
      <c r="Q1351" t="s">
        <v>83</v>
      </c>
      <c r="R1351" t="s">
        <v>41</v>
      </c>
      <c r="S1351">
        <v>2</v>
      </c>
      <c r="T1351">
        <v>1</v>
      </c>
      <c r="U1351" t="s">
        <v>32</v>
      </c>
      <c r="V1351" t="s">
        <v>33</v>
      </c>
      <c r="W1351">
        <v>1</v>
      </c>
    </row>
    <row r="1352" spans="1:23" x14ac:dyDescent="0.25">
      <c r="A1352" t="s">
        <v>1970</v>
      </c>
      <c r="B1352" s="1">
        <v>45943</v>
      </c>
      <c r="C1352" t="s">
        <v>1177</v>
      </c>
      <c r="D1352" t="s">
        <v>154</v>
      </c>
      <c r="E1352" t="s">
        <v>46</v>
      </c>
      <c r="F1352" t="s">
        <v>86</v>
      </c>
      <c r="G1352" t="s">
        <v>94</v>
      </c>
      <c r="H1352">
        <v>3</v>
      </c>
      <c r="I1352" s="21">
        <v>32975</v>
      </c>
      <c r="J1352">
        <v>0</v>
      </c>
      <c r="K1352" s="21">
        <v>0</v>
      </c>
      <c r="L1352" s="21">
        <v>98925</v>
      </c>
      <c r="M1352" s="21">
        <v>57846.96</v>
      </c>
      <c r="N1352" s="21">
        <v>41078.04</v>
      </c>
      <c r="O1352" t="s">
        <v>55</v>
      </c>
      <c r="P1352" s="21">
        <v>272.47000000000003</v>
      </c>
      <c r="Q1352" t="s">
        <v>73</v>
      </c>
      <c r="R1352" t="s">
        <v>41</v>
      </c>
      <c r="S1352">
        <v>2</v>
      </c>
      <c r="T1352">
        <v>1</v>
      </c>
      <c r="U1352" t="s">
        <v>32</v>
      </c>
      <c r="V1352" t="s">
        <v>33</v>
      </c>
      <c r="W1352">
        <v>1</v>
      </c>
    </row>
    <row r="1353" spans="1:23" x14ac:dyDescent="0.25">
      <c r="A1353" t="s">
        <v>1971</v>
      </c>
      <c r="B1353" s="1">
        <v>45845</v>
      </c>
      <c r="C1353" t="s">
        <v>1972</v>
      </c>
      <c r="D1353" t="s">
        <v>154</v>
      </c>
      <c r="E1353" t="s">
        <v>46</v>
      </c>
      <c r="F1353" t="s">
        <v>47</v>
      </c>
      <c r="G1353" t="s">
        <v>64</v>
      </c>
      <c r="H1353">
        <v>1</v>
      </c>
      <c r="I1353" s="21">
        <v>49927</v>
      </c>
      <c r="J1353">
        <v>0</v>
      </c>
      <c r="K1353" s="21">
        <v>0</v>
      </c>
      <c r="L1353" s="21">
        <v>49927</v>
      </c>
      <c r="M1353" s="21">
        <v>28994.87</v>
      </c>
      <c r="N1353" s="21">
        <v>20932.13</v>
      </c>
      <c r="O1353" t="s">
        <v>49</v>
      </c>
      <c r="P1353" s="21">
        <v>188.04</v>
      </c>
      <c r="Q1353" t="s">
        <v>68</v>
      </c>
      <c r="R1353" t="s">
        <v>41</v>
      </c>
      <c r="S1353">
        <v>2</v>
      </c>
      <c r="T1353">
        <v>1</v>
      </c>
      <c r="U1353" t="s">
        <v>32</v>
      </c>
      <c r="V1353" t="s">
        <v>33</v>
      </c>
      <c r="W1353">
        <v>5</v>
      </c>
    </row>
    <row r="1354" spans="1:23" x14ac:dyDescent="0.25">
      <c r="A1354" t="s">
        <v>1973</v>
      </c>
      <c r="B1354" s="1">
        <v>45704</v>
      </c>
      <c r="C1354" t="s">
        <v>533</v>
      </c>
      <c r="D1354" t="s">
        <v>124</v>
      </c>
      <c r="E1354" t="s">
        <v>46</v>
      </c>
      <c r="F1354" t="s">
        <v>37</v>
      </c>
      <c r="G1354" t="s">
        <v>224</v>
      </c>
      <c r="H1354">
        <v>1</v>
      </c>
      <c r="I1354" s="21">
        <v>19942</v>
      </c>
      <c r="J1354">
        <v>10</v>
      </c>
      <c r="K1354" s="21">
        <v>1994.2</v>
      </c>
      <c r="L1354" s="21">
        <v>17947.8</v>
      </c>
      <c r="M1354" s="21">
        <v>11497.26</v>
      </c>
      <c r="N1354" s="21">
        <v>6450.54</v>
      </c>
      <c r="O1354" t="s">
        <v>49</v>
      </c>
      <c r="P1354" s="21">
        <v>106.81</v>
      </c>
      <c r="Q1354" t="s">
        <v>73</v>
      </c>
      <c r="R1354" t="s">
        <v>41</v>
      </c>
      <c r="S1354">
        <v>2</v>
      </c>
      <c r="T1354">
        <v>3</v>
      </c>
      <c r="U1354" t="s">
        <v>56</v>
      </c>
      <c r="V1354" t="s">
        <v>33</v>
      </c>
      <c r="W1354">
        <v>3</v>
      </c>
    </row>
    <row r="1355" spans="1:23" x14ac:dyDescent="0.25">
      <c r="A1355" t="s">
        <v>1974</v>
      </c>
      <c r="B1355" s="1">
        <v>45860</v>
      </c>
      <c r="C1355" t="s">
        <v>1975</v>
      </c>
      <c r="D1355" t="s">
        <v>63</v>
      </c>
      <c r="E1355" t="s">
        <v>26</v>
      </c>
      <c r="F1355" t="s">
        <v>47</v>
      </c>
      <c r="G1355" t="s">
        <v>64</v>
      </c>
      <c r="H1355">
        <v>1</v>
      </c>
      <c r="I1355" s="21">
        <v>18354</v>
      </c>
      <c r="J1355">
        <v>15</v>
      </c>
      <c r="K1355" s="21">
        <v>2753.1</v>
      </c>
      <c r="L1355" s="21">
        <v>15600.9</v>
      </c>
      <c r="M1355" s="21">
        <v>10389.23</v>
      </c>
      <c r="N1355" s="21">
        <v>5211.67</v>
      </c>
      <c r="O1355" t="s">
        <v>39</v>
      </c>
      <c r="P1355" s="21">
        <v>325.37</v>
      </c>
      <c r="Q1355" t="s">
        <v>40</v>
      </c>
      <c r="R1355" t="s">
        <v>31</v>
      </c>
      <c r="S1355">
        <v>5</v>
      </c>
      <c r="T1355">
        <v>6</v>
      </c>
      <c r="U1355" t="s">
        <v>56</v>
      </c>
      <c r="V1355" t="s">
        <v>33</v>
      </c>
    </row>
    <row r="1356" spans="1:23" x14ac:dyDescent="0.25">
      <c r="A1356" t="s">
        <v>1976</v>
      </c>
      <c r="B1356" s="1">
        <v>45665</v>
      </c>
      <c r="C1356" t="s">
        <v>1977</v>
      </c>
      <c r="D1356" t="s">
        <v>67</v>
      </c>
      <c r="E1356" t="s">
        <v>26</v>
      </c>
      <c r="F1356" t="s">
        <v>86</v>
      </c>
      <c r="G1356" t="s">
        <v>87</v>
      </c>
      <c r="H1356">
        <v>2</v>
      </c>
      <c r="I1356" s="21">
        <v>42271</v>
      </c>
      <c r="J1356">
        <v>0</v>
      </c>
      <c r="K1356" s="21">
        <v>0</v>
      </c>
      <c r="L1356" s="21">
        <v>84542</v>
      </c>
      <c r="M1356" s="21">
        <v>60692.21</v>
      </c>
      <c r="N1356" s="21">
        <v>23849.79</v>
      </c>
      <c r="O1356" t="s">
        <v>49</v>
      </c>
      <c r="P1356" s="21">
        <v>425.68</v>
      </c>
      <c r="Q1356" t="s">
        <v>83</v>
      </c>
      <c r="R1356" t="s">
        <v>41</v>
      </c>
      <c r="S1356">
        <v>2</v>
      </c>
      <c r="T1356">
        <v>1</v>
      </c>
      <c r="U1356" t="s">
        <v>32</v>
      </c>
      <c r="V1356" t="s">
        <v>33</v>
      </c>
      <c r="W1356">
        <v>4</v>
      </c>
    </row>
    <row r="1357" spans="1:23" x14ac:dyDescent="0.25">
      <c r="A1357" t="s">
        <v>1978</v>
      </c>
      <c r="B1357" s="1">
        <v>45793</v>
      </c>
      <c r="C1357" t="s">
        <v>606</v>
      </c>
      <c r="D1357" t="s">
        <v>71</v>
      </c>
      <c r="E1357" t="s">
        <v>36</v>
      </c>
      <c r="F1357" t="s">
        <v>86</v>
      </c>
      <c r="G1357" t="s">
        <v>87</v>
      </c>
      <c r="H1357">
        <v>2</v>
      </c>
      <c r="I1357" s="21">
        <v>69953</v>
      </c>
      <c r="J1357">
        <v>0</v>
      </c>
      <c r="K1357" s="21">
        <v>0</v>
      </c>
      <c r="L1357" s="21">
        <v>139906</v>
      </c>
      <c r="M1357" s="21">
        <v>90914.78</v>
      </c>
      <c r="N1357" s="21">
        <v>48991.22</v>
      </c>
      <c r="O1357" t="s">
        <v>39</v>
      </c>
      <c r="P1357" s="21">
        <v>2307.08</v>
      </c>
      <c r="Q1357" t="s">
        <v>30</v>
      </c>
      <c r="R1357" t="s">
        <v>31</v>
      </c>
      <c r="S1357">
        <v>5</v>
      </c>
      <c r="T1357">
        <v>1</v>
      </c>
      <c r="U1357" t="s">
        <v>32</v>
      </c>
      <c r="V1357" t="s">
        <v>33</v>
      </c>
      <c r="W1357">
        <v>5</v>
      </c>
    </row>
    <row r="1358" spans="1:23" x14ac:dyDescent="0.25">
      <c r="A1358" t="s">
        <v>1979</v>
      </c>
      <c r="B1358" s="1">
        <v>45932</v>
      </c>
      <c r="C1358" t="s">
        <v>1291</v>
      </c>
      <c r="D1358" t="s">
        <v>67</v>
      </c>
      <c r="E1358" t="s">
        <v>46</v>
      </c>
      <c r="F1358" t="s">
        <v>86</v>
      </c>
      <c r="G1358" t="s">
        <v>180</v>
      </c>
      <c r="H1358">
        <v>1</v>
      </c>
      <c r="I1358" s="21">
        <v>54610</v>
      </c>
      <c r="J1358">
        <v>20</v>
      </c>
      <c r="K1358" s="21">
        <v>10922</v>
      </c>
      <c r="L1358" s="21">
        <v>43688</v>
      </c>
      <c r="M1358" s="21">
        <v>33199.07</v>
      </c>
      <c r="N1358" s="21">
        <v>10488.93</v>
      </c>
      <c r="O1358" t="s">
        <v>39</v>
      </c>
      <c r="P1358" s="21">
        <v>1855.26</v>
      </c>
      <c r="Q1358" t="s">
        <v>68</v>
      </c>
      <c r="R1358" t="s">
        <v>41</v>
      </c>
      <c r="S1358">
        <v>2</v>
      </c>
      <c r="T1358">
        <v>1</v>
      </c>
      <c r="U1358" t="s">
        <v>32</v>
      </c>
      <c r="V1358" t="s">
        <v>33</v>
      </c>
      <c r="W1358">
        <v>4</v>
      </c>
    </row>
    <row r="1359" spans="1:23" x14ac:dyDescent="0.25">
      <c r="A1359" t="s">
        <v>1980</v>
      </c>
      <c r="B1359" s="1">
        <v>45721</v>
      </c>
      <c r="C1359" t="s">
        <v>1981</v>
      </c>
      <c r="D1359" t="s">
        <v>45</v>
      </c>
      <c r="E1359" t="s">
        <v>26</v>
      </c>
      <c r="F1359" t="s">
        <v>86</v>
      </c>
      <c r="G1359" t="s">
        <v>87</v>
      </c>
      <c r="H1359">
        <v>3</v>
      </c>
      <c r="I1359" s="21">
        <v>81574</v>
      </c>
      <c r="J1359">
        <v>5</v>
      </c>
      <c r="K1359" s="21">
        <v>12236.1</v>
      </c>
      <c r="L1359" s="21">
        <v>232485.9</v>
      </c>
      <c r="M1359" s="21">
        <v>137540.03</v>
      </c>
      <c r="N1359" s="21">
        <v>94945.87</v>
      </c>
      <c r="O1359" t="s">
        <v>49</v>
      </c>
      <c r="P1359" s="21">
        <v>465.7</v>
      </c>
      <c r="Q1359" t="s">
        <v>68</v>
      </c>
      <c r="R1359" t="s">
        <v>41</v>
      </c>
      <c r="S1359">
        <v>2</v>
      </c>
      <c r="T1359">
        <v>2</v>
      </c>
      <c r="U1359" t="s">
        <v>32</v>
      </c>
      <c r="V1359" t="s">
        <v>33</v>
      </c>
      <c r="W1359">
        <v>4</v>
      </c>
    </row>
    <row r="1360" spans="1:23" x14ac:dyDescent="0.25">
      <c r="A1360" t="s">
        <v>1982</v>
      </c>
      <c r="B1360" s="1">
        <v>45890</v>
      </c>
      <c r="C1360" t="s">
        <v>772</v>
      </c>
      <c r="D1360" t="s">
        <v>67</v>
      </c>
      <c r="E1360" t="s">
        <v>46</v>
      </c>
      <c r="F1360" t="s">
        <v>86</v>
      </c>
      <c r="G1360" t="s">
        <v>180</v>
      </c>
      <c r="H1360">
        <v>1</v>
      </c>
      <c r="I1360" s="21">
        <v>60833</v>
      </c>
      <c r="J1360">
        <v>5</v>
      </c>
      <c r="K1360" s="21">
        <v>3041.65</v>
      </c>
      <c r="L1360" s="21">
        <v>57791.35</v>
      </c>
      <c r="M1360" s="21">
        <v>36840.54</v>
      </c>
      <c r="N1360" s="21">
        <v>20950.810000000001</v>
      </c>
      <c r="O1360" t="s">
        <v>55</v>
      </c>
      <c r="P1360" s="21">
        <v>1461.62</v>
      </c>
      <c r="Q1360" t="s">
        <v>40</v>
      </c>
      <c r="R1360" t="s">
        <v>41</v>
      </c>
      <c r="S1360">
        <v>2</v>
      </c>
      <c r="T1360">
        <v>1</v>
      </c>
      <c r="U1360" t="s">
        <v>32</v>
      </c>
      <c r="V1360" t="s">
        <v>33</v>
      </c>
      <c r="W1360">
        <v>4</v>
      </c>
    </row>
    <row r="1361" spans="1:23" x14ac:dyDescent="0.25">
      <c r="A1361" t="s">
        <v>1983</v>
      </c>
      <c r="B1361" s="1">
        <v>45846</v>
      </c>
      <c r="C1361" t="s">
        <v>239</v>
      </c>
      <c r="D1361" t="s">
        <v>90</v>
      </c>
      <c r="E1361" t="s">
        <v>26</v>
      </c>
      <c r="F1361" t="s">
        <v>27</v>
      </c>
      <c r="G1361" t="s">
        <v>76</v>
      </c>
      <c r="H1361">
        <v>1</v>
      </c>
      <c r="I1361" s="21">
        <v>22030</v>
      </c>
      <c r="J1361">
        <v>5</v>
      </c>
      <c r="K1361" s="21">
        <v>1101.5</v>
      </c>
      <c r="L1361" s="21">
        <v>20928.5</v>
      </c>
      <c r="M1361" s="21">
        <v>14991</v>
      </c>
      <c r="N1361" s="21">
        <v>5937.5</v>
      </c>
      <c r="O1361" t="s">
        <v>60</v>
      </c>
      <c r="P1361" s="21">
        <v>421.22</v>
      </c>
      <c r="Q1361" t="s">
        <v>68</v>
      </c>
      <c r="R1361" t="s">
        <v>31</v>
      </c>
      <c r="S1361">
        <v>5</v>
      </c>
      <c r="T1361">
        <v>3</v>
      </c>
      <c r="U1361" t="s">
        <v>32</v>
      </c>
      <c r="V1361" t="s">
        <v>42</v>
      </c>
    </row>
    <row r="1362" spans="1:23" x14ac:dyDescent="0.25">
      <c r="A1362" t="s">
        <v>1984</v>
      </c>
      <c r="B1362" s="1">
        <v>46002</v>
      </c>
      <c r="C1362" t="s">
        <v>742</v>
      </c>
      <c r="D1362" t="s">
        <v>71</v>
      </c>
      <c r="E1362" t="s">
        <v>26</v>
      </c>
      <c r="F1362" t="s">
        <v>37</v>
      </c>
      <c r="G1362" t="s">
        <v>224</v>
      </c>
      <c r="H1362">
        <v>2</v>
      </c>
      <c r="I1362" s="21">
        <v>36578</v>
      </c>
      <c r="J1362">
        <v>5</v>
      </c>
      <c r="K1362" s="21">
        <v>3657.8</v>
      </c>
      <c r="L1362" s="21">
        <v>69498.2</v>
      </c>
      <c r="M1362" s="21">
        <v>47118.09</v>
      </c>
      <c r="N1362" s="21">
        <v>22380.11</v>
      </c>
      <c r="O1362" t="s">
        <v>29</v>
      </c>
      <c r="P1362" s="21">
        <v>1789.61</v>
      </c>
      <c r="Q1362" t="s">
        <v>83</v>
      </c>
      <c r="R1362" t="s">
        <v>31</v>
      </c>
      <c r="S1362">
        <v>5</v>
      </c>
      <c r="T1362">
        <v>4</v>
      </c>
      <c r="U1362" t="s">
        <v>32</v>
      </c>
      <c r="V1362" t="s">
        <v>33</v>
      </c>
      <c r="W1362">
        <v>4</v>
      </c>
    </row>
    <row r="1363" spans="1:23" x14ac:dyDescent="0.25">
      <c r="A1363" t="s">
        <v>1985</v>
      </c>
      <c r="B1363" s="1">
        <v>46002</v>
      </c>
      <c r="C1363" t="s">
        <v>223</v>
      </c>
      <c r="D1363" t="s">
        <v>45</v>
      </c>
      <c r="E1363" t="s">
        <v>36</v>
      </c>
      <c r="F1363" t="s">
        <v>53</v>
      </c>
      <c r="G1363" t="s">
        <v>59</v>
      </c>
      <c r="H1363">
        <v>3</v>
      </c>
      <c r="I1363" s="21">
        <v>102268</v>
      </c>
      <c r="J1363">
        <v>10</v>
      </c>
      <c r="K1363" s="21">
        <v>30680.400000000001</v>
      </c>
      <c r="L1363" s="21">
        <v>276123.59999999998</v>
      </c>
      <c r="M1363" s="21">
        <v>194649.75</v>
      </c>
      <c r="N1363" s="21">
        <v>81473.850000000006</v>
      </c>
      <c r="O1363" t="s">
        <v>60</v>
      </c>
      <c r="P1363" s="21">
        <v>2451.81</v>
      </c>
      <c r="Q1363" t="s">
        <v>30</v>
      </c>
      <c r="R1363" t="s">
        <v>31</v>
      </c>
      <c r="S1363">
        <v>5</v>
      </c>
      <c r="T1363">
        <v>6</v>
      </c>
      <c r="U1363" t="s">
        <v>56</v>
      </c>
      <c r="V1363" t="s">
        <v>33</v>
      </c>
      <c r="W1363">
        <v>1</v>
      </c>
    </row>
    <row r="1364" spans="1:23" x14ac:dyDescent="0.25">
      <c r="A1364" t="s">
        <v>1986</v>
      </c>
      <c r="B1364" s="1">
        <v>45792</v>
      </c>
      <c r="C1364" t="s">
        <v>226</v>
      </c>
      <c r="D1364" t="s">
        <v>67</v>
      </c>
      <c r="E1364" t="s">
        <v>46</v>
      </c>
      <c r="F1364" t="s">
        <v>47</v>
      </c>
      <c r="G1364" t="s">
        <v>64</v>
      </c>
      <c r="H1364">
        <v>2</v>
      </c>
      <c r="I1364" s="21">
        <v>16447</v>
      </c>
      <c r="J1364">
        <v>15</v>
      </c>
      <c r="K1364" s="21">
        <v>4934.1000000000004</v>
      </c>
      <c r="L1364" s="21">
        <v>27959.9</v>
      </c>
      <c r="M1364" s="21">
        <v>21737.73</v>
      </c>
      <c r="N1364" s="21">
        <v>6222.17</v>
      </c>
      <c r="O1364" t="s">
        <v>60</v>
      </c>
      <c r="P1364" s="21">
        <v>1132.56</v>
      </c>
      <c r="Q1364" t="s">
        <v>68</v>
      </c>
      <c r="R1364" t="s">
        <v>41</v>
      </c>
      <c r="S1364">
        <v>2</v>
      </c>
      <c r="T1364">
        <v>2</v>
      </c>
      <c r="U1364" t="s">
        <v>32</v>
      </c>
      <c r="V1364" t="s">
        <v>33</v>
      </c>
      <c r="W1364">
        <v>5</v>
      </c>
    </row>
    <row r="1365" spans="1:23" x14ac:dyDescent="0.25">
      <c r="A1365" t="s">
        <v>1987</v>
      </c>
      <c r="B1365" s="1">
        <v>45957</v>
      </c>
      <c r="C1365" t="s">
        <v>1483</v>
      </c>
      <c r="D1365" t="s">
        <v>154</v>
      </c>
      <c r="E1365" t="s">
        <v>36</v>
      </c>
      <c r="F1365" t="s">
        <v>37</v>
      </c>
      <c r="G1365" t="s">
        <v>224</v>
      </c>
      <c r="H1365">
        <v>3</v>
      </c>
      <c r="I1365" s="21">
        <v>18105</v>
      </c>
      <c r="J1365">
        <v>15</v>
      </c>
      <c r="K1365" s="21">
        <v>8147.25</v>
      </c>
      <c r="L1365" s="21">
        <v>46167.75</v>
      </c>
      <c r="M1365" s="21">
        <v>35622.019999999997</v>
      </c>
      <c r="N1365" s="21">
        <v>10545.73</v>
      </c>
      <c r="O1365" t="s">
        <v>49</v>
      </c>
      <c r="P1365" s="21">
        <v>99.43</v>
      </c>
      <c r="Q1365" t="s">
        <v>30</v>
      </c>
      <c r="R1365" t="s">
        <v>31</v>
      </c>
      <c r="S1365">
        <v>5</v>
      </c>
      <c r="T1365">
        <v>3</v>
      </c>
      <c r="U1365" t="s">
        <v>32</v>
      </c>
      <c r="V1365" t="s">
        <v>33</v>
      </c>
      <c r="W1365">
        <v>5</v>
      </c>
    </row>
    <row r="1366" spans="1:23" x14ac:dyDescent="0.25">
      <c r="A1366" t="s">
        <v>1988</v>
      </c>
      <c r="B1366" s="1">
        <v>45853</v>
      </c>
      <c r="C1366" t="s">
        <v>1989</v>
      </c>
      <c r="D1366" t="s">
        <v>67</v>
      </c>
      <c r="E1366" t="s">
        <v>26</v>
      </c>
      <c r="F1366" t="s">
        <v>27</v>
      </c>
      <c r="G1366" t="s">
        <v>72</v>
      </c>
      <c r="H1366">
        <v>1</v>
      </c>
      <c r="I1366" s="21">
        <v>25845</v>
      </c>
      <c r="J1366">
        <v>5</v>
      </c>
      <c r="K1366" s="21">
        <v>1292.25</v>
      </c>
      <c r="L1366" s="21">
        <v>24552.75</v>
      </c>
      <c r="M1366" s="21">
        <v>15682.62</v>
      </c>
      <c r="N1366" s="21">
        <v>8870.1299999999992</v>
      </c>
      <c r="O1366" t="s">
        <v>55</v>
      </c>
      <c r="P1366" s="21">
        <v>441.22</v>
      </c>
      <c r="Q1366" t="s">
        <v>30</v>
      </c>
      <c r="R1366" t="s">
        <v>31</v>
      </c>
      <c r="S1366">
        <v>5</v>
      </c>
      <c r="T1366">
        <v>0</v>
      </c>
      <c r="U1366" t="s">
        <v>32</v>
      </c>
      <c r="V1366" t="s">
        <v>42</v>
      </c>
    </row>
    <row r="1367" spans="1:23" x14ac:dyDescent="0.25">
      <c r="A1367" t="s">
        <v>1990</v>
      </c>
      <c r="B1367" s="1">
        <v>45984</v>
      </c>
      <c r="C1367" t="s">
        <v>1326</v>
      </c>
      <c r="D1367" t="s">
        <v>45</v>
      </c>
      <c r="E1367" t="s">
        <v>46</v>
      </c>
      <c r="F1367" t="s">
        <v>53</v>
      </c>
      <c r="G1367" t="s">
        <v>268</v>
      </c>
      <c r="H1367">
        <v>2</v>
      </c>
      <c r="I1367" s="21">
        <v>41361</v>
      </c>
      <c r="J1367">
        <v>0</v>
      </c>
      <c r="K1367" s="21">
        <v>0</v>
      </c>
      <c r="L1367" s="21">
        <v>82722</v>
      </c>
      <c r="M1367" s="21">
        <v>49845.43</v>
      </c>
      <c r="N1367" s="21">
        <v>32876.57</v>
      </c>
      <c r="O1367" t="s">
        <v>55</v>
      </c>
      <c r="P1367" s="21">
        <v>695.52</v>
      </c>
      <c r="Q1367" t="s">
        <v>30</v>
      </c>
      <c r="R1367" t="s">
        <v>41</v>
      </c>
      <c r="S1367">
        <v>2</v>
      </c>
      <c r="T1367">
        <v>1</v>
      </c>
      <c r="U1367" t="s">
        <v>32</v>
      </c>
      <c r="V1367" t="s">
        <v>33</v>
      </c>
      <c r="W1367">
        <v>3</v>
      </c>
    </row>
    <row r="1368" spans="1:23" x14ac:dyDescent="0.25">
      <c r="A1368" t="s">
        <v>1991</v>
      </c>
      <c r="B1368" s="1">
        <v>45848</v>
      </c>
      <c r="C1368" t="s">
        <v>402</v>
      </c>
      <c r="D1368" t="s">
        <v>97</v>
      </c>
      <c r="E1368" t="s">
        <v>46</v>
      </c>
      <c r="F1368" t="s">
        <v>27</v>
      </c>
      <c r="G1368" t="s">
        <v>76</v>
      </c>
      <c r="H1368">
        <v>2</v>
      </c>
      <c r="I1368" s="21">
        <v>6403</v>
      </c>
      <c r="J1368">
        <v>0</v>
      </c>
      <c r="K1368" s="21">
        <v>0</v>
      </c>
      <c r="L1368" s="21">
        <v>12806</v>
      </c>
      <c r="M1368" s="21">
        <v>10034.06</v>
      </c>
      <c r="N1368" s="21">
        <v>2771.94</v>
      </c>
      <c r="O1368" t="s">
        <v>55</v>
      </c>
      <c r="P1368" s="21">
        <v>370</v>
      </c>
      <c r="Q1368" t="s">
        <v>73</v>
      </c>
      <c r="R1368" t="s">
        <v>31</v>
      </c>
      <c r="S1368">
        <v>5</v>
      </c>
      <c r="T1368">
        <v>4</v>
      </c>
      <c r="U1368" t="s">
        <v>32</v>
      </c>
      <c r="V1368" t="s">
        <v>33</v>
      </c>
      <c r="W1368">
        <v>1</v>
      </c>
    </row>
    <row r="1369" spans="1:23" x14ac:dyDescent="0.25">
      <c r="A1369" t="s">
        <v>1992</v>
      </c>
      <c r="B1369" s="1">
        <v>45713</v>
      </c>
      <c r="C1369" t="s">
        <v>85</v>
      </c>
      <c r="D1369" t="s">
        <v>71</v>
      </c>
      <c r="E1369" t="s">
        <v>36</v>
      </c>
      <c r="F1369" t="s">
        <v>37</v>
      </c>
      <c r="G1369" t="s">
        <v>224</v>
      </c>
      <c r="H1369">
        <v>2</v>
      </c>
      <c r="I1369" s="21">
        <v>5632</v>
      </c>
      <c r="J1369">
        <v>0</v>
      </c>
      <c r="K1369" s="21">
        <v>0</v>
      </c>
      <c r="L1369" s="21">
        <v>11264</v>
      </c>
      <c r="M1369" s="21">
        <v>8775.49</v>
      </c>
      <c r="N1369" s="21">
        <v>2488.5100000000002</v>
      </c>
      <c r="O1369" t="s">
        <v>55</v>
      </c>
      <c r="P1369" s="21">
        <v>1418.16</v>
      </c>
      <c r="Q1369" t="s">
        <v>30</v>
      </c>
      <c r="R1369" t="s">
        <v>31</v>
      </c>
      <c r="S1369">
        <v>5</v>
      </c>
      <c r="T1369">
        <v>0</v>
      </c>
      <c r="U1369" t="s">
        <v>32</v>
      </c>
      <c r="V1369" t="s">
        <v>50</v>
      </c>
      <c r="W1369">
        <v>2</v>
      </c>
    </row>
    <row r="1370" spans="1:23" x14ac:dyDescent="0.25">
      <c r="A1370" t="s">
        <v>1993</v>
      </c>
      <c r="B1370" s="1">
        <v>46003</v>
      </c>
      <c r="C1370" t="s">
        <v>425</v>
      </c>
      <c r="D1370" t="s">
        <v>97</v>
      </c>
      <c r="E1370" t="s">
        <v>26</v>
      </c>
      <c r="F1370" t="s">
        <v>27</v>
      </c>
      <c r="G1370" t="s">
        <v>164</v>
      </c>
      <c r="H1370">
        <v>1</v>
      </c>
      <c r="I1370" s="21">
        <v>11575</v>
      </c>
      <c r="J1370">
        <v>0</v>
      </c>
      <c r="K1370" s="21">
        <v>0</v>
      </c>
      <c r="L1370" s="21">
        <v>11575</v>
      </c>
      <c r="M1370" s="21">
        <v>6747.51</v>
      </c>
      <c r="N1370" s="21">
        <v>4827.49</v>
      </c>
      <c r="O1370" t="s">
        <v>55</v>
      </c>
      <c r="P1370" s="21">
        <v>2259.23</v>
      </c>
      <c r="Q1370" t="s">
        <v>73</v>
      </c>
      <c r="R1370" t="s">
        <v>41</v>
      </c>
      <c r="S1370">
        <v>2</v>
      </c>
      <c r="T1370">
        <v>1</v>
      </c>
      <c r="U1370" t="s">
        <v>32</v>
      </c>
      <c r="V1370" t="s">
        <v>33</v>
      </c>
      <c r="W1370">
        <v>5</v>
      </c>
    </row>
    <row r="1371" spans="1:23" x14ac:dyDescent="0.25">
      <c r="A1371" t="s">
        <v>1994</v>
      </c>
      <c r="B1371" s="1">
        <v>45777</v>
      </c>
      <c r="C1371" t="s">
        <v>415</v>
      </c>
      <c r="D1371" t="s">
        <v>154</v>
      </c>
      <c r="E1371" t="s">
        <v>46</v>
      </c>
      <c r="F1371" t="s">
        <v>86</v>
      </c>
      <c r="G1371" t="s">
        <v>110</v>
      </c>
      <c r="H1371">
        <v>1</v>
      </c>
      <c r="I1371" s="21">
        <v>68659</v>
      </c>
      <c r="J1371">
        <v>20</v>
      </c>
      <c r="K1371" s="21">
        <v>13731.8</v>
      </c>
      <c r="L1371" s="21">
        <v>54927.199999999997</v>
      </c>
      <c r="M1371" s="21">
        <v>42627.9</v>
      </c>
      <c r="N1371" s="21">
        <v>12299.3</v>
      </c>
      <c r="O1371" t="s">
        <v>55</v>
      </c>
      <c r="P1371" s="21">
        <v>2317.8000000000002</v>
      </c>
      <c r="Q1371" t="s">
        <v>30</v>
      </c>
      <c r="R1371" t="s">
        <v>31</v>
      </c>
      <c r="S1371">
        <v>5</v>
      </c>
      <c r="T1371">
        <v>1</v>
      </c>
      <c r="U1371" t="s">
        <v>32</v>
      </c>
      <c r="V1371" t="s">
        <v>42</v>
      </c>
    </row>
    <row r="1372" spans="1:23" x14ac:dyDescent="0.25">
      <c r="A1372" t="s">
        <v>1995</v>
      </c>
      <c r="B1372" s="1">
        <v>45899</v>
      </c>
      <c r="C1372" t="s">
        <v>1154</v>
      </c>
      <c r="D1372" t="s">
        <v>67</v>
      </c>
      <c r="E1372" t="s">
        <v>36</v>
      </c>
      <c r="F1372" t="s">
        <v>53</v>
      </c>
      <c r="G1372" t="s">
        <v>151</v>
      </c>
      <c r="H1372">
        <v>3</v>
      </c>
      <c r="I1372" s="21">
        <v>112640</v>
      </c>
      <c r="J1372">
        <v>0</v>
      </c>
      <c r="K1372" s="21">
        <v>0</v>
      </c>
      <c r="L1372" s="21">
        <v>337920</v>
      </c>
      <c r="M1372" s="21">
        <v>239044.96</v>
      </c>
      <c r="N1372" s="21">
        <v>98875.04</v>
      </c>
      <c r="O1372" t="s">
        <v>55</v>
      </c>
      <c r="P1372" s="21">
        <v>897.95</v>
      </c>
      <c r="Q1372" t="s">
        <v>30</v>
      </c>
      <c r="R1372" t="s">
        <v>31</v>
      </c>
      <c r="S1372">
        <v>5</v>
      </c>
      <c r="T1372">
        <v>4</v>
      </c>
      <c r="U1372" t="s">
        <v>32</v>
      </c>
      <c r="V1372" t="s">
        <v>33</v>
      </c>
      <c r="W1372">
        <v>2</v>
      </c>
    </row>
    <row r="1373" spans="1:23" x14ac:dyDescent="0.25">
      <c r="A1373" t="s">
        <v>1996</v>
      </c>
      <c r="B1373" s="1">
        <v>45670</v>
      </c>
      <c r="C1373" t="s">
        <v>1295</v>
      </c>
      <c r="D1373" t="s">
        <v>97</v>
      </c>
      <c r="E1373" t="s">
        <v>46</v>
      </c>
      <c r="F1373" t="s">
        <v>53</v>
      </c>
      <c r="G1373" t="s">
        <v>268</v>
      </c>
      <c r="H1373">
        <v>1</v>
      </c>
      <c r="I1373" s="21">
        <v>26369</v>
      </c>
      <c r="J1373">
        <v>10</v>
      </c>
      <c r="K1373" s="21">
        <v>2636.9</v>
      </c>
      <c r="L1373" s="21">
        <v>23732.1</v>
      </c>
      <c r="M1373" s="21">
        <v>13928.69</v>
      </c>
      <c r="N1373" s="21">
        <v>9803.41</v>
      </c>
      <c r="O1373" t="s">
        <v>49</v>
      </c>
      <c r="P1373" s="21">
        <v>468.25</v>
      </c>
      <c r="Q1373" t="s">
        <v>68</v>
      </c>
      <c r="R1373" t="s">
        <v>31</v>
      </c>
      <c r="S1373">
        <v>5</v>
      </c>
      <c r="T1373">
        <v>8</v>
      </c>
      <c r="U1373" t="s">
        <v>56</v>
      </c>
      <c r="V1373" t="s">
        <v>33</v>
      </c>
      <c r="W1373">
        <v>5</v>
      </c>
    </row>
    <row r="1374" spans="1:23" x14ac:dyDescent="0.25">
      <c r="A1374" t="s">
        <v>1997</v>
      </c>
      <c r="B1374" s="1">
        <v>45975</v>
      </c>
      <c r="C1374" t="s">
        <v>1554</v>
      </c>
      <c r="D1374" t="s">
        <v>25</v>
      </c>
      <c r="E1374" t="s">
        <v>46</v>
      </c>
      <c r="F1374" t="s">
        <v>27</v>
      </c>
      <c r="G1374" t="s">
        <v>113</v>
      </c>
      <c r="H1374">
        <v>3</v>
      </c>
      <c r="I1374" s="21">
        <v>11326</v>
      </c>
      <c r="J1374">
        <v>0</v>
      </c>
      <c r="K1374" s="21">
        <v>0</v>
      </c>
      <c r="L1374" s="21">
        <v>33978</v>
      </c>
      <c r="M1374" s="21">
        <v>27109.42</v>
      </c>
      <c r="N1374" s="21">
        <v>6868.58</v>
      </c>
      <c r="O1374" t="s">
        <v>60</v>
      </c>
      <c r="P1374" s="21">
        <v>2432.44</v>
      </c>
      <c r="Q1374" t="s">
        <v>30</v>
      </c>
      <c r="R1374" t="s">
        <v>41</v>
      </c>
      <c r="S1374">
        <v>2</v>
      </c>
      <c r="T1374">
        <v>1</v>
      </c>
      <c r="U1374" t="s">
        <v>32</v>
      </c>
      <c r="V1374" t="s">
        <v>33</v>
      </c>
      <c r="W1374">
        <v>5</v>
      </c>
    </row>
    <row r="1375" spans="1:23" x14ac:dyDescent="0.25">
      <c r="A1375" t="s">
        <v>1998</v>
      </c>
      <c r="B1375" s="1">
        <v>45945</v>
      </c>
      <c r="C1375" t="s">
        <v>719</v>
      </c>
      <c r="D1375" t="s">
        <v>154</v>
      </c>
      <c r="E1375" t="s">
        <v>26</v>
      </c>
      <c r="F1375" t="s">
        <v>53</v>
      </c>
      <c r="G1375" t="s">
        <v>82</v>
      </c>
      <c r="H1375">
        <v>1</v>
      </c>
      <c r="I1375" s="21">
        <v>46219</v>
      </c>
      <c r="J1375">
        <v>0</v>
      </c>
      <c r="K1375" s="21">
        <v>0</v>
      </c>
      <c r="L1375" s="21">
        <v>46219</v>
      </c>
      <c r="M1375" s="21">
        <v>36902.26</v>
      </c>
      <c r="N1375" s="21">
        <v>9316.74</v>
      </c>
      <c r="O1375" t="s">
        <v>91</v>
      </c>
      <c r="P1375" s="21">
        <v>1145.22</v>
      </c>
      <c r="Q1375" t="s">
        <v>30</v>
      </c>
      <c r="R1375" t="s">
        <v>41</v>
      </c>
      <c r="S1375">
        <v>2</v>
      </c>
      <c r="T1375">
        <v>1</v>
      </c>
      <c r="U1375" t="s">
        <v>32</v>
      </c>
      <c r="V1375" t="s">
        <v>33</v>
      </c>
      <c r="W1375">
        <v>1</v>
      </c>
    </row>
    <row r="1376" spans="1:23" x14ac:dyDescent="0.25">
      <c r="A1376" t="s">
        <v>1999</v>
      </c>
      <c r="B1376" s="1">
        <v>45825</v>
      </c>
      <c r="C1376" t="s">
        <v>172</v>
      </c>
      <c r="D1376" t="s">
        <v>71</v>
      </c>
      <c r="E1376" t="s">
        <v>46</v>
      </c>
      <c r="F1376" t="s">
        <v>47</v>
      </c>
      <c r="G1376" t="s">
        <v>105</v>
      </c>
      <c r="H1376">
        <v>1</v>
      </c>
      <c r="I1376" s="21">
        <v>28179</v>
      </c>
      <c r="J1376">
        <v>10</v>
      </c>
      <c r="K1376" s="21">
        <v>2817.9</v>
      </c>
      <c r="L1376" s="21">
        <v>25361.1</v>
      </c>
      <c r="M1376" s="21">
        <v>20066.3</v>
      </c>
      <c r="N1376" s="21">
        <v>5294.8</v>
      </c>
      <c r="O1376" t="s">
        <v>29</v>
      </c>
      <c r="P1376" s="21">
        <v>1035.55</v>
      </c>
      <c r="Q1376" t="s">
        <v>30</v>
      </c>
      <c r="R1376" t="s">
        <v>31</v>
      </c>
      <c r="S1376">
        <v>5</v>
      </c>
      <c r="T1376">
        <v>7</v>
      </c>
      <c r="U1376" t="s">
        <v>56</v>
      </c>
      <c r="V1376" t="s">
        <v>33</v>
      </c>
      <c r="W1376">
        <v>5</v>
      </c>
    </row>
    <row r="1377" spans="1:23" x14ac:dyDescent="0.25">
      <c r="A1377" t="s">
        <v>2000</v>
      </c>
      <c r="B1377" s="1">
        <v>45970</v>
      </c>
      <c r="C1377" t="s">
        <v>945</v>
      </c>
      <c r="D1377" t="s">
        <v>97</v>
      </c>
      <c r="E1377" t="s">
        <v>26</v>
      </c>
      <c r="F1377" t="s">
        <v>53</v>
      </c>
      <c r="G1377" t="s">
        <v>54</v>
      </c>
      <c r="H1377">
        <v>1</v>
      </c>
      <c r="I1377" s="21">
        <v>77906</v>
      </c>
      <c r="J1377">
        <v>25</v>
      </c>
      <c r="K1377" s="21">
        <v>19476.5</v>
      </c>
      <c r="L1377" s="21">
        <v>58429.5</v>
      </c>
      <c r="M1377" s="21">
        <v>41131.89</v>
      </c>
      <c r="N1377" s="21">
        <v>17297.61</v>
      </c>
      <c r="O1377" t="s">
        <v>29</v>
      </c>
      <c r="P1377" s="21">
        <v>270.44</v>
      </c>
      <c r="Q1377" t="s">
        <v>83</v>
      </c>
      <c r="R1377" t="s">
        <v>31</v>
      </c>
      <c r="S1377">
        <v>5</v>
      </c>
      <c r="T1377">
        <v>0</v>
      </c>
      <c r="U1377" t="s">
        <v>32</v>
      </c>
      <c r="V1377" t="s">
        <v>42</v>
      </c>
    </row>
    <row r="1378" spans="1:23" x14ac:dyDescent="0.25">
      <c r="A1378" t="s">
        <v>2001</v>
      </c>
      <c r="B1378" s="1">
        <v>45771</v>
      </c>
      <c r="C1378" t="s">
        <v>2002</v>
      </c>
      <c r="D1378" t="s">
        <v>67</v>
      </c>
      <c r="E1378" t="s">
        <v>36</v>
      </c>
      <c r="F1378" t="s">
        <v>37</v>
      </c>
      <c r="G1378" t="s">
        <v>313</v>
      </c>
      <c r="H1378">
        <v>3</v>
      </c>
      <c r="I1378" s="21">
        <v>37086</v>
      </c>
      <c r="J1378">
        <v>10</v>
      </c>
      <c r="K1378" s="21">
        <v>11125.8</v>
      </c>
      <c r="L1378" s="21">
        <v>100132.2</v>
      </c>
      <c r="M1378" s="21">
        <v>79040.2</v>
      </c>
      <c r="N1378" s="21">
        <v>21092</v>
      </c>
      <c r="O1378" t="s">
        <v>39</v>
      </c>
      <c r="P1378" s="21">
        <v>1866.15</v>
      </c>
      <c r="Q1378" t="s">
        <v>30</v>
      </c>
      <c r="R1378" t="s">
        <v>41</v>
      </c>
      <c r="S1378">
        <v>2</v>
      </c>
      <c r="T1378">
        <v>1</v>
      </c>
      <c r="U1378" t="s">
        <v>32</v>
      </c>
      <c r="V1378" t="s">
        <v>33</v>
      </c>
      <c r="W1378">
        <v>5</v>
      </c>
    </row>
    <row r="1379" spans="1:23" x14ac:dyDescent="0.25">
      <c r="A1379" t="s">
        <v>2003</v>
      </c>
      <c r="B1379" s="1">
        <v>45989</v>
      </c>
      <c r="C1379" t="s">
        <v>425</v>
      </c>
      <c r="D1379" t="s">
        <v>154</v>
      </c>
      <c r="E1379" t="s">
        <v>46</v>
      </c>
      <c r="F1379" t="s">
        <v>47</v>
      </c>
      <c r="G1379" t="s">
        <v>105</v>
      </c>
      <c r="H1379">
        <v>1</v>
      </c>
      <c r="I1379" s="21">
        <v>32085</v>
      </c>
      <c r="J1379">
        <v>0</v>
      </c>
      <c r="K1379" s="21">
        <v>0</v>
      </c>
      <c r="L1379" s="21">
        <v>32085</v>
      </c>
      <c r="M1379" s="21">
        <v>18365.8</v>
      </c>
      <c r="N1379" s="21">
        <v>13719.2</v>
      </c>
      <c r="O1379" t="s">
        <v>49</v>
      </c>
      <c r="P1379" s="21">
        <v>150.12</v>
      </c>
      <c r="Q1379" t="s">
        <v>30</v>
      </c>
      <c r="R1379" t="s">
        <v>41</v>
      </c>
      <c r="S1379">
        <v>2</v>
      </c>
      <c r="T1379">
        <v>0</v>
      </c>
      <c r="U1379" t="s">
        <v>32</v>
      </c>
      <c r="V1379" t="s">
        <v>50</v>
      </c>
      <c r="W1379">
        <v>5</v>
      </c>
    </row>
    <row r="1380" spans="1:23" x14ac:dyDescent="0.25">
      <c r="A1380" t="s">
        <v>2004</v>
      </c>
      <c r="B1380" s="1">
        <v>45690</v>
      </c>
      <c r="C1380" t="s">
        <v>96</v>
      </c>
      <c r="D1380" t="s">
        <v>63</v>
      </c>
      <c r="E1380" t="s">
        <v>26</v>
      </c>
      <c r="F1380" t="s">
        <v>37</v>
      </c>
      <c r="G1380" t="s">
        <v>100</v>
      </c>
      <c r="H1380">
        <v>1</v>
      </c>
      <c r="I1380" s="21">
        <v>30991</v>
      </c>
      <c r="J1380">
        <v>15</v>
      </c>
      <c r="K1380" s="21">
        <v>4648.6499999999996</v>
      </c>
      <c r="L1380" s="21">
        <v>26342.35</v>
      </c>
      <c r="M1380" s="21">
        <v>18339.64</v>
      </c>
      <c r="N1380" s="21">
        <v>8002.71</v>
      </c>
      <c r="O1380" t="s">
        <v>55</v>
      </c>
      <c r="P1380" s="21">
        <v>1947.3</v>
      </c>
      <c r="Q1380" t="s">
        <v>30</v>
      </c>
      <c r="R1380" t="s">
        <v>41</v>
      </c>
      <c r="S1380">
        <v>2</v>
      </c>
      <c r="T1380">
        <v>1</v>
      </c>
      <c r="U1380" t="s">
        <v>32</v>
      </c>
      <c r="V1380" t="s">
        <v>33</v>
      </c>
      <c r="W1380">
        <v>5</v>
      </c>
    </row>
    <row r="1381" spans="1:23" x14ac:dyDescent="0.25">
      <c r="A1381" t="s">
        <v>2005</v>
      </c>
      <c r="B1381" s="1">
        <v>45983</v>
      </c>
      <c r="C1381" t="s">
        <v>535</v>
      </c>
      <c r="D1381" t="s">
        <v>90</v>
      </c>
      <c r="E1381" t="s">
        <v>46</v>
      </c>
      <c r="F1381" t="s">
        <v>47</v>
      </c>
      <c r="G1381" t="s">
        <v>64</v>
      </c>
      <c r="H1381">
        <v>1</v>
      </c>
      <c r="I1381" s="21">
        <v>14295</v>
      </c>
      <c r="J1381">
        <v>0</v>
      </c>
      <c r="K1381" s="21">
        <v>0</v>
      </c>
      <c r="L1381" s="21">
        <v>14295</v>
      </c>
      <c r="M1381" s="21">
        <v>8747.5300000000007</v>
      </c>
      <c r="N1381" s="21">
        <v>5547.47</v>
      </c>
      <c r="O1381" t="s">
        <v>60</v>
      </c>
      <c r="P1381" s="21">
        <v>602.48</v>
      </c>
      <c r="Q1381" t="s">
        <v>68</v>
      </c>
      <c r="R1381" t="s">
        <v>31</v>
      </c>
      <c r="S1381">
        <v>5</v>
      </c>
      <c r="T1381">
        <v>1</v>
      </c>
      <c r="U1381" t="s">
        <v>32</v>
      </c>
      <c r="V1381" t="s">
        <v>42</v>
      </c>
    </row>
    <row r="1382" spans="1:23" x14ac:dyDescent="0.25">
      <c r="A1382" t="s">
        <v>2006</v>
      </c>
      <c r="B1382" s="1">
        <v>45895</v>
      </c>
      <c r="C1382" t="s">
        <v>179</v>
      </c>
      <c r="D1382" t="s">
        <v>63</v>
      </c>
      <c r="E1382" t="s">
        <v>46</v>
      </c>
      <c r="F1382" t="s">
        <v>86</v>
      </c>
      <c r="G1382" t="s">
        <v>180</v>
      </c>
      <c r="H1382">
        <v>1</v>
      </c>
      <c r="I1382" s="21">
        <v>83470</v>
      </c>
      <c r="J1382">
        <v>0</v>
      </c>
      <c r="K1382" s="21">
        <v>0</v>
      </c>
      <c r="L1382" s="21">
        <v>83470</v>
      </c>
      <c r="M1382" s="21">
        <v>45937.55</v>
      </c>
      <c r="N1382" s="21">
        <v>37532.449999999997</v>
      </c>
      <c r="O1382" t="s">
        <v>60</v>
      </c>
      <c r="P1382" s="21">
        <v>1928.01</v>
      </c>
      <c r="Q1382" t="s">
        <v>73</v>
      </c>
      <c r="R1382" t="s">
        <v>31</v>
      </c>
      <c r="S1382">
        <v>5</v>
      </c>
      <c r="T1382">
        <v>6</v>
      </c>
      <c r="U1382" t="s">
        <v>56</v>
      </c>
      <c r="V1382" t="s">
        <v>33</v>
      </c>
      <c r="W1382">
        <v>5</v>
      </c>
    </row>
    <row r="1383" spans="1:23" x14ac:dyDescent="0.25">
      <c r="A1383" t="s">
        <v>2007</v>
      </c>
      <c r="B1383" s="1">
        <v>46016</v>
      </c>
      <c r="C1383" t="s">
        <v>643</v>
      </c>
      <c r="D1383" t="s">
        <v>124</v>
      </c>
      <c r="E1383" t="s">
        <v>36</v>
      </c>
      <c r="F1383" t="s">
        <v>27</v>
      </c>
      <c r="G1383" t="s">
        <v>28</v>
      </c>
      <c r="H1383">
        <v>1</v>
      </c>
      <c r="I1383" s="21">
        <v>25356</v>
      </c>
      <c r="J1383">
        <v>10</v>
      </c>
      <c r="K1383" s="21">
        <v>2535.6</v>
      </c>
      <c r="L1383" s="21">
        <v>22820.400000000001</v>
      </c>
      <c r="M1383" s="21">
        <v>13748.03</v>
      </c>
      <c r="N1383" s="21">
        <v>9072.3700000000008</v>
      </c>
      <c r="O1383" t="s">
        <v>39</v>
      </c>
      <c r="P1383" s="21">
        <v>1962.13</v>
      </c>
      <c r="Q1383" t="s">
        <v>40</v>
      </c>
      <c r="R1383" t="s">
        <v>31</v>
      </c>
      <c r="S1383">
        <v>5</v>
      </c>
      <c r="T1383">
        <v>4</v>
      </c>
      <c r="U1383" t="s">
        <v>32</v>
      </c>
      <c r="V1383" t="s">
        <v>33</v>
      </c>
      <c r="W1383">
        <v>2</v>
      </c>
    </row>
    <row r="1384" spans="1:23" x14ac:dyDescent="0.25">
      <c r="A1384" t="s">
        <v>2008</v>
      </c>
      <c r="B1384" s="1">
        <v>45812</v>
      </c>
      <c r="C1384" t="s">
        <v>587</v>
      </c>
      <c r="D1384" t="s">
        <v>71</v>
      </c>
      <c r="E1384" t="s">
        <v>46</v>
      </c>
      <c r="F1384" t="s">
        <v>37</v>
      </c>
      <c r="G1384" t="s">
        <v>161</v>
      </c>
      <c r="H1384">
        <v>2</v>
      </c>
      <c r="I1384" s="21">
        <v>6682</v>
      </c>
      <c r="J1384">
        <v>20</v>
      </c>
      <c r="K1384" s="21">
        <v>2672.8</v>
      </c>
      <c r="L1384" s="21">
        <v>10691.2</v>
      </c>
      <c r="M1384" s="21">
        <v>7393.3</v>
      </c>
      <c r="N1384" s="21">
        <v>3297.9</v>
      </c>
      <c r="O1384" t="s">
        <v>39</v>
      </c>
      <c r="P1384" s="21">
        <v>239.55</v>
      </c>
      <c r="Q1384" t="s">
        <v>83</v>
      </c>
      <c r="R1384" t="s">
        <v>31</v>
      </c>
      <c r="S1384">
        <v>5</v>
      </c>
      <c r="T1384">
        <v>9</v>
      </c>
      <c r="U1384" t="s">
        <v>56</v>
      </c>
      <c r="V1384" t="s">
        <v>33</v>
      </c>
      <c r="W1384">
        <v>5</v>
      </c>
    </row>
    <row r="1385" spans="1:23" x14ac:dyDescent="0.25">
      <c r="A1385" t="s">
        <v>2009</v>
      </c>
      <c r="B1385" s="1">
        <v>45990</v>
      </c>
      <c r="C1385" t="s">
        <v>1872</v>
      </c>
      <c r="D1385" t="s">
        <v>45</v>
      </c>
      <c r="E1385" t="s">
        <v>36</v>
      </c>
      <c r="F1385" t="s">
        <v>53</v>
      </c>
      <c r="G1385" t="s">
        <v>59</v>
      </c>
      <c r="H1385">
        <v>2</v>
      </c>
      <c r="I1385" s="21">
        <v>52178</v>
      </c>
      <c r="J1385">
        <v>0</v>
      </c>
      <c r="K1385" s="21">
        <v>0</v>
      </c>
      <c r="L1385" s="21">
        <v>104356</v>
      </c>
      <c r="M1385" s="21">
        <v>79560.36</v>
      </c>
      <c r="N1385" s="21">
        <v>24795.64</v>
      </c>
      <c r="O1385" t="s">
        <v>39</v>
      </c>
      <c r="P1385" s="21">
        <v>804.07</v>
      </c>
      <c r="Q1385" t="s">
        <v>30</v>
      </c>
      <c r="R1385" t="s">
        <v>31</v>
      </c>
      <c r="S1385">
        <v>5</v>
      </c>
      <c r="T1385">
        <v>5</v>
      </c>
      <c r="U1385" t="s">
        <v>32</v>
      </c>
      <c r="V1385" t="s">
        <v>42</v>
      </c>
    </row>
    <row r="1386" spans="1:23" x14ac:dyDescent="0.25">
      <c r="A1386" t="s">
        <v>2010</v>
      </c>
      <c r="B1386" s="1">
        <v>45867</v>
      </c>
      <c r="C1386" t="s">
        <v>595</v>
      </c>
      <c r="D1386" t="s">
        <v>63</v>
      </c>
      <c r="E1386" t="s">
        <v>36</v>
      </c>
      <c r="F1386" t="s">
        <v>37</v>
      </c>
      <c r="G1386" t="s">
        <v>100</v>
      </c>
      <c r="H1386">
        <v>1</v>
      </c>
      <c r="I1386" s="21">
        <v>37419</v>
      </c>
      <c r="J1386">
        <v>25</v>
      </c>
      <c r="K1386" s="21">
        <v>9354.75</v>
      </c>
      <c r="L1386" s="21">
        <v>28064.25</v>
      </c>
      <c r="M1386" s="21">
        <v>22454.53</v>
      </c>
      <c r="N1386" s="21">
        <v>5609.72</v>
      </c>
      <c r="O1386" t="s">
        <v>49</v>
      </c>
      <c r="P1386" s="21">
        <v>149.91</v>
      </c>
      <c r="Q1386" t="s">
        <v>73</v>
      </c>
      <c r="R1386" t="s">
        <v>31</v>
      </c>
      <c r="S1386">
        <v>5</v>
      </c>
      <c r="T1386">
        <v>6</v>
      </c>
      <c r="U1386" t="s">
        <v>56</v>
      </c>
      <c r="V1386" t="s">
        <v>33</v>
      </c>
      <c r="W1386">
        <v>4</v>
      </c>
    </row>
    <row r="1387" spans="1:23" x14ac:dyDescent="0.25">
      <c r="A1387" t="s">
        <v>2011</v>
      </c>
      <c r="B1387" s="1">
        <v>45717</v>
      </c>
      <c r="C1387" t="s">
        <v>2012</v>
      </c>
      <c r="D1387" t="s">
        <v>124</v>
      </c>
      <c r="E1387" t="s">
        <v>26</v>
      </c>
      <c r="F1387" t="s">
        <v>27</v>
      </c>
      <c r="G1387" t="s">
        <v>28</v>
      </c>
      <c r="H1387">
        <v>2</v>
      </c>
      <c r="I1387" s="21">
        <v>10771</v>
      </c>
      <c r="J1387">
        <v>10</v>
      </c>
      <c r="K1387" s="21">
        <v>2154.1999999999998</v>
      </c>
      <c r="L1387" s="21">
        <v>19387.8</v>
      </c>
      <c r="M1387" s="21">
        <v>15537.65</v>
      </c>
      <c r="N1387" s="21">
        <v>3850.15</v>
      </c>
      <c r="O1387" t="s">
        <v>60</v>
      </c>
      <c r="P1387" s="21">
        <v>1524.13</v>
      </c>
      <c r="Q1387" t="s">
        <v>73</v>
      </c>
      <c r="R1387" t="s">
        <v>41</v>
      </c>
      <c r="S1387">
        <v>2</v>
      </c>
      <c r="T1387">
        <v>2</v>
      </c>
      <c r="U1387" t="s">
        <v>32</v>
      </c>
      <c r="V1387" t="s">
        <v>33</v>
      </c>
      <c r="W1387">
        <v>5</v>
      </c>
    </row>
    <row r="1388" spans="1:23" x14ac:dyDescent="0.25">
      <c r="A1388" t="s">
        <v>2013</v>
      </c>
      <c r="B1388" s="1">
        <v>45729</v>
      </c>
      <c r="C1388" t="s">
        <v>1260</v>
      </c>
      <c r="D1388" t="s">
        <v>25</v>
      </c>
      <c r="E1388" t="s">
        <v>26</v>
      </c>
      <c r="F1388" t="s">
        <v>86</v>
      </c>
      <c r="G1388" t="s">
        <v>110</v>
      </c>
      <c r="H1388">
        <v>2</v>
      </c>
      <c r="I1388" s="21">
        <v>8733</v>
      </c>
      <c r="J1388">
        <v>0</v>
      </c>
      <c r="K1388" s="21">
        <v>0</v>
      </c>
      <c r="L1388" s="21">
        <v>17466</v>
      </c>
      <c r="M1388" s="21">
        <v>12322.2</v>
      </c>
      <c r="N1388" s="21">
        <v>5143.8</v>
      </c>
      <c r="O1388" t="s">
        <v>60</v>
      </c>
      <c r="P1388" s="21">
        <v>1586.31</v>
      </c>
      <c r="Q1388" t="s">
        <v>30</v>
      </c>
      <c r="R1388" t="s">
        <v>31</v>
      </c>
      <c r="S1388">
        <v>5</v>
      </c>
      <c r="T1388">
        <v>6</v>
      </c>
      <c r="U1388" t="s">
        <v>32</v>
      </c>
      <c r="V1388" t="s">
        <v>50</v>
      </c>
      <c r="W1388">
        <v>4</v>
      </c>
    </row>
    <row r="1389" spans="1:23" x14ac:dyDescent="0.25">
      <c r="A1389" t="s">
        <v>2014</v>
      </c>
      <c r="B1389" s="1">
        <v>45681</v>
      </c>
      <c r="C1389" t="s">
        <v>150</v>
      </c>
      <c r="D1389" t="s">
        <v>25</v>
      </c>
      <c r="E1389" t="s">
        <v>26</v>
      </c>
      <c r="F1389" t="s">
        <v>37</v>
      </c>
      <c r="G1389" t="s">
        <v>224</v>
      </c>
      <c r="H1389">
        <v>2</v>
      </c>
      <c r="I1389" s="21">
        <v>7176</v>
      </c>
      <c r="J1389">
        <v>15</v>
      </c>
      <c r="K1389" s="21">
        <v>2152.8000000000002</v>
      </c>
      <c r="L1389" s="21">
        <v>12199.2</v>
      </c>
      <c r="M1389" s="21">
        <v>7801.65</v>
      </c>
      <c r="N1389" s="21">
        <v>4397.55</v>
      </c>
      <c r="O1389" t="s">
        <v>91</v>
      </c>
      <c r="P1389" s="21">
        <v>1240.4000000000001</v>
      </c>
      <c r="Q1389" t="s">
        <v>73</v>
      </c>
      <c r="R1389" t="s">
        <v>31</v>
      </c>
      <c r="S1389">
        <v>5</v>
      </c>
      <c r="T1389">
        <v>8</v>
      </c>
      <c r="U1389" t="s">
        <v>56</v>
      </c>
      <c r="V1389" t="s">
        <v>33</v>
      </c>
      <c r="W1389">
        <v>2</v>
      </c>
    </row>
    <row r="1390" spans="1:23" x14ac:dyDescent="0.25">
      <c r="A1390" t="s">
        <v>2015</v>
      </c>
      <c r="B1390" s="1">
        <v>45677</v>
      </c>
      <c r="C1390" t="s">
        <v>270</v>
      </c>
      <c r="D1390" t="s">
        <v>79</v>
      </c>
      <c r="E1390" t="s">
        <v>46</v>
      </c>
      <c r="F1390" t="s">
        <v>86</v>
      </c>
      <c r="G1390" t="s">
        <v>127</v>
      </c>
      <c r="H1390">
        <v>1</v>
      </c>
      <c r="I1390" s="21">
        <v>60821</v>
      </c>
      <c r="J1390">
        <v>10</v>
      </c>
      <c r="K1390" s="21">
        <v>6082.1</v>
      </c>
      <c r="L1390" s="21">
        <v>54738.9</v>
      </c>
      <c r="M1390" s="21">
        <v>38792.99</v>
      </c>
      <c r="N1390" s="21">
        <v>15945.91</v>
      </c>
      <c r="O1390" t="s">
        <v>60</v>
      </c>
      <c r="P1390" s="21">
        <v>1022.74</v>
      </c>
      <c r="Q1390" t="s">
        <v>83</v>
      </c>
      <c r="R1390" t="s">
        <v>31</v>
      </c>
      <c r="S1390">
        <v>5</v>
      </c>
      <c r="T1390">
        <v>1</v>
      </c>
      <c r="U1390" t="s">
        <v>32</v>
      </c>
      <c r="V1390" t="s">
        <v>42</v>
      </c>
    </row>
    <row r="1391" spans="1:23" x14ac:dyDescent="0.25">
      <c r="A1391" t="s">
        <v>2016</v>
      </c>
      <c r="B1391" s="1">
        <v>45813</v>
      </c>
      <c r="C1391" t="s">
        <v>230</v>
      </c>
      <c r="D1391" t="s">
        <v>67</v>
      </c>
      <c r="E1391" t="s">
        <v>46</v>
      </c>
      <c r="F1391" t="s">
        <v>37</v>
      </c>
      <c r="G1391" t="s">
        <v>313</v>
      </c>
      <c r="H1391">
        <v>2</v>
      </c>
      <c r="I1391" s="21">
        <v>21652</v>
      </c>
      <c r="J1391">
        <v>10</v>
      </c>
      <c r="K1391" s="21">
        <v>4330.3999999999996</v>
      </c>
      <c r="L1391" s="21">
        <v>38973.599999999999</v>
      </c>
      <c r="M1391" s="21">
        <v>26274.23</v>
      </c>
      <c r="N1391" s="21">
        <v>12699.37</v>
      </c>
      <c r="O1391" t="s">
        <v>49</v>
      </c>
      <c r="P1391" s="21">
        <v>411.22</v>
      </c>
      <c r="Q1391" t="s">
        <v>83</v>
      </c>
      <c r="R1391" t="s">
        <v>31</v>
      </c>
      <c r="S1391">
        <v>5</v>
      </c>
      <c r="T1391">
        <v>3</v>
      </c>
      <c r="U1391" t="s">
        <v>32</v>
      </c>
      <c r="V1391" t="s">
        <v>33</v>
      </c>
      <c r="W1391">
        <v>3</v>
      </c>
    </row>
    <row r="1392" spans="1:23" x14ac:dyDescent="0.25">
      <c r="A1392" t="s">
        <v>2017</v>
      </c>
      <c r="B1392" s="1">
        <v>45910</v>
      </c>
      <c r="C1392" t="s">
        <v>221</v>
      </c>
      <c r="D1392" t="s">
        <v>124</v>
      </c>
      <c r="E1392" t="s">
        <v>46</v>
      </c>
      <c r="F1392" t="s">
        <v>37</v>
      </c>
      <c r="G1392" t="s">
        <v>313</v>
      </c>
      <c r="H1392">
        <v>1</v>
      </c>
      <c r="I1392" s="21">
        <v>6091</v>
      </c>
      <c r="J1392">
        <v>10</v>
      </c>
      <c r="K1392" s="21">
        <v>609.1</v>
      </c>
      <c r="L1392" s="21">
        <v>5481.9</v>
      </c>
      <c r="M1392" s="21">
        <v>3133.48</v>
      </c>
      <c r="N1392" s="21">
        <v>2348.42</v>
      </c>
      <c r="O1392" t="s">
        <v>49</v>
      </c>
      <c r="P1392" s="21">
        <v>374.07</v>
      </c>
      <c r="Q1392" t="s">
        <v>73</v>
      </c>
      <c r="R1392" t="s">
        <v>31</v>
      </c>
      <c r="S1392">
        <v>5</v>
      </c>
      <c r="T1392">
        <v>2</v>
      </c>
      <c r="U1392" t="s">
        <v>32</v>
      </c>
      <c r="V1392" t="s">
        <v>50</v>
      </c>
      <c r="W1392">
        <v>1</v>
      </c>
    </row>
    <row r="1393" spans="1:23" x14ac:dyDescent="0.25">
      <c r="A1393" t="s">
        <v>2018</v>
      </c>
      <c r="B1393" s="1">
        <v>45717</v>
      </c>
      <c r="C1393" t="s">
        <v>327</v>
      </c>
      <c r="D1393" t="s">
        <v>25</v>
      </c>
      <c r="E1393" t="s">
        <v>46</v>
      </c>
      <c r="F1393" t="s">
        <v>47</v>
      </c>
      <c r="G1393" t="s">
        <v>105</v>
      </c>
      <c r="H1393">
        <v>1</v>
      </c>
      <c r="I1393" s="21">
        <v>45335</v>
      </c>
      <c r="J1393">
        <v>20</v>
      </c>
      <c r="K1393" s="21">
        <v>9067</v>
      </c>
      <c r="L1393" s="21">
        <v>36268</v>
      </c>
      <c r="M1393" s="21">
        <v>25461.47</v>
      </c>
      <c r="N1393" s="21">
        <v>10806.53</v>
      </c>
      <c r="O1393" t="s">
        <v>29</v>
      </c>
      <c r="P1393" s="21">
        <v>838.37</v>
      </c>
      <c r="Q1393" t="s">
        <v>73</v>
      </c>
      <c r="R1393" t="s">
        <v>31</v>
      </c>
      <c r="S1393">
        <v>5</v>
      </c>
      <c r="T1393">
        <v>3</v>
      </c>
      <c r="U1393" t="s">
        <v>32</v>
      </c>
      <c r="V1393" t="s">
        <v>33</v>
      </c>
      <c r="W1393">
        <v>2</v>
      </c>
    </row>
    <row r="1394" spans="1:23" x14ac:dyDescent="0.25">
      <c r="A1394" t="s">
        <v>2019</v>
      </c>
      <c r="B1394" s="1">
        <v>45707</v>
      </c>
      <c r="C1394" t="s">
        <v>62</v>
      </c>
      <c r="D1394" t="s">
        <v>124</v>
      </c>
      <c r="E1394" t="s">
        <v>26</v>
      </c>
      <c r="F1394" t="s">
        <v>27</v>
      </c>
      <c r="G1394" t="s">
        <v>164</v>
      </c>
      <c r="H1394">
        <v>2</v>
      </c>
      <c r="I1394" s="21">
        <v>13039</v>
      </c>
      <c r="J1394">
        <v>0</v>
      </c>
      <c r="K1394" s="21">
        <v>0</v>
      </c>
      <c r="L1394" s="21">
        <v>26078</v>
      </c>
      <c r="M1394" s="21">
        <v>20897.55</v>
      </c>
      <c r="N1394" s="21">
        <v>5180.45</v>
      </c>
      <c r="O1394" t="s">
        <v>91</v>
      </c>
      <c r="P1394" s="21">
        <v>1436.99</v>
      </c>
      <c r="Q1394" t="s">
        <v>68</v>
      </c>
      <c r="R1394" t="s">
        <v>41</v>
      </c>
      <c r="S1394">
        <v>2</v>
      </c>
      <c r="T1394">
        <v>6</v>
      </c>
      <c r="U1394" t="s">
        <v>56</v>
      </c>
      <c r="V1394" t="s">
        <v>33</v>
      </c>
      <c r="W1394">
        <v>5</v>
      </c>
    </row>
    <row r="1395" spans="1:23" x14ac:dyDescent="0.25">
      <c r="A1395" t="s">
        <v>2020</v>
      </c>
      <c r="B1395" s="1">
        <v>45778</v>
      </c>
      <c r="C1395" t="s">
        <v>661</v>
      </c>
      <c r="D1395" t="s">
        <v>90</v>
      </c>
      <c r="E1395" t="s">
        <v>46</v>
      </c>
      <c r="F1395" t="s">
        <v>37</v>
      </c>
      <c r="G1395" t="s">
        <v>100</v>
      </c>
      <c r="H1395">
        <v>2</v>
      </c>
      <c r="I1395" s="21">
        <v>9940</v>
      </c>
      <c r="J1395">
        <v>20</v>
      </c>
      <c r="K1395" s="21">
        <v>3976</v>
      </c>
      <c r="L1395" s="21">
        <v>15904</v>
      </c>
      <c r="M1395" s="21">
        <v>9425.3700000000008</v>
      </c>
      <c r="N1395" s="21">
        <v>6478.63</v>
      </c>
      <c r="O1395" t="s">
        <v>39</v>
      </c>
      <c r="P1395" s="21">
        <v>1580.55</v>
      </c>
      <c r="Q1395" t="s">
        <v>68</v>
      </c>
      <c r="R1395" t="s">
        <v>41</v>
      </c>
      <c r="S1395">
        <v>2</v>
      </c>
      <c r="T1395">
        <v>2</v>
      </c>
      <c r="U1395" t="s">
        <v>32</v>
      </c>
      <c r="V1395" t="s">
        <v>33</v>
      </c>
      <c r="W1395">
        <v>2</v>
      </c>
    </row>
    <row r="1396" spans="1:23" x14ac:dyDescent="0.25">
      <c r="A1396" t="s">
        <v>2021</v>
      </c>
      <c r="B1396" s="1">
        <v>45933</v>
      </c>
      <c r="C1396" t="s">
        <v>1288</v>
      </c>
      <c r="D1396" t="s">
        <v>71</v>
      </c>
      <c r="E1396" t="s">
        <v>26</v>
      </c>
      <c r="F1396" t="s">
        <v>53</v>
      </c>
      <c r="G1396" t="s">
        <v>59</v>
      </c>
      <c r="H1396">
        <v>2</v>
      </c>
      <c r="I1396" s="21">
        <v>24626</v>
      </c>
      <c r="J1396">
        <v>15</v>
      </c>
      <c r="K1396" s="21">
        <v>7387.8</v>
      </c>
      <c r="L1396" s="21">
        <v>41864.199999999997</v>
      </c>
      <c r="M1396" s="21">
        <v>27348.27</v>
      </c>
      <c r="N1396" s="21">
        <v>14515.93</v>
      </c>
      <c r="O1396" t="s">
        <v>60</v>
      </c>
      <c r="P1396" s="21">
        <v>2478.19</v>
      </c>
      <c r="Q1396" t="s">
        <v>83</v>
      </c>
      <c r="R1396" t="s">
        <v>41</v>
      </c>
      <c r="S1396">
        <v>2</v>
      </c>
      <c r="T1396">
        <v>1</v>
      </c>
      <c r="U1396" t="s">
        <v>32</v>
      </c>
      <c r="V1396" t="s">
        <v>33</v>
      </c>
      <c r="W1396">
        <v>5</v>
      </c>
    </row>
    <row r="1397" spans="1:23" x14ac:dyDescent="0.25">
      <c r="A1397" t="s">
        <v>2022</v>
      </c>
      <c r="B1397" s="1">
        <v>45727</v>
      </c>
      <c r="C1397" t="s">
        <v>1591</v>
      </c>
      <c r="D1397" t="s">
        <v>25</v>
      </c>
      <c r="E1397" t="s">
        <v>36</v>
      </c>
      <c r="F1397" t="s">
        <v>27</v>
      </c>
      <c r="G1397" t="s">
        <v>76</v>
      </c>
      <c r="H1397">
        <v>1</v>
      </c>
      <c r="I1397" s="21">
        <v>19887</v>
      </c>
      <c r="J1397">
        <v>10</v>
      </c>
      <c r="K1397" s="21">
        <v>1988.7</v>
      </c>
      <c r="L1397" s="21">
        <v>17898.3</v>
      </c>
      <c r="M1397" s="21">
        <v>12413.23</v>
      </c>
      <c r="N1397" s="21">
        <v>5485.07</v>
      </c>
      <c r="O1397" t="s">
        <v>55</v>
      </c>
      <c r="P1397" s="21">
        <v>547.80999999999995</v>
      </c>
      <c r="Q1397" t="s">
        <v>30</v>
      </c>
      <c r="R1397" t="s">
        <v>31</v>
      </c>
      <c r="S1397">
        <v>5</v>
      </c>
      <c r="T1397">
        <v>5</v>
      </c>
      <c r="U1397" t="s">
        <v>32</v>
      </c>
      <c r="V1397" t="s">
        <v>33</v>
      </c>
      <c r="W1397">
        <v>2</v>
      </c>
    </row>
    <row r="1398" spans="1:23" x14ac:dyDescent="0.25">
      <c r="A1398" t="s">
        <v>2023</v>
      </c>
      <c r="B1398" s="1">
        <v>45856</v>
      </c>
      <c r="C1398" t="s">
        <v>631</v>
      </c>
      <c r="D1398" t="s">
        <v>79</v>
      </c>
      <c r="E1398" t="s">
        <v>46</v>
      </c>
      <c r="F1398" t="s">
        <v>53</v>
      </c>
      <c r="G1398" t="s">
        <v>82</v>
      </c>
      <c r="H1398">
        <v>1</v>
      </c>
      <c r="I1398" s="21">
        <v>57977</v>
      </c>
      <c r="J1398">
        <v>0</v>
      </c>
      <c r="K1398" s="21">
        <v>0</v>
      </c>
      <c r="L1398" s="21">
        <v>57977</v>
      </c>
      <c r="M1398" s="21">
        <v>41337.589999999997</v>
      </c>
      <c r="N1398" s="21">
        <v>16639.41</v>
      </c>
      <c r="O1398" t="s">
        <v>29</v>
      </c>
      <c r="P1398" s="21">
        <v>249.86</v>
      </c>
      <c r="Q1398" t="s">
        <v>40</v>
      </c>
      <c r="R1398" t="s">
        <v>31</v>
      </c>
      <c r="S1398">
        <v>5</v>
      </c>
      <c r="T1398">
        <v>2</v>
      </c>
      <c r="U1398" t="s">
        <v>32</v>
      </c>
      <c r="V1398" t="s">
        <v>33</v>
      </c>
      <c r="W1398">
        <v>5</v>
      </c>
    </row>
    <row r="1399" spans="1:23" x14ac:dyDescent="0.25">
      <c r="A1399" t="s">
        <v>2024</v>
      </c>
      <c r="B1399" s="1">
        <v>45890</v>
      </c>
      <c r="C1399" t="s">
        <v>875</v>
      </c>
      <c r="D1399" t="s">
        <v>71</v>
      </c>
      <c r="E1399" t="s">
        <v>46</v>
      </c>
      <c r="F1399" t="s">
        <v>86</v>
      </c>
      <c r="G1399" t="s">
        <v>127</v>
      </c>
      <c r="H1399">
        <v>1</v>
      </c>
      <c r="I1399" s="21">
        <v>42801</v>
      </c>
      <c r="J1399">
        <v>0</v>
      </c>
      <c r="K1399" s="21">
        <v>0</v>
      </c>
      <c r="L1399" s="21">
        <v>42801</v>
      </c>
      <c r="M1399" s="21">
        <v>29481.89</v>
      </c>
      <c r="N1399" s="21">
        <v>13319.11</v>
      </c>
      <c r="O1399" t="s">
        <v>91</v>
      </c>
      <c r="P1399" s="21">
        <v>910.94</v>
      </c>
      <c r="Q1399" t="s">
        <v>30</v>
      </c>
      <c r="R1399" t="s">
        <v>41</v>
      </c>
      <c r="S1399">
        <v>2</v>
      </c>
      <c r="T1399">
        <v>1</v>
      </c>
      <c r="U1399" t="s">
        <v>32</v>
      </c>
      <c r="V1399" t="s">
        <v>33</v>
      </c>
      <c r="W1399">
        <v>5</v>
      </c>
    </row>
    <row r="1400" spans="1:23" x14ac:dyDescent="0.25">
      <c r="A1400" t="s">
        <v>2025</v>
      </c>
      <c r="B1400" s="1">
        <v>45847</v>
      </c>
      <c r="C1400" t="s">
        <v>2026</v>
      </c>
      <c r="D1400" t="s">
        <v>124</v>
      </c>
      <c r="E1400" t="s">
        <v>46</v>
      </c>
      <c r="F1400" t="s">
        <v>37</v>
      </c>
      <c r="G1400" t="s">
        <v>38</v>
      </c>
      <c r="H1400">
        <v>2</v>
      </c>
      <c r="I1400" s="21">
        <v>19357</v>
      </c>
      <c r="J1400">
        <v>0</v>
      </c>
      <c r="K1400" s="21">
        <v>0</v>
      </c>
      <c r="L1400" s="21">
        <v>38714</v>
      </c>
      <c r="M1400" s="21">
        <v>31352.17</v>
      </c>
      <c r="N1400" s="21">
        <v>7361.83</v>
      </c>
      <c r="O1400" t="s">
        <v>55</v>
      </c>
      <c r="P1400" s="21">
        <v>1429.29</v>
      </c>
      <c r="Q1400" t="s">
        <v>83</v>
      </c>
      <c r="R1400" t="s">
        <v>41</v>
      </c>
      <c r="S1400">
        <v>2</v>
      </c>
      <c r="T1400">
        <v>3</v>
      </c>
      <c r="U1400" t="s">
        <v>32</v>
      </c>
      <c r="V1400" t="s">
        <v>50</v>
      </c>
      <c r="W1400">
        <v>5</v>
      </c>
    </row>
    <row r="1401" spans="1:23" x14ac:dyDescent="0.25">
      <c r="A1401" t="s">
        <v>2027</v>
      </c>
      <c r="B1401" s="1">
        <v>46001</v>
      </c>
      <c r="C1401" t="s">
        <v>1549</v>
      </c>
      <c r="D1401" t="s">
        <v>63</v>
      </c>
      <c r="E1401" t="s">
        <v>26</v>
      </c>
      <c r="F1401" t="s">
        <v>86</v>
      </c>
      <c r="G1401" t="s">
        <v>94</v>
      </c>
      <c r="H1401">
        <v>2</v>
      </c>
      <c r="I1401" s="21">
        <v>21501</v>
      </c>
      <c r="J1401">
        <v>10</v>
      </c>
      <c r="K1401" s="21">
        <v>4300.2</v>
      </c>
      <c r="L1401" s="21">
        <v>38701.800000000003</v>
      </c>
      <c r="M1401" s="21">
        <v>23332.12</v>
      </c>
      <c r="N1401" s="21">
        <v>15369.68</v>
      </c>
      <c r="O1401" t="s">
        <v>60</v>
      </c>
      <c r="P1401" s="21">
        <v>1741.18</v>
      </c>
      <c r="Q1401" t="s">
        <v>30</v>
      </c>
      <c r="R1401" t="s">
        <v>31</v>
      </c>
      <c r="S1401">
        <v>5</v>
      </c>
      <c r="T1401">
        <v>0</v>
      </c>
      <c r="U1401" t="s">
        <v>32</v>
      </c>
      <c r="V1401" t="s">
        <v>42</v>
      </c>
    </row>
    <row r="1402" spans="1:23" x14ac:dyDescent="0.25">
      <c r="A1402" t="s">
        <v>2028</v>
      </c>
      <c r="B1402" s="1">
        <v>46014</v>
      </c>
      <c r="C1402" t="s">
        <v>1832</v>
      </c>
      <c r="D1402" t="s">
        <v>25</v>
      </c>
      <c r="E1402" t="s">
        <v>46</v>
      </c>
      <c r="F1402" t="s">
        <v>27</v>
      </c>
      <c r="G1402" t="s">
        <v>113</v>
      </c>
      <c r="H1402">
        <v>2</v>
      </c>
      <c r="I1402" s="21">
        <v>7596</v>
      </c>
      <c r="J1402">
        <v>0</v>
      </c>
      <c r="K1402" s="21">
        <v>0</v>
      </c>
      <c r="L1402" s="21">
        <v>15192</v>
      </c>
      <c r="M1402" s="21">
        <v>10627.09</v>
      </c>
      <c r="N1402" s="21">
        <v>4564.91</v>
      </c>
      <c r="O1402" t="s">
        <v>55</v>
      </c>
      <c r="P1402" s="21">
        <v>326.37</v>
      </c>
      <c r="Q1402" t="s">
        <v>83</v>
      </c>
      <c r="R1402" t="s">
        <v>41</v>
      </c>
      <c r="S1402">
        <v>2</v>
      </c>
      <c r="T1402">
        <v>3</v>
      </c>
      <c r="U1402" t="s">
        <v>32</v>
      </c>
      <c r="V1402" t="s">
        <v>50</v>
      </c>
      <c r="W1402">
        <v>5</v>
      </c>
    </row>
    <row r="1403" spans="1:23" x14ac:dyDescent="0.25">
      <c r="A1403" t="s">
        <v>2029</v>
      </c>
      <c r="B1403" s="1">
        <v>45934</v>
      </c>
      <c r="C1403" t="s">
        <v>1223</v>
      </c>
      <c r="D1403" t="s">
        <v>154</v>
      </c>
      <c r="E1403" t="s">
        <v>46</v>
      </c>
      <c r="F1403" t="s">
        <v>37</v>
      </c>
      <c r="G1403" t="s">
        <v>224</v>
      </c>
      <c r="H1403">
        <v>1</v>
      </c>
      <c r="I1403" s="21">
        <v>32953</v>
      </c>
      <c r="J1403">
        <v>0</v>
      </c>
      <c r="K1403" s="21">
        <v>0</v>
      </c>
      <c r="L1403" s="21">
        <v>32953</v>
      </c>
      <c r="M1403" s="21">
        <v>21561.91</v>
      </c>
      <c r="N1403" s="21">
        <v>11391.09</v>
      </c>
      <c r="O1403" t="s">
        <v>91</v>
      </c>
      <c r="P1403" s="21">
        <v>971.19</v>
      </c>
      <c r="Q1403" t="s">
        <v>68</v>
      </c>
      <c r="R1403" t="s">
        <v>41</v>
      </c>
      <c r="S1403">
        <v>2</v>
      </c>
      <c r="T1403">
        <v>3</v>
      </c>
      <c r="U1403" t="s">
        <v>56</v>
      </c>
      <c r="V1403" t="s">
        <v>33</v>
      </c>
      <c r="W1403">
        <v>2</v>
      </c>
    </row>
    <row r="1404" spans="1:23" x14ac:dyDescent="0.25">
      <c r="A1404" t="s">
        <v>2030</v>
      </c>
      <c r="B1404" s="1">
        <v>45872</v>
      </c>
      <c r="C1404" t="s">
        <v>2031</v>
      </c>
      <c r="D1404" t="s">
        <v>79</v>
      </c>
      <c r="E1404" t="s">
        <v>46</v>
      </c>
      <c r="F1404" t="s">
        <v>47</v>
      </c>
      <c r="G1404" t="s">
        <v>146</v>
      </c>
      <c r="H1404">
        <v>1</v>
      </c>
      <c r="I1404" s="21">
        <v>31808</v>
      </c>
      <c r="J1404">
        <v>25</v>
      </c>
      <c r="K1404" s="21">
        <v>7952</v>
      </c>
      <c r="L1404" s="21">
        <v>23856</v>
      </c>
      <c r="M1404" s="21">
        <v>15488.78</v>
      </c>
      <c r="N1404" s="21">
        <v>8367.2199999999993</v>
      </c>
      <c r="O1404" t="s">
        <v>29</v>
      </c>
      <c r="P1404" s="21">
        <v>391.19</v>
      </c>
      <c r="Q1404" t="s">
        <v>68</v>
      </c>
      <c r="R1404" t="s">
        <v>41</v>
      </c>
      <c r="S1404">
        <v>2</v>
      </c>
      <c r="T1404">
        <v>4</v>
      </c>
      <c r="U1404" t="s">
        <v>56</v>
      </c>
      <c r="V1404" t="s">
        <v>33</v>
      </c>
      <c r="W1404">
        <v>1</v>
      </c>
    </row>
    <row r="1405" spans="1:23" x14ac:dyDescent="0.25">
      <c r="A1405" t="s">
        <v>2032</v>
      </c>
      <c r="B1405" s="1">
        <v>45958</v>
      </c>
      <c r="C1405" t="s">
        <v>533</v>
      </c>
      <c r="D1405" t="s">
        <v>90</v>
      </c>
      <c r="E1405" t="s">
        <v>46</v>
      </c>
      <c r="F1405" t="s">
        <v>37</v>
      </c>
      <c r="G1405" t="s">
        <v>313</v>
      </c>
      <c r="H1405">
        <v>2</v>
      </c>
      <c r="I1405" s="21">
        <v>39250</v>
      </c>
      <c r="J1405">
        <v>0</v>
      </c>
      <c r="K1405" s="21">
        <v>0</v>
      </c>
      <c r="L1405" s="21">
        <v>78500</v>
      </c>
      <c r="M1405" s="21">
        <v>61693.1</v>
      </c>
      <c r="N1405" s="21">
        <v>16806.900000000001</v>
      </c>
      <c r="O1405" t="s">
        <v>55</v>
      </c>
      <c r="P1405" s="21">
        <v>797.2</v>
      </c>
      <c r="Q1405" t="s">
        <v>73</v>
      </c>
      <c r="R1405" t="s">
        <v>31</v>
      </c>
      <c r="S1405">
        <v>5</v>
      </c>
      <c r="T1405">
        <v>1</v>
      </c>
      <c r="U1405" t="s">
        <v>32</v>
      </c>
      <c r="V1405" t="s">
        <v>50</v>
      </c>
      <c r="W1405">
        <v>2</v>
      </c>
    </row>
    <row r="1406" spans="1:23" x14ac:dyDescent="0.25">
      <c r="A1406" t="s">
        <v>2033</v>
      </c>
      <c r="B1406" s="1">
        <v>45737</v>
      </c>
      <c r="C1406" t="s">
        <v>657</v>
      </c>
      <c r="D1406" t="s">
        <v>71</v>
      </c>
      <c r="E1406" t="s">
        <v>46</v>
      </c>
      <c r="F1406" t="s">
        <v>37</v>
      </c>
      <c r="G1406" t="s">
        <v>38</v>
      </c>
      <c r="H1406">
        <v>4</v>
      </c>
      <c r="I1406" s="21">
        <v>36170</v>
      </c>
      <c r="J1406">
        <v>25</v>
      </c>
      <c r="K1406" s="21">
        <v>36170</v>
      </c>
      <c r="L1406" s="21">
        <v>108510</v>
      </c>
      <c r="M1406" s="21">
        <v>65590.009999999995</v>
      </c>
      <c r="N1406" s="21">
        <v>42919.99</v>
      </c>
      <c r="O1406" t="s">
        <v>29</v>
      </c>
      <c r="P1406" s="21">
        <v>1511.29</v>
      </c>
      <c r="Q1406" t="s">
        <v>73</v>
      </c>
      <c r="R1406" t="s">
        <v>41</v>
      </c>
      <c r="S1406">
        <v>2</v>
      </c>
      <c r="T1406">
        <v>3</v>
      </c>
      <c r="U1406" t="s">
        <v>32</v>
      </c>
      <c r="V1406" t="s">
        <v>50</v>
      </c>
      <c r="W1406">
        <v>3</v>
      </c>
    </row>
    <row r="1407" spans="1:23" x14ac:dyDescent="0.25">
      <c r="A1407" t="s">
        <v>2034</v>
      </c>
      <c r="B1407" s="1">
        <v>45870</v>
      </c>
      <c r="C1407" t="s">
        <v>1300</v>
      </c>
      <c r="D1407" t="s">
        <v>90</v>
      </c>
      <c r="E1407" t="s">
        <v>46</v>
      </c>
      <c r="F1407" t="s">
        <v>47</v>
      </c>
      <c r="G1407" t="s">
        <v>64</v>
      </c>
      <c r="H1407">
        <v>1</v>
      </c>
      <c r="I1407" s="21">
        <v>32417</v>
      </c>
      <c r="J1407">
        <v>15</v>
      </c>
      <c r="K1407" s="21">
        <v>4862.55</v>
      </c>
      <c r="L1407" s="21">
        <v>27554.45</v>
      </c>
      <c r="M1407" s="21">
        <v>17333.57</v>
      </c>
      <c r="N1407" s="21">
        <v>10220.879999999999</v>
      </c>
      <c r="O1407" t="s">
        <v>55</v>
      </c>
      <c r="P1407" s="21">
        <v>2023.94</v>
      </c>
      <c r="Q1407" t="s">
        <v>68</v>
      </c>
      <c r="R1407" t="s">
        <v>41</v>
      </c>
      <c r="S1407">
        <v>2</v>
      </c>
      <c r="T1407">
        <v>1</v>
      </c>
      <c r="U1407" t="s">
        <v>32</v>
      </c>
      <c r="V1407" t="s">
        <v>33</v>
      </c>
      <c r="W1407">
        <v>5</v>
      </c>
    </row>
    <row r="1408" spans="1:23" x14ac:dyDescent="0.25">
      <c r="A1408" t="s">
        <v>2035</v>
      </c>
      <c r="B1408" s="1">
        <v>45993</v>
      </c>
      <c r="C1408" t="s">
        <v>2036</v>
      </c>
      <c r="D1408" t="s">
        <v>67</v>
      </c>
      <c r="E1408" t="s">
        <v>36</v>
      </c>
      <c r="F1408" t="s">
        <v>86</v>
      </c>
      <c r="G1408" t="s">
        <v>180</v>
      </c>
      <c r="H1408">
        <v>1</v>
      </c>
      <c r="I1408" s="21">
        <v>38624</v>
      </c>
      <c r="J1408">
        <v>15</v>
      </c>
      <c r="K1408" s="21">
        <v>5793.6</v>
      </c>
      <c r="L1408" s="21">
        <v>32830.400000000001</v>
      </c>
      <c r="M1408" s="21">
        <v>20840.22</v>
      </c>
      <c r="N1408" s="21">
        <v>11990.18</v>
      </c>
      <c r="O1408" t="s">
        <v>91</v>
      </c>
      <c r="P1408" s="21">
        <v>798.41</v>
      </c>
      <c r="Q1408" t="s">
        <v>30</v>
      </c>
      <c r="R1408" t="s">
        <v>41</v>
      </c>
      <c r="S1408">
        <v>2</v>
      </c>
      <c r="T1408">
        <v>1</v>
      </c>
      <c r="U1408" t="s">
        <v>32</v>
      </c>
      <c r="V1408" t="s">
        <v>33</v>
      </c>
      <c r="W1408">
        <v>4</v>
      </c>
    </row>
    <row r="1409" spans="1:23" x14ac:dyDescent="0.25">
      <c r="A1409" t="s">
        <v>2037</v>
      </c>
      <c r="B1409" s="1">
        <v>45708</v>
      </c>
      <c r="C1409" t="s">
        <v>282</v>
      </c>
      <c r="D1409" t="s">
        <v>154</v>
      </c>
      <c r="E1409" t="s">
        <v>46</v>
      </c>
      <c r="F1409" t="s">
        <v>37</v>
      </c>
      <c r="G1409" t="s">
        <v>313</v>
      </c>
      <c r="H1409">
        <v>2</v>
      </c>
      <c r="I1409" s="21">
        <v>5420</v>
      </c>
      <c r="J1409">
        <v>10</v>
      </c>
      <c r="K1409" s="21">
        <v>1084</v>
      </c>
      <c r="L1409" s="21">
        <v>9756</v>
      </c>
      <c r="M1409" s="21">
        <v>6437.35</v>
      </c>
      <c r="N1409" s="21">
        <v>3318.65</v>
      </c>
      <c r="O1409" t="s">
        <v>91</v>
      </c>
      <c r="P1409" s="21">
        <v>2404.7199999999998</v>
      </c>
      <c r="Q1409" t="s">
        <v>40</v>
      </c>
      <c r="R1409" t="s">
        <v>41</v>
      </c>
      <c r="S1409">
        <v>2</v>
      </c>
      <c r="T1409">
        <v>5</v>
      </c>
      <c r="U1409" t="s">
        <v>56</v>
      </c>
      <c r="V1409" t="s">
        <v>33</v>
      </c>
      <c r="W1409">
        <v>1</v>
      </c>
    </row>
    <row r="1410" spans="1:23" x14ac:dyDescent="0.25">
      <c r="A1410" t="s">
        <v>2038</v>
      </c>
      <c r="B1410" s="1">
        <v>45908</v>
      </c>
      <c r="C1410" t="s">
        <v>1026</v>
      </c>
      <c r="D1410" t="s">
        <v>25</v>
      </c>
      <c r="E1410" t="s">
        <v>26</v>
      </c>
      <c r="F1410" t="s">
        <v>47</v>
      </c>
      <c r="G1410" t="s">
        <v>64</v>
      </c>
      <c r="H1410">
        <v>1</v>
      </c>
      <c r="I1410" s="21">
        <v>16371</v>
      </c>
      <c r="J1410">
        <v>20</v>
      </c>
      <c r="K1410" s="21">
        <v>3274.2</v>
      </c>
      <c r="L1410" s="21">
        <v>13096.8</v>
      </c>
      <c r="M1410" s="21">
        <v>10300.24</v>
      </c>
      <c r="N1410" s="21">
        <v>2796.56</v>
      </c>
      <c r="O1410" t="s">
        <v>60</v>
      </c>
      <c r="P1410" s="21">
        <v>2372.71</v>
      </c>
      <c r="Q1410" t="s">
        <v>73</v>
      </c>
      <c r="R1410" t="s">
        <v>41</v>
      </c>
      <c r="S1410">
        <v>2</v>
      </c>
      <c r="T1410">
        <v>1</v>
      </c>
      <c r="U1410" t="s">
        <v>32</v>
      </c>
      <c r="V1410" t="s">
        <v>50</v>
      </c>
      <c r="W1410">
        <v>5</v>
      </c>
    </row>
    <row r="1411" spans="1:23" x14ac:dyDescent="0.25">
      <c r="A1411" t="s">
        <v>2039</v>
      </c>
      <c r="B1411" s="1">
        <v>45973</v>
      </c>
      <c r="C1411" t="s">
        <v>137</v>
      </c>
      <c r="D1411" t="s">
        <v>45</v>
      </c>
      <c r="E1411" t="s">
        <v>46</v>
      </c>
      <c r="F1411" t="s">
        <v>53</v>
      </c>
      <c r="G1411" t="s">
        <v>82</v>
      </c>
      <c r="H1411">
        <v>3</v>
      </c>
      <c r="I1411" s="21">
        <v>27151</v>
      </c>
      <c r="J1411">
        <v>10</v>
      </c>
      <c r="K1411" s="21">
        <v>8145.3</v>
      </c>
      <c r="L1411" s="21">
        <v>73307.7</v>
      </c>
      <c r="M1411" s="21">
        <v>48970.52</v>
      </c>
      <c r="N1411" s="21">
        <v>24337.18</v>
      </c>
      <c r="O1411" t="s">
        <v>91</v>
      </c>
      <c r="P1411" s="21">
        <v>538.89</v>
      </c>
      <c r="Q1411" t="s">
        <v>68</v>
      </c>
      <c r="R1411" t="s">
        <v>41</v>
      </c>
      <c r="S1411">
        <v>2</v>
      </c>
      <c r="T1411">
        <v>0</v>
      </c>
      <c r="U1411" t="s">
        <v>32</v>
      </c>
      <c r="V1411" t="s">
        <v>50</v>
      </c>
      <c r="W1411">
        <v>2</v>
      </c>
    </row>
    <row r="1412" spans="1:23" x14ac:dyDescent="0.25">
      <c r="A1412" t="s">
        <v>2040</v>
      </c>
      <c r="B1412" s="1">
        <v>45866</v>
      </c>
      <c r="C1412" t="s">
        <v>961</v>
      </c>
      <c r="D1412" t="s">
        <v>97</v>
      </c>
      <c r="E1412" t="s">
        <v>36</v>
      </c>
      <c r="F1412" t="s">
        <v>86</v>
      </c>
      <c r="G1412" t="s">
        <v>127</v>
      </c>
      <c r="H1412">
        <v>2</v>
      </c>
      <c r="I1412" s="21">
        <v>6819</v>
      </c>
      <c r="J1412">
        <v>20</v>
      </c>
      <c r="K1412" s="21">
        <v>2727.6</v>
      </c>
      <c r="L1412" s="21">
        <v>10910.4</v>
      </c>
      <c r="M1412" s="21">
        <v>8130.66</v>
      </c>
      <c r="N1412" s="21">
        <v>2779.74</v>
      </c>
      <c r="O1412" t="s">
        <v>49</v>
      </c>
      <c r="P1412" s="21">
        <v>102.3</v>
      </c>
      <c r="Q1412" t="s">
        <v>40</v>
      </c>
      <c r="R1412" t="s">
        <v>31</v>
      </c>
      <c r="S1412">
        <v>5</v>
      </c>
      <c r="T1412">
        <v>7</v>
      </c>
      <c r="U1412" t="s">
        <v>56</v>
      </c>
      <c r="V1412" t="s">
        <v>33</v>
      </c>
      <c r="W1412">
        <v>3</v>
      </c>
    </row>
    <row r="1413" spans="1:23" x14ac:dyDescent="0.25">
      <c r="A1413" t="s">
        <v>2041</v>
      </c>
      <c r="B1413" s="1">
        <v>45801</v>
      </c>
      <c r="C1413" t="s">
        <v>618</v>
      </c>
      <c r="D1413" t="s">
        <v>90</v>
      </c>
      <c r="E1413" t="s">
        <v>46</v>
      </c>
      <c r="F1413" t="s">
        <v>86</v>
      </c>
      <c r="G1413" t="s">
        <v>180</v>
      </c>
      <c r="H1413">
        <v>2</v>
      </c>
      <c r="I1413" s="21">
        <v>44352</v>
      </c>
      <c r="J1413">
        <v>5</v>
      </c>
      <c r="K1413" s="21">
        <v>4435.2</v>
      </c>
      <c r="L1413" s="21">
        <v>84268.800000000003</v>
      </c>
      <c r="M1413" s="21">
        <v>50740.63</v>
      </c>
      <c r="N1413" s="21">
        <v>33528.17</v>
      </c>
      <c r="O1413" t="s">
        <v>91</v>
      </c>
      <c r="P1413" s="21">
        <v>2330.87</v>
      </c>
      <c r="Q1413" t="s">
        <v>73</v>
      </c>
      <c r="R1413" t="s">
        <v>31</v>
      </c>
      <c r="S1413">
        <v>5</v>
      </c>
      <c r="T1413">
        <v>5</v>
      </c>
      <c r="U1413" t="s">
        <v>32</v>
      </c>
      <c r="V1413" t="s">
        <v>50</v>
      </c>
      <c r="W1413">
        <v>1</v>
      </c>
    </row>
    <row r="1414" spans="1:23" x14ac:dyDescent="0.25">
      <c r="A1414" t="s">
        <v>2042</v>
      </c>
      <c r="B1414" s="1">
        <v>45674</v>
      </c>
      <c r="C1414" t="s">
        <v>702</v>
      </c>
      <c r="D1414" t="s">
        <v>67</v>
      </c>
      <c r="E1414" t="s">
        <v>26</v>
      </c>
      <c r="F1414" t="s">
        <v>86</v>
      </c>
      <c r="G1414" t="s">
        <v>180</v>
      </c>
      <c r="H1414">
        <v>1</v>
      </c>
      <c r="I1414" s="21">
        <v>59345</v>
      </c>
      <c r="J1414">
        <v>0</v>
      </c>
      <c r="K1414" s="21">
        <v>0</v>
      </c>
      <c r="L1414" s="21">
        <v>59345</v>
      </c>
      <c r="M1414" s="21">
        <v>46238.64</v>
      </c>
      <c r="N1414" s="21">
        <v>13106.36</v>
      </c>
      <c r="O1414" t="s">
        <v>60</v>
      </c>
      <c r="P1414" s="21">
        <v>209.99</v>
      </c>
      <c r="Q1414" t="s">
        <v>83</v>
      </c>
      <c r="R1414" t="s">
        <v>41</v>
      </c>
      <c r="S1414">
        <v>2</v>
      </c>
      <c r="T1414">
        <v>1</v>
      </c>
      <c r="U1414" t="s">
        <v>32</v>
      </c>
      <c r="V1414" t="s">
        <v>42</v>
      </c>
    </row>
    <row r="1415" spans="1:23" x14ac:dyDescent="0.25">
      <c r="A1415" t="s">
        <v>2043</v>
      </c>
      <c r="B1415" s="1">
        <v>46011</v>
      </c>
      <c r="C1415" t="s">
        <v>70</v>
      </c>
      <c r="D1415" t="s">
        <v>90</v>
      </c>
      <c r="E1415" t="s">
        <v>26</v>
      </c>
      <c r="F1415" t="s">
        <v>47</v>
      </c>
      <c r="G1415" t="s">
        <v>146</v>
      </c>
      <c r="H1415">
        <v>1</v>
      </c>
      <c r="I1415" s="21">
        <v>15290</v>
      </c>
      <c r="J1415">
        <v>5</v>
      </c>
      <c r="K1415" s="21">
        <v>764.5</v>
      </c>
      <c r="L1415" s="21">
        <v>14525.5</v>
      </c>
      <c r="M1415" s="21">
        <v>8791.41</v>
      </c>
      <c r="N1415" s="21">
        <v>5734.09</v>
      </c>
      <c r="O1415" t="s">
        <v>49</v>
      </c>
      <c r="P1415" s="21">
        <v>253.11</v>
      </c>
      <c r="Q1415" t="s">
        <v>40</v>
      </c>
      <c r="R1415" t="s">
        <v>41</v>
      </c>
      <c r="S1415">
        <v>2</v>
      </c>
      <c r="T1415">
        <v>6</v>
      </c>
      <c r="U1415" t="s">
        <v>56</v>
      </c>
      <c r="V1415" t="s">
        <v>33</v>
      </c>
      <c r="W1415">
        <v>5</v>
      </c>
    </row>
    <row r="1416" spans="1:23" x14ac:dyDescent="0.25">
      <c r="A1416" t="s">
        <v>2044</v>
      </c>
      <c r="B1416" s="1">
        <v>45847</v>
      </c>
      <c r="C1416" t="s">
        <v>1729</v>
      </c>
      <c r="D1416" t="s">
        <v>154</v>
      </c>
      <c r="E1416" t="s">
        <v>26</v>
      </c>
      <c r="F1416" t="s">
        <v>27</v>
      </c>
      <c r="G1416" t="s">
        <v>164</v>
      </c>
      <c r="H1416">
        <v>1</v>
      </c>
      <c r="I1416" s="21">
        <v>26349</v>
      </c>
      <c r="J1416">
        <v>15</v>
      </c>
      <c r="K1416" s="21">
        <v>3952.35</v>
      </c>
      <c r="L1416" s="21">
        <v>22396.65</v>
      </c>
      <c r="M1416" s="21">
        <v>12370.93</v>
      </c>
      <c r="N1416" s="21">
        <v>10025.719999999999</v>
      </c>
      <c r="O1416" t="s">
        <v>49</v>
      </c>
      <c r="P1416" s="21">
        <v>462.81</v>
      </c>
      <c r="Q1416" t="s">
        <v>30</v>
      </c>
      <c r="R1416" t="s">
        <v>41</v>
      </c>
      <c r="S1416">
        <v>2</v>
      </c>
      <c r="T1416">
        <v>1</v>
      </c>
      <c r="U1416" t="s">
        <v>32</v>
      </c>
      <c r="V1416" t="s">
        <v>33</v>
      </c>
      <c r="W1416">
        <v>5</v>
      </c>
    </row>
    <row r="1417" spans="1:23" x14ac:dyDescent="0.25">
      <c r="A1417" t="s">
        <v>2045</v>
      </c>
      <c r="B1417" s="1">
        <v>45769</v>
      </c>
      <c r="C1417" t="s">
        <v>1744</v>
      </c>
      <c r="D1417" t="s">
        <v>97</v>
      </c>
      <c r="E1417" t="s">
        <v>36</v>
      </c>
      <c r="F1417" t="s">
        <v>37</v>
      </c>
      <c r="G1417" t="s">
        <v>161</v>
      </c>
      <c r="H1417">
        <v>1</v>
      </c>
      <c r="I1417" s="21">
        <v>13540</v>
      </c>
      <c r="J1417">
        <v>10</v>
      </c>
      <c r="K1417" s="21">
        <v>1354</v>
      </c>
      <c r="L1417" s="21">
        <v>12186</v>
      </c>
      <c r="M1417" s="21">
        <v>8747.6</v>
      </c>
      <c r="N1417" s="21">
        <v>3438.4</v>
      </c>
      <c r="O1417" t="s">
        <v>39</v>
      </c>
      <c r="P1417" s="21">
        <v>314.81</v>
      </c>
      <c r="Q1417" t="s">
        <v>83</v>
      </c>
      <c r="R1417" t="s">
        <v>31</v>
      </c>
      <c r="S1417">
        <v>5</v>
      </c>
      <c r="T1417">
        <v>6</v>
      </c>
      <c r="U1417" t="s">
        <v>56</v>
      </c>
      <c r="V1417" t="s">
        <v>33</v>
      </c>
      <c r="W1417">
        <v>3</v>
      </c>
    </row>
    <row r="1418" spans="1:23" x14ac:dyDescent="0.25">
      <c r="A1418" t="s">
        <v>2046</v>
      </c>
      <c r="B1418" s="1">
        <v>45885</v>
      </c>
      <c r="C1418" t="s">
        <v>316</v>
      </c>
      <c r="D1418" t="s">
        <v>63</v>
      </c>
      <c r="E1418" t="s">
        <v>46</v>
      </c>
      <c r="F1418" t="s">
        <v>53</v>
      </c>
      <c r="G1418" t="s">
        <v>151</v>
      </c>
      <c r="H1418">
        <v>1</v>
      </c>
      <c r="I1418" s="21">
        <v>78546</v>
      </c>
      <c r="J1418">
        <v>5</v>
      </c>
      <c r="K1418" s="21">
        <v>3927.3</v>
      </c>
      <c r="L1418" s="21">
        <v>74618.7</v>
      </c>
      <c r="M1418" s="21">
        <v>60213.4</v>
      </c>
      <c r="N1418" s="21">
        <v>14405.3</v>
      </c>
      <c r="O1418" t="s">
        <v>60</v>
      </c>
      <c r="P1418" s="21">
        <v>1667.53</v>
      </c>
      <c r="Q1418" t="s">
        <v>83</v>
      </c>
      <c r="R1418" t="s">
        <v>31</v>
      </c>
      <c r="S1418">
        <v>5</v>
      </c>
      <c r="T1418">
        <v>2</v>
      </c>
      <c r="U1418" t="s">
        <v>32</v>
      </c>
      <c r="V1418" t="s">
        <v>50</v>
      </c>
      <c r="W1418">
        <v>3</v>
      </c>
    </row>
    <row r="1419" spans="1:23" x14ac:dyDescent="0.25">
      <c r="A1419" t="s">
        <v>2047</v>
      </c>
      <c r="B1419" s="1">
        <v>45885</v>
      </c>
      <c r="C1419" t="s">
        <v>451</v>
      </c>
      <c r="D1419" t="s">
        <v>124</v>
      </c>
      <c r="E1419" t="s">
        <v>46</v>
      </c>
      <c r="F1419" t="s">
        <v>86</v>
      </c>
      <c r="G1419" t="s">
        <v>180</v>
      </c>
      <c r="H1419">
        <v>1</v>
      </c>
      <c r="I1419" s="21">
        <v>15941</v>
      </c>
      <c r="J1419">
        <v>10</v>
      </c>
      <c r="K1419" s="21">
        <v>1594.1</v>
      </c>
      <c r="L1419" s="21">
        <v>14346.9</v>
      </c>
      <c r="M1419" s="21">
        <v>8630.4</v>
      </c>
      <c r="N1419" s="21">
        <v>5716.5</v>
      </c>
      <c r="O1419" t="s">
        <v>55</v>
      </c>
      <c r="P1419" s="21">
        <v>1685.17</v>
      </c>
      <c r="Q1419" t="s">
        <v>30</v>
      </c>
      <c r="R1419" t="s">
        <v>31</v>
      </c>
      <c r="S1419">
        <v>5</v>
      </c>
      <c r="T1419">
        <v>2</v>
      </c>
      <c r="U1419" t="s">
        <v>32</v>
      </c>
      <c r="V1419" t="s">
        <v>50</v>
      </c>
      <c r="W1419">
        <v>5</v>
      </c>
    </row>
    <row r="1420" spans="1:23" x14ac:dyDescent="0.25">
      <c r="A1420" t="s">
        <v>2048</v>
      </c>
      <c r="B1420" s="1">
        <v>45778</v>
      </c>
      <c r="C1420" t="s">
        <v>312</v>
      </c>
      <c r="D1420" t="s">
        <v>25</v>
      </c>
      <c r="E1420" t="s">
        <v>46</v>
      </c>
      <c r="F1420" t="s">
        <v>86</v>
      </c>
      <c r="G1420" t="s">
        <v>127</v>
      </c>
      <c r="H1420">
        <v>1</v>
      </c>
      <c r="I1420" s="21">
        <v>19514</v>
      </c>
      <c r="J1420">
        <v>10</v>
      </c>
      <c r="K1420" s="21">
        <v>1951.4</v>
      </c>
      <c r="L1420" s="21">
        <v>17562.599999999999</v>
      </c>
      <c r="M1420" s="21">
        <v>11468.15</v>
      </c>
      <c r="N1420" s="21">
        <v>6094.45</v>
      </c>
      <c r="O1420" t="s">
        <v>29</v>
      </c>
      <c r="P1420" s="21">
        <v>2133.83</v>
      </c>
      <c r="Q1420" t="s">
        <v>30</v>
      </c>
      <c r="R1420" t="s">
        <v>31</v>
      </c>
      <c r="S1420">
        <v>5</v>
      </c>
      <c r="T1420">
        <v>8</v>
      </c>
      <c r="U1420" t="s">
        <v>56</v>
      </c>
      <c r="V1420" t="s">
        <v>33</v>
      </c>
      <c r="W1420">
        <v>4</v>
      </c>
    </row>
    <row r="1421" spans="1:23" x14ac:dyDescent="0.25">
      <c r="A1421" t="s">
        <v>2049</v>
      </c>
      <c r="B1421" s="1">
        <v>45843</v>
      </c>
      <c r="C1421" t="s">
        <v>1449</v>
      </c>
      <c r="D1421" t="s">
        <v>79</v>
      </c>
      <c r="E1421" t="s">
        <v>46</v>
      </c>
      <c r="F1421" t="s">
        <v>37</v>
      </c>
      <c r="G1421" t="s">
        <v>313</v>
      </c>
      <c r="H1421">
        <v>3</v>
      </c>
      <c r="I1421" s="21">
        <v>38545</v>
      </c>
      <c r="J1421">
        <v>25</v>
      </c>
      <c r="K1421" s="21">
        <v>28908.75</v>
      </c>
      <c r="L1421" s="21">
        <v>86726.25</v>
      </c>
      <c r="M1421" s="21">
        <v>62822.44</v>
      </c>
      <c r="N1421" s="21">
        <v>23903.81</v>
      </c>
      <c r="O1421" t="s">
        <v>29</v>
      </c>
      <c r="P1421" s="21">
        <v>436.51</v>
      </c>
      <c r="Q1421" t="s">
        <v>83</v>
      </c>
      <c r="R1421" t="s">
        <v>41</v>
      </c>
      <c r="S1421">
        <v>2</v>
      </c>
      <c r="T1421">
        <v>3</v>
      </c>
      <c r="U1421" t="s">
        <v>56</v>
      </c>
      <c r="V1421" t="s">
        <v>33</v>
      </c>
      <c r="W1421">
        <v>5</v>
      </c>
    </row>
    <row r="1422" spans="1:23" x14ac:dyDescent="0.25">
      <c r="A1422" t="s">
        <v>2050</v>
      </c>
      <c r="B1422" s="1">
        <v>45708</v>
      </c>
      <c r="C1422" t="s">
        <v>2051</v>
      </c>
      <c r="D1422" t="s">
        <v>71</v>
      </c>
      <c r="E1422" t="s">
        <v>36</v>
      </c>
      <c r="F1422" t="s">
        <v>53</v>
      </c>
      <c r="G1422" t="s">
        <v>59</v>
      </c>
      <c r="H1422">
        <v>1</v>
      </c>
      <c r="I1422" s="21">
        <v>64364</v>
      </c>
      <c r="J1422">
        <v>15</v>
      </c>
      <c r="K1422" s="21">
        <v>9654.6</v>
      </c>
      <c r="L1422" s="21">
        <v>54709.4</v>
      </c>
      <c r="M1422" s="21">
        <v>36568.089999999997</v>
      </c>
      <c r="N1422" s="21">
        <v>18141.310000000001</v>
      </c>
      <c r="O1422" t="s">
        <v>60</v>
      </c>
      <c r="P1422" s="21">
        <v>658.17</v>
      </c>
      <c r="Q1422" t="s">
        <v>30</v>
      </c>
      <c r="R1422" t="s">
        <v>31</v>
      </c>
      <c r="S1422">
        <v>5</v>
      </c>
      <c r="T1422">
        <v>5</v>
      </c>
      <c r="U1422" t="s">
        <v>32</v>
      </c>
      <c r="V1422" t="s">
        <v>42</v>
      </c>
    </row>
    <row r="1423" spans="1:23" x14ac:dyDescent="0.25">
      <c r="A1423" t="s">
        <v>2052</v>
      </c>
      <c r="B1423" s="1">
        <v>46009</v>
      </c>
      <c r="C1423" t="s">
        <v>1281</v>
      </c>
      <c r="D1423" t="s">
        <v>25</v>
      </c>
      <c r="E1423" t="s">
        <v>46</v>
      </c>
      <c r="F1423" t="s">
        <v>53</v>
      </c>
      <c r="G1423" t="s">
        <v>54</v>
      </c>
      <c r="H1423">
        <v>4</v>
      </c>
      <c r="I1423" s="21">
        <v>36181</v>
      </c>
      <c r="J1423">
        <v>25</v>
      </c>
      <c r="K1423" s="21">
        <v>36181</v>
      </c>
      <c r="L1423" s="21">
        <v>108543</v>
      </c>
      <c r="M1423" s="21">
        <v>61661.43</v>
      </c>
      <c r="N1423" s="21">
        <v>46881.57</v>
      </c>
      <c r="O1423" t="s">
        <v>55</v>
      </c>
      <c r="P1423" s="21">
        <v>1211.3800000000001</v>
      </c>
      <c r="Q1423" t="s">
        <v>68</v>
      </c>
      <c r="R1423" t="s">
        <v>41</v>
      </c>
      <c r="S1423">
        <v>2</v>
      </c>
      <c r="T1423">
        <v>4</v>
      </c>
      <c r="U1423" t="s">
        <v>56</v>
      </c>
      <c r="V1423" t="s">
        <v>33</v>
      </c>
      <c r="W1423">
        <v>3</v>
      </c>
    </row>
    <row r="1424" spans="1:23" x14ac:dyDescent="0.25">
      <c r="A1424" t="s">
        <v>2053</v>
      </c>
      <c r="B1424" s="1">
        <v>45846</v>
      </c>
      <c r="C1424" t="s">
        <v>2054</v>
      </c>
      <c r="D1424" t="s">
        <v>25</v>
      </c>
      <c r="E1424" t="s">
        <v>36</v>
      </c>
      <c r="F1424" t="s">
        <v>37</v>
      </c>
      <c r="G1424" t="s">
        <v>313</v>
      </c>
      <c r="H1424">
        <v>2</v>
      </c>
      <c r="I1424" s="21">
        <v>14434</v>
      </c>
      <c r="J1424">
        <v>15</v>
      </c>
      <c r="K1424" s="21">
        <v>4330.2</v>
      </c>
      <c r="L1424" s="21">
        <v>24537.8</v>
      </c>
      <c r="M1424" s="21">
        <v>16147.06</v>
      </c>
      <c r="N1424" s="21">
        <v>8390.74</v>
      </c>
      <c r="O1424" t="s">
        <v>91</v>
      </c>
      <c r="P1424" s="21">
        <v>2282.4699999999998</v>
      </c>
      <c r="Q1424" t="s">
        <v>30</v>
      </c>
      <c r="R1424" t="s">
        <v>31</v>
      </c>
      <c r="S1424">
        <v>5</v>
      </c>
      <c r="T1424">
        <v>4</v>
      </c>
      <c r="U1424" t="s">
        <v>32</v>
      </c>
      <c r="V1424" t="s">
        <v>33</v>
      </c>
      <c r="W1424">
        <v>4</v>
      </c>
    </row>
    <row r="1425" spans="1:23" x14ac:dyDescent="0.25">
      <c r="A1425" t="s">
        <v>2055</v>
      </c>
      <c r="B1425" s="1">
        <v>45936</v>
      </c>
      <c r="C1425" t="s">
        <v>270</v>
      </c>
      <c r="D1425" t="s">
        <v>79</v>
      </c>
      <c r="E1425" t="s">
        <v>46</v>
      </c>
      <c r="F1425" t="s">
        <v>86</v>
      </c>
      <c r="G1425" t="s">
        <v>110</v>
      </c>
      <c r="H1425">
        <v>2</v>
      </c>
      <c r="I1425" s="21">
        <v>77834</v>
      </c>
      <c r="J1425">
        <v>0</v>
      </c>
      <c r="K1425" s="21">
        <v>0</v>
      </c>
      <c r="L1425" s="21">
        <v>155668</v>
      </c>
      <c r="M1425" s="21">
        <v>119863.2</v>
      </c>
      <c r="N1425" s="21">
        <v>35804.800000000003</v>
      </c>
      <c r="O1425" t="s">
        <v>49</v>
      </c>
      <c r="P1425" s="21">
        <v>404.91</v>
      </c>
      <c r="Q1425" t="s">
        <v>73</v>
      </c>
      <c r="R1425" t="s">
        <v>31</v>
      </c>
      <c r="S1425">
        <v>5</v>
      </c>
      <c r="T1425">
        <v>3</v>
      </c>
      <c r="U1425" t="s">
        <v>32</v>
      </c>
      <c r="V1425" t="s">
        <v>33</v>
      </c>
      <c r="W1425">
        <v>2</v>
      </c>
    </row>
    <row r="1426" spans="1:23" x14ac:dyDescent="0.25">
      <c r="A1426" t="s">
        <v>2056</v>
      </c>
      <c r="B1426" s="1">
        <v>45988</v>
      </c>
      <c r="C1426" t="s">
        <v>2057</v>
      </c>
      <c r="D1426" t="s">
        <v>154</v>
      </c>
      <c r="E1426" t="s">
        <v>26</v>
      </c>
      <c r="F1426" t="s">
        <v>47</v>
      </c>
      <c r="G1426" t="s">
        <v>146</v>
      </c>
      <c r="H1426">
        <v>1</v>
      </c>
      <c r="I1426" s="21">
        <v>49424</v>
      </c>
      <c r="J1426">
        <v>0</v>
      </c>
      <c r="K1426" s="21">
        <v>0</v>
      </c>
      <c r="L1426" s="21">
        <v>49424</v>
      </c>
      <c r="M1426" s="21">
        <v>35696.6</v>
      </c>
      <c r="N1426" s="21">
        <v>13727.4</v>
      </c>
      <c r="O1426" t="s">
        <v>60</v>
      </c>
      <c r="P1426" s="21">
        <v>489.3</v>
      </c>
      <c r="Q1426" t="s">
        <v>40</v>
      </c>
      <c r="R1426" t="s">
        <v>31</v>
      </c>
      <c r="S1426">
        <v>5</v>
      </c>
      <c r="T1426">
        <v>1</v>
      </c>
      <c r="U1426" t="s">
        <v>32</v>
      </c>
      <c r="V1426" t="s">
        <v>50</v>
      </c>
      <c r="W1426">
        <v>3</v>
      </c>
    </row>
    <row r="1427" spans="1:23" x14ac:dyDescent="0.25">
      <c r="A1427" t="s">
        <v>2058</v>
      </c>
      <c r="B1427" s="1">
        <v>45841</v>
      </c>
      <c r="C1427" t="s">
        <v>282</v>
      </c>
      <c r="D1427" t="s">
        <v>79</v>
      </c>
      <c r="E1427" t="s">
        <v>46</v>
      </c>
      <c r="F1427" t="s">
        <v>86</v>
      </c>
      <c r="G1427" t="s">
        <v>94</v>
      </c>
      <c r="H1427">
        <v>1</v>
      </c>
      <c r="I1427" s="21">
        <v>7003</v>
      </c>
      <c r="J1427">
        <v>0</v>
      </c>
      <c r="K1427" s="21">
        <v>0</v>
      </c>
      <c r="L1427" s="21">
        <v>7003</v>
      </c>
      <c r="M1427" s="21">
        <v>5526.91</v>
      </c>
      <c r="N1427" s="21">
        <v>1476.09</v>
      </c>
      <c r="O1427" t="s">
        <v>91</v>
      </c>
      <c r="P1427" s="21">
        <v>2105.9</v>
      </c>
      <c r="Q1427" t="s">
        <v>40</v>
      </c>
      <c r="R1427" t="s">
        <v>41</v>
      </c>
      <c r="S1427">
        <v>2</v>
      </c>
      <c r="T1427">
        <v>1</v>
      </c>
      <c r="U1427" t="s">
        <v>32</v>
      </c>
      <c r="V1427" t="s">
        <v>33</v>
      </c>
      <c r="W1427">
        <v>5</v>
      </c>
    </row>
    <row r="1428" spans="1:23" x14ac:dyDescent="0.25">
      <c r="A1428" t="s">
        <v>2059</v>
      </c>
      <c r="B1428" s="1">
        <v>45689</v>
      </c>
      <c r="C1428" t="s">
        <v>1637</v>
      </c>
      <c r="D1428" t="s">
        <v>67</v>
      </c>
      <c r="E1428" t="s">
        <v>36</v>
      </c>
      <c r="F1428" t="s">
        <v>47</v>
      </c>
      <c r="G1428" t="s">
        <v>105</v>
      </c>
      <c r="H1428">
        <v>3</v>
      </c>
      <c r="I1428" s="21">
        <v>14921</v>
      </c>
      <c r="J1428">
        <v>10</v>
      </c>
      <c r="K1428" s="21">
        <v>4476.3</v>
      </c>
      <c r="L1428" s="21">
        <v>40286.699999999997</v>
      </c>
      <c r="M1428" s="21">
        <v>23552.95</v>
      </c>
      <c r="N1428" s="21">
        <v>16733.75</v>
      </c>
      <c r="O1428" t="s">
        <v>60</v>
      </c>
      <c r="P1428" s="21">
        <v>2319.5500000000002</v>
      </c>
      <c r="Q1428" t="s">
        <v>68</v>
      </c>
      <c r="R1428" t="s">
        <v>41</v>
      </c>
      <c r="S1428">
        <v>2</v>
      </c>
      <c r="T1428">
        <v>5</v>
      </c>
      <c r="U1428" t="s">
        <v>32</v>
      </c>
      <c r="V1428" t="s">
        <v>50</v>
      </c>
      <c r="W1428">
        <v>5</v>
      </c>
    </row>
    <row r="1429" spans="1:23" x14ac:dyDescent="0.25">
      <c r="A1429" t="s">
        <v>2060</v>
      </c>
      <c r="B1429" s="1">
        <v>45861</v>
      </c>
      <c r="C1429" t="s">
        <v>1238</v>
      </c>
      <c r="D1429" t="s">
        <v>90</v>
      </c>
      <c r="E1429" t="s">
        <v>36</v>
      </c>
      <c r="F1429" t="s">
        <v>53</v>
      </c>
      <c r="G1429" t="s">
        <v>82</v>
      </c>
      <c r="H1429">
        <v>1</v>
      </c>
      <c r="I1429" s="21">
        <v>15298</v>
      </c>
      <c r="J1429">
        <v>10</v>
      </c>
      <c r="K1429" s="21">
        <v>1529.8</v>
      </c>
      <c r="L1429" s="21">
        <v>13768.2</v>
      </c>
      <c r="M1429" s="21">
        <v>10082.27</v>
      </c>
      <c r="N1429" s="21">
        <v>3685.93</v>
      </c>
      <c r="O1429" t="s">
        <v>60</v>
      </c>
      <c r="P1429" s="21">
        <v>2417.92</v>
      </c>
      <c r="Q1429" t="s">
        <v>73</v>
      </c>
      <c r="R1429" t="s">
        <v>31</v>
      </c>
      <c r="S1429">
        <v>5</v>
      </c>
      <c r="T1429">
        <v>2</v>
      </c>
      <c r="U1429" t="s">
        <v>32</v>
      </c>
      <c r="V1429" t="s">
        <v>33</v>
      </c>
      <c r="W1429">
        <v>5</v>
      </c>
    </row>
    <row r="1430" spans="1:23" x14ac:dyDescent="0.25">
      <c r="A1430" t="s">
        <v>2061</v>
      </c>
      <c r="B1430" s="1">
        <v>45799</v>
      </c>
      <c r="C1430" t="s">
        <v>75</v>
      </c>
      <c r="D1430" t="s">
        <v>79</v>
      </c>
      <c r="E1430" t="s">
        <v>36</v>
      </c>
      <c r="F1430" t="s">
        <v>27</v>
      </c>
      <c r="G1430" t="s">
        <v>113</v>
      </c>
      <c r="H1430">
        <v>2</v>
      </c>
      <c r="I1430" s="21">
        <v>22589</v>
      </c>
      <c r="J1430">
        <v>0</v>
      </c>
      <c r="K1430" s="21">
        <v>0</v>
      </c>
      <c r="L1430" s="21">
        <v>45178</v>
      </c>
      <c r="M1430" s="21">
        <v>29436.79</v>
      </c>
      <c r="N1430" s="21">
        <v>15741.21</v>
      </c>
      <c r="O1430" t="s">
        <v>29</v>
      </c>
      <c r="P1430" s="21">
        <v>1117.1500000000001</v>
      </c>
      <c r="Q1430" t="s">
        <v>30</v>
      </c>
      <c r="R1430" t="s">
        <v>41</v>
      </c>
      <c r="S1430">
        <v>2</v>
      </c>
      <c r="T1430">
        <v>2</v>
      </c>
      <c r="U1430" t="s">
        <v>32</v>
      </c>
      <c r="V1430" t="s">
        <v>50</v>
      </c>
      <c r="W1430">
        <v>5</v>
      </c>
    </row>
    <row r="1431" spans="1:23" x14ac:dyDescent="0.25">
      <c r="A1431" t="s">
        <v>2062</v>
      </c>
      <c r="B1431" s="1">
        <v>45755</v>
      </c>
      <c r="C1431" t="s">
        <v>400</v>
      </c>
      <c r="D1431" t="s">
        <v>45</v>
      </c>
      <c r="E1431" t="s">
        <v>26</v>
      </c>
      <c r="F1431" t="s">
        <v>27</v>
      </c>
      <c r="G1431" t="s">
        <v>72</v>
      </c>
      <c r="H1431">
        <v>1</v>
      </c>
      <c r="I1431" s="21">
        <v>29025</v>
      </c>
      <c r="J1431">
        <v>0</v>
      </c>
      <c r="K1431" s="21">
        <v>0</v>
      </c>
      <c r="L1431" s="21">
        <v>29025</v>
      </c>
      <c r="M1431" s="21">
        <v>16100.62</v>
      </c>
      <c r="N1431" s="21">
        <v>12924.38</v>
      </c>
      <c r="O1431" t="s">
        <v>29</v>
      </c>
      <c r="P1431" s="21">
        <v>2353.19</v>
      </c>
      <c r="Q1431" t="s">
        <v>73</v>
      </c>
      <c r="R1431" t="s">
        <v>41</v>
      </c>
      <c r="S1431">
        <v>2</v>
      </c>
      <c r="T1431">
        <v>1</v>
      </c>
      <c r="U1431" t="s">
        <v>32</v>
      </c>
      <c r="V1431" t="s">
        <v>50</v>
      </c>
      <c r="W1431">
        <v>2</v>
      </c>
    </row>
    <row r="1432" spans="1:23" x14ac:dyDescent="0.25">
      <c r="A1432" t="s">
        <v>2063</v>
      </c>
      <c r="B1432" s="1">
        <v>45720</v>
      </c>
      <c r="C1432" t="s">
        <v>1783</v>
      </c>
      <c r="D1432" t="s">
        <v>124</v>
      </c>
      <c r="E1432" t="s">
        <v>26</v>
      </c>
      <c r="F1432" t="s">
        <v>47</v>
      </c>
      <c r="G1432" t="s">
        <v>105</v>
      </c>
      <c r="H1432">
        <v>3</v>
      </c>
      <c r="I1432" s="21">
        <v>15335</v>
      </c>
      <c r="J1432">
        <v>10</v>
      </c>
      <c r="K1432" s="21">
        <v>4600.5</v>
      </c>
      <c r="L1432" s="21">
        <v>41404.5</v>
      </c>
      <c r="M1432" s="21">
        <v>25498.83</v>
      </c>
      <c r="N1432" s="21">
        <v>15905.67</v>
      </c>
      <c r="O1432" t="s">
        <v>60</v>
      </c>
      <c r="P1432" s="21">
        <v>248.88</v>
      </c>
      <c r="Q1432" t="s">
        <v>73</v>
      </c>
      <c r="R1432" t="s">
        <v>31</v>
      </c>
      <c r="S1432">
        <v>5</v>
      </c>
      <c r="T1432">
        <v>3</v>
      </c>
      <c r="U1432" t="s">
        <v>32</v>
      </c>
      <c r="V1432" t="s">
        <v>42</v>
      </c>
    </row>
    <row r="1433" spans="1:23" x14ac:dyDescent="0.25">
      <c r="A1433" t="s">
        <v>2064</v>
      </c>
      <c r="B1433" s="1">
        <v>45890</v>
      </c>
      <c r="C1433" t="s">
        <v>1252</v>
      </c>
      <c r="D1433" t="s">
        <v>90</v>
      </c>
      <c r="E1433" t="s">
        <v>46</v>
      </c>
      <c r="F1433" t="s">
        <v>27</v>
      </c>
      <c r="G1433" t="s">
        <v>76</v>
      </c>
      <c r="H1433">
        <v>2</v>
      </c>
      <c r="I1433" s="21">
        <v>14272</v>
      </c>
      <c r="J1433">
        <v>0</v>
      </c>
      <c r="K1433" s="21">
        <v>0</v>
      </c>
      <c r="L1433" s="21">
        <v>28544</v>
      </c>
      <c r="M1433" s="21">
        <v>16037.19</v>
      </c>
      <c r="N1433" s="21">
        <v>12506.81</v>
      </c>
      <c r="O1433" t="s">
        <v>55</v>
      </c>
      <c r="P1433" s="21">
        <v>220.5</v>
      </c>
      <c r="Q1433" t="s">
        <v>40</v>
      </c>
      <c r="R1433" t="s">
        <v>31</v>
      </c>
      <c r="S1433">
        <v>5</v>
      </c>
      <c r="T1433">
        <v>6</v>
      </c>
      <c r="U1433" t="s">
        <v>56</v>
      </c>
      <c r="V1433" t="s">
        <v>33</v>
      </c>
      <c r="W1433">
        <v>4</v>
      </c>
    </row>
    <row r="1434" spans="1:23" x14ac:dyDescent="0.25">
      <c r="A1434" t="s">
        <v>2065</v>
      </c>
      <c r="B1434" s="1">
        <v>45704</v>
      </c>
      <c r="C1434" t="s">
        <v>576</v>
      </c>
      <c r="D1434" t="s">
        <v>25</v>
      </c>
      <c r="E1434" t="s">
        <v>26</v>
      </c>
      <c r="F1434" t="s">
        <v>53</v>
      </c>
      <c r="G1434" t="s">
        <v>268</v>
      </c>
      <c r="H1434">
        <v>1</v>
      </c>
      <c r="I1434" s="21">
        <v>43295</v>
      </c>
      <c r="J1434">
        <v>25</v>
      </c>
      <c r="K1434" s="21">
        <v>10823.75</v>
      </c>
      <c r="L1434" s="21">
        <v>32471.25</v>
      </c>
      <c r="M1434" s="21">
        <v>25912.02</v>
      </c>
      <c r="N1434" s="21">
        <v>6559.23</v>
      </c>
      <c r="O1434" t="s">
        <v>29</v>
      </c>
      <c r="P1434" s="21">
        <v>864.75</v>
      </c>
      <c r="Q1434" t="s">
        <v>40</v>
      </c>
      <c r="R1434" t="s">
        <v>31</v>
      </c>
      <c r="S1434">
        <v>5</v>
      </c>
      <c r="T1434">
        <v>6</v>
      </c>
      <c r="U1434" t="s">
        <v>56</v>
      </c>
      <c r="V1434" t="s">
        <v>33</v>
      </c>
      <c r="W1434">
        <v>3</v>
      </c>
    </row>
    <row r="1435" spans="1:23" x14ac:dyDescent="0.25">
      <c r="A1435" t="s">
        <v>2066</v>
      </c>
      <c r="B1435" s="1">
        <v>45997</v>
      </c>
      <c r="C1435" t="s">
        <v>653</v>
      </c>
      <c r="D1435" t="s">
        <v>79</v>
      </c>
      <c r="E1435" t="s">
        <v>46</v>
      </c>
      <c r="F1435" t="s">
        <v>47</v>
      </c>
      <c r="G1435" t="s">
        <v>48</v>
      </c>
      <c r="H1435">
        <v>1</v>
      </c>
      <c r="I1435" s="21">
        <v>37932</v>
      </c>
      <c r="J1435">
        <v>15</v>
      </c>
      <c r="K1435" s="21">
        <v>5689.8</v>
      </c>
      <c r="L1435" s="21">
        <v>32242.2</v>
      </c>
      <c r="M1435" s="21">
        <v>19843.97</v>
      </c>
      <c r="N1435" s="21">
        <v>12398.23</v>
      </c>
      <c r="O1435" t="s">
        <v>29</v>
      </c>
      <c r="P1435" s="21">
        <v>2162.0500000000002</v>
      </c>
      <c r="Q1435" t="s">
        <v>68</v>
      </c>
      <c r="R1435" t="s">
        <v>41</v>
      </c>
      <c r="S1435">
        <v>2</v>
      </c>
      <c r="T1435">
        <v>5</v>
      </c>
      <c r="U1435" t="s">
        <v>32</v>
      </c>
      <c r="V1435" t="s">
        <v>50</v>
      </c>
      <c r="W1435">
        <v>4</v>
      </c>
    </row>
    <row r="1436" spans="1:23" x14ac:dyDescent="0.25">
      <c r="A1436" t="s">
        <v>2067</v>
      </c>
      <c r="B1436" s="1">
        <v>45766</v>
      </c>
      <c r="C1436" t="s">
        <v>2068</v>
      </c>
      <c r="D1436" t="s">
        <v>79</v>
      </c>
      <c r="E1436" t="s">
        <v>26</v>
      </c>
      <c r="F1436" t="s">
        <v>47</v>
      </c>
      <c r="G1436" t="s">
        <v>138</v>
      </c>
      <c r="H1436">
        <v>2</v>
      </c>
      <c r="I1436" s="21">
        <v>34740</v>
      </c>
      <c r="J1436">
        <v>0</v>
      </c>
      <c r="K1436" s="21">
        <v>0</v>
      </c>
      <c r="L1436" s="21">
        <v>69480</v>
      </c>
      <c r="M1436" s="21">
        <v>44036.57</v>
      </c>
      <c r="N1436" s="21">
        <v>25443.43</v>
      </c>
      <c r="O1436" t="s">
        <v>60</v>
      </c>
      <c r="P1436" s="21">
        <v>2174.12</v>
      </c>
      <c r="Q1436" t="s">
        <v>40</v>
      </c>
      <c r="R1436" t="s">
        <v>41</v>
      </c>
      <c r="S1436">
        <v>2</v>
      </c>
      <c r="T1436">
        <v>2</v>
      </c>
      <c r="U1436" t="s">
        <v>32</v>
      </c>
      <c r="V1436" t="s">
        <v>42</v>
      </c>
    </row>
    <row r="1437" spans="1:23" x14ac:dyDescent="0.25">
      <c r="A1437" t="s">
        <v>2069</v>
      </c>
      <c r="B1437" s="1">
        <v>45986</v>
      </c>
      <c r="C1437" t="s">
        <v>2070</v>
      </c>
      <c r="D1437" t="s">
        <v>63</v>
      </c>
      <c r="E1437" t="s">
        <v>46</v>
      </c>
      <c r="F1437" t="s">
        <v>47</v>
      </c>
      <c r="G1437" t="s">
        <v>105</v>
      </c>
      <c r="H1437">
        <v>1</v>
      </c>
      <c r="I1437" s="21">
        <v>51256</v>
      </c>
      <c r="J1437">
        <v>15</v>
      </c>
      <c r="K1437" s="21">
        <v>7688.4</v>
      </c>
      <c r="L1437" s="21">
        <v>43567.6</v>
      </c>
      <c r="M1437" s="21">
        <v>31773.81</v>
      </c>
      <c r="N1437" s="21">
        <v>11793.79</v>
      </c>
      <c r="O1437" t="s">
        <v>55</v>
      </c>
      <c r="P1437" s="21">
        <v>1916.45</v>
      </c>
      <c r="Q1437" t="s">
        <v>83</v>
      </c>
      <c r="R1437" t="s">
        <v>41</v>
      </c>
      <c r="S1437">
        <v>2</v>
      </c>
      <c r="T1437">
        <v>2</v>
      </c>
      <c r="U1437" t="s">
        <v>32</v>
      </c>
      <c r="V1437" t="s">
        <v>33</v>
      </c>
      <c r="W1437">
        <v>5</v>
      </c>
    </row>
    <row r="1438" spans="1:23" x14ac:dyDescent="0.25">
      <c r="A1438" t="s">
        <v>2071</v>
      </c>
      <c r="B1438" s="1">
        <v>45985</v>
      </c>
      <c r="C1438" t="s">
        <v>1744</v>
      </c>
      <c r="D1438" t="s">
        <v>97</v>
      </c>
      <c r="E1438" t="s">
        <v>46</v>
      </c>
      <c r="F1438" t="s">
        <v>86</v>
      </c>
      <c r="G1438" t="s">
        <v>180</v>
      </c>
      <c r="H1438">
        <v>2</v>
      </c>
      <c r="I1438" s="21">
        <v>58513</v>
      </c>
      <c r="J1438">
        <v>0</v>
      </c>
      <c r="K1438" s="21">
        <v>0</v>
      </c>
      <c r="L1438" s="21">
        <v>117026</v>
      </c>
      <c r="M1438" s="21">
        <v>92141.5</v>
      </c>
      <c r="N1438" s="21">
        <v>24884.5</v>
      </c>
      <c r="O1438" t="s">
        <v>39</v>
      </c>
      <c r="P1438" s="21">
        <v>2266.7800000000002</v>
      </c>
      <c r="Q1438" t="s">
        <v>68</v>
      </c>
      <c r="R1438" t="s">
        <v>31</v>
      </c>
      <c r="S1438">
        <v>5</v>
      </c>
      <c r="T1438">
        <v>1</v>
      </c>
      <c r="U1438" t="s">
        <v>32</v>
      </c>
      <c r="V1438" t="s">
        <v>50</v>
      </c>
      <c r="W1438">
        <v>3</v>
      </c>
    </row>
    <row r="1439" spans="1:23" x14ac:dyDescent="0.25">
      <c r="A1439" t="s">
        <v>2072</v>
      </c>
      <c r="B1439" s="1">
        <v>45963</v>
      </c>
      <c r="C1439" t="s">
        <v>1378</v>
      </c>
      <c r="D1439" t="s">
        <v>90</v>
      </c>
      <c r="E1439" t="s">
        <v>36</v>
      </c>
      <c r="F1439" t="s">
        <v>27</v>
      </c>
      <c r="G1439" t="s">
        <v>28</v>
      </c>
      <c r="H1439">
        <v>1</v>
      </c>
      <c r="I1439" s="21">
        <v>20746</v>
      </c>
      <c r="J1439">
        <v>0</v>
      </c>
      <c r="K1439" s="21">
        <v>0</v>
      </c>
      <c r="L1439" s="21">
        <v>20746</v>
      </c>
      <c r="M1439" s="21">
        <v>14508.13</v>
      </c>
      <c r="N1439" s="21">
        <v>6237.87</v>
      </c>
      <c r="O1439" t="s">
        <v>55</v>
      </c>
      <c r="P1439" s="21">
        <v>208.17</v>
      </c>
      <c r="Q1439" t="s">
        <v>73</v>
      </c>
      <c r="R1439" t="s">
        <v>31</v>
      </c>
      <c r="S1439">
        <v>5</v>
      </c>
      <c r="T1439">
        <v>5</v>
      </c>
      <c r="U1439" t="s">
        <v>32</v>
      </c>
      <c r="V1439" t="s">
        <v>42</v>
      </c>
    </row>
    <row r="1440" spans="1:23" x14ac:dyDescent="0.25">
      <c r="A1440" t="s">
        <v>2073</v>
      </c>
      <c r="B1440" s="1">
        <v>45668</v>
      </c>
      <c r="C1440" t="s">
        <v>802</v>
      </c>
      <c r="D1440" t="s">
        <v>97</v>
      </c>
      <c r="E1440" t="s">
        <v>36</v>
      </c>
      <c r="F1440" t="s">
        <v>37</v>
      </c>
      <c r="G1440" t="s">
        <v>224</v>
      </c>
      <c r="H1440">
        <v>1</v>
      </c>
      <c r="I1440" s="21">
        <v>39635</v>
      </c>
      <c r="J1440">
        <v>0</v>
      </c>
      <c r="K1440" s="21">
        <v>0</v>
      </c>
      <c r="L1440" s="21">
        <v>39635</v>
      </c>
      <c r="M1440" s="21">
        <v>28487.58</v>
      </c>
      <c r="N1440" s="21">
        <v>11147.42</v>
      </c>
      <c r="O1440" t="s">
        <v>49</v>
      </c>
      <c r="P1440" s="21">
        <v>465.56</v>
      </c>
      <c r="Q1440" t="s">
        <v>68</v>
      </c>
      <c r="R1440" t="s">
        <v>31</v>
      </c>
      <c r="S1440">
        <v>5</v>
      </c>
      <c r="T1440">
        <v>5</v>
      </c>
      <c r="U1440" t="s">
        <v>32</v>
      </c>
      <c r="V1440" t="s">
        <v>33</v>
      </c>
      <c r="W1440">
        <v>1</v>
      </c>
    </row>
    <row r="1441" spans="1:23" x14ac:dyDescent="0.25">
      <c r="A1441" t="s">
        <v>2074</v>
      </c>
      <c r="B1441" s="1">
        <v>45683</v>
      </c>
      <c r="C1441" t="s">
        <v>817</v>
      </c>
      <c r="D1441" t="s">
        <v>79</v>
      </c>
      <c r="E1441" t="s">
        <v>26</v>
      </c>
      <c r="F1441" t="s">
        <v>27</v>
      </c>
      <c r="G1441" t="s">
        <v>113</v>
      </c>
      <c r="H1441">
        <v>1</v>
      </c>
      <c r="I1441" s="21">
        <v>20272</v>
      </c>
      <c r="J1441">
        <v>0</v>
      </c>
      <c r="K1441" s="21">
        <v>0</v>
      </c>
      <c r="L1441" s="21">
        <v>20272</v>
      </c>
      <c r="M1441" s="21">
        <v>16541.189999999999</v>
      </c>
      <c r="N1441" s="21">
        <v>3730.81</v>
      </c>
      <c r="O1441" t="s">
        <v>91</v>
      </c>
      <c r="P1441" s="21">
        <v>1002.22</v>
      </c>
      <c r="Q1441" t="s">
        <v>40</v>
      </c>
      <c r="R1441" t="s">
        <v>41</v>
      </c>
      <c r="S1441">
        <v>2</v>
      </c>
      <c r="T1441">
        <v>4</v>
      </c>
      <c r="U1441" t="s">
        <v>32</v>
      </c>
      <c r="V1441" t="s">
        <v>50</v>
      </c>
      <c r="W1441">
        <v>1</v>
      </c>
    </row>
    <row r="1442" spans="1:23" x14ac:dyDescent="0.25">
      <c r="A1442" t="s">
        <v>2075</v>
      </c>
      <c r="B1442" s="1">
        <v>45828</v>
      </c>
      <c r="C1442" t="s">
        <v>1862</v>
      </c>
      <c r="D1442" t="s">
        <v>67</v>
      </c>
      <c r="E1442" t="s">
        <v>36</v>
      </c>
      <c r="F1442" t="s">
        <v>86</v>
      </c>
      <c r="G1442" t="s">
        <v>127</v>
      </c>
      <c r="H1442">
        <v>3</v>
      </c>
      <c r="I1442" s="21">
        <v>17570</v>
      </c>
      <c r="J1442">
        <v>25</v>
      </c>
      <c r="K1442" s="21">
        <v>13177.5</v>
      </c>
      <c r="L1442" s="21">
        <v>39532.5</v>
      </c>
      <c r="M1442" s="21">
        <v>31849.63</v>
      </c>
      <c r="N1442" s="21">
        <v>7682.87</v>
      </c>
      <c r="O1442" t="s">
        <v>55</v>
      </c>
      <c r="P1442" s="21">
        <v>1609.61</v>
      </c>
      <c r="Q1442" t="s">
        <v>30</v>
      </c>
      <c r="R1442" t="s">
        <v>31</v>
      </c>
      <c r="S1442">
        <v>5</v>
      </c>
      <c r="T1442">
        <v>0</v>
      </c>
      <c r="U1442" t="s">
        <v>32</v>
      </c>
      <c r="V1442" t="s">
        <v>50</v>
      </c>
      <c r="W1442">
        <v>5</v>
      </c>
    </row>
    <row r="1443" spans="1:23" x14ac:dyDescent="0.25">
      <c r="A1443" t="s">
        <v>2076</v>
      </c>
      <c r="B1443" s="1">
        <v>45782</v>
      </c>
      <c r="C1443" t="s">
        <v>476</v>
      </c>
      <c r="D1443" t="s">
        <v>45</v>
      </c>
      <c r="E1443" t="s">
        <v>46</v>
      </c>
      <c r="F1443" t="s">
        <v>47</v>
      </c>
      <c r="G1443" t="s">
        <v>64</v>
      </c>
      <c r="H1443">
        <v>1</v>
      </c>
      <c r="I1443" s="21">
        <v>45307</v>
      </c>
      <c r="J1443">
        <v>0</v>
      </c>
      <c r="K1443" s="21">
        <v>0</v>
      </c>
      <c r="L1443" s="21">
        <v>45307</v>
      </c>
      <c r="M1443" s="21">
        <v>33081.440000000002</v>
      </c>
      <c r="N1443" s="21">
        <v>12225.56</v>
      </c>
      <c r="O1443" t="s">
        <v>29</v>
      </c>
      <c r="P1443" s="21">
        <v>2497.0100000000002</v>
      </c>
      <c r="Q1443" t="s">
        <v>73</v>
      </c>
      <c r="R1443" t="s">
        <v>31</v>
      </c>
      <c r="S1443">
        <v>5</v>
      </c>
      <c r="T1443">
        <v>3</v>
      </c>
      <c r="U1443" t="s">
        <v>32</v>
      </c>
      <c r="V1443" t="s">
        <v>42</v>
      </c>
    </row>
    <row r="1444" spans="1:23" x14ac:dyDescent="0.25">
      <c r="A1444" t="s">
        <v>2077</v>
      </c>
      <c r="B1444" s="1">
        <v>45722</v>
      </c>
      <c r="C1444" t="s">
        <v>119</v>
      </c>
      <c r="D1444" t="s">
        <v>67</v>
      </c>
      <c r="E1444" t="s">
        <v>26</v>
      </c>
      <c r="F1444" t="s">
        <v>53</v>
      </c>
      <c r="G1444" t="s">
        <v>151</v>
      </c>
      <c r="H1444">
        <v>3</v>
      </c>
      <c r="I1444" s="21">
        <v>75727</v>
      </c>
      <c r="J1444">
        <v>25</v>
      </c>
      <c r="K1444" s="21">
        <v>56795.25</v>
      </c>
      <c r="L1444" s="21">
        <v>170385.75</v>
      </c>
      <c r="M1444" s="21">
        <v>118678.29</v>
      </c>
      <c r="N1444" s="21">
        <v>51707.46</v>
      </c>
      <c r="O1444" t="s">
        <v>60</v>
      </c>
      <c r="P1444" s="21">
        <v>1194.6199999999999</v>
      </c>
      <c r="Q1444" t="s">
        <v>40</v>
      </c>
      <c r="R1444" t="s">
        <v>41</v>
      </c>
      <c r="S1444">
        <v>2</v>
      </c>
      <c r="T1444">
        <v>2</v>
      </c>
      <c r="U1444" t="s">
        <v>32</v>
      </c>
      <c r="V1444" t="s">
        <v>33</v>
      </c>
      <c r="W1444">
        <v>2</v>
      </c>
    </row>
    <row r="1445" spans="1:23" x14ac:dyDescent="0.25">
      <c r="A1445" t="s">
        <v>2078</v>
      </c>
      <c r="B1445" s="1">
        <v>45947</v>
      </c>
      <c r="C1445" t="s">
        <v>1288</v>
      </c>
      <c r="E1445" t="s">
        <v>46</v>
      </c>
      <c r="F1445" t="s">
        <v>86</v>
      </c>
      <c r="G1445" t="s">
        <v>180</v>
      </c>
      <c r="H1445">
        <v>3</v>
      </c>
      <c r="I1445" s="21">
        <v>26829</v>
      </c>
      <c r="J1445">
        <v>15</v>
      </c>
      <c r="K1445" s="21">
        <v>12073.05</v>
      </c>
      <c r="L1445" s="21">
        <v>68413.95</v>
      </c>
      <c r="M1445" s="21">
        <v>45662.55</v>
      </c>
      <c r="N1445" s="21">
        <v>22751.4</v>
      </c>
      <c r="O1445" t="s">
        <v>49</v>
      </c>
      <c r="P1445" s="21">
        <v>364.66</v>
      </c>
      <c r="Q1445" t="s">
        <v>68</v>
      </c>
      <c r="R1445" t="s">
        <v>31</v>
      </c>
      <c r="S1445">
        <v>5</v>
      </c>
      <c r="T1445">
        <v>4</v>
      </c>
      <c r="U1445" t="s">
        <v>32</v>
      </c>
      <c r="V1445" t="s">
        <v>42</v>
      </c>
    </row>
    <row r="1446" spans="1:23" x14ac:dyDescent="0.25">
      <c r="A1446" t="s">
        <v>2079</v>
      </c>
      <c r="B1446" s="1">
        <v>45763</v>
      </c>
      <c r="C1446" t="s">
        <v>758</v>
      </c>
      <c r="D1446" t="s">
        <v>71</v>
      </c>
      <c r="E1446" t="s">
        <v>46</v>
      </c>
      <c r="F1446" t="s">
        <v>27</v>
      </c>
      <c r="G1446" t="s">
        <v>113</v>
      </c>
      <c r="H1446">
        <v>2</v>
      </c>
      <c r="I1446" s="21">
        <v>23462</v>
      </c>
      <c r="J1446">
        <v>20</v>
      </c>
      <c r="K1446" s="21">
        <v>9384.7999999999993</v>
      </c>
      <c r="L1446" s="21">
        <v>37539.199999999997</v>
      </c>
      <c r="M1446" s="21">
        <v>23600.41</v>
      </c>
      <c r="N1446" s="21">
        <v>13938.79</v>
      </c>
      <c r="O1446" t="s">
        <v>39</v>
      </c>
      <c r="P1446" s="21">
        <v>931.38</v>
      </c>
      <c r="Q1446" t="s">
        <v>40</v>
      </c>
      <c r="R1446" t="s">
        <v>31</v>
      </c>
      <c r="S1446">
        <v>5</v>
      </c>
      <c r="T1446">
        <v>6</v>
      </c>
      <c r="U1446" t="s">
        <v>32</v>
      </c>
      <c r="V1446" t="s">
        <v>42</v>
      </c>
    </row>
    <row r="1447" spans="1:23" x14ac:dyDescent="0.25">
      <c r="A1447" t="s">
        <v>2080</v>
      </c>
      <c r="B1447" s="1">
        <v>45693</v>
      </c>
      <c r="C1447" t="s">
        <v>1154</v>
      </c>
      <c r="D1447" t="s">
        <v>25</v>
      </c>
      <c r="E1447" t="s">
        <v>26</v>
      </c>
      <c r="F1447" t="s">
        <v>53</v>
      </c>
      <c r="G1447" t="s">
        <v>268</v>
      </c>
      <c r="H1447">
        <v>1</v>
      </c>
      <c r="I1447" s="21">
        <v>65863</v>
      </c>
      <c r="J1447">
        <v>0</v>
      </c>
      <c r="K1447" s="21">
        <v>0</v>
      </c>
      <c r="L1447" s="21">
        <v>65863</v>
      </c>
      <c r="M1447" s="21">
        <v>45988.32</v>
      </c>
      <c r="N1447" s="21">
        <v>19874.68</v>
      </c>
      <c r="O1447" t="s">
        <v>29</v>
      </c>
      <c r="P1447" s="21">
        <v>1424.06</v>
      </c>
      <c r="Q1447" t="s">
        <v>73</v>
      </c>
      <c r="R1447" t="s">
        <v>41</v>
      </c>
      <c r="S1447">
        <v>2</v>
      </c>
      <c r="T1447">
        <v>1</v>
      </c>
      <c r="U1447" t="s">
        <v>32</v>
      </c>
      <c r="V1447" t="s">
        <v>33</v>
      </c>
      <c r="W1447">
        <v>5</v>
      </c>
    </row>
    <row r="1448" spans="1:23" x14ac:dyDescent="0.25">
      <c r="A1448" t="s">
        <v>2081</v>
      </c>
      <c r="B1448" s="1">
        <v>45941</v>
      </c>
      <c r="C1448" t="s">
        <v>912</v>
      </c>
      <c r="D1448" t="s">
        <v>79</v>
      </c>
      <c r="E1448" t="s">
        <v>46</v>
      </c>
      <c r="F1448" t="s">
        <v>53</v>
      </c>
      <c r="G1448" t="s">
        <v>151</v>
      </c>
      <c r="H1448">
        <v>3</v>
      </c>
      <c r="I1448" s="21">
        <v>59794</v>
      </c>
      <c r="J1448">
        <v>0</v>
      </c>
      <c r="K1448" s="21">
        <v>0</v>
      </c>
      <c r="L1448" s="21">
        <v>179382</v>
      </c>
      <c r="M1448" s="21">
        <v>144836.13</v>
      </c>
      <c r="N1448" s="21">
        <v>34545.870000000003</v>
      </c>
      <c r="O1448" t="s">
        <v>60</v>
      </c>
      <c r="P1448" s="21">
        <v>1111.9100000000001</v>
      </c>
      <c r="Q1448" t="s">
        <v>83</v>
      </c>
      <c r="R1448" t="s">
        <v>41</v>
      </c>
      <c r="S1448">
        <v>2</v>
      </c>
      <c r="T1448">
        <v>1</v>
      </c>
      <c r="U1448" t="s">
        <v>32</v>
      </c>
      <c r="V1448" t="s">
        <v>33</v>
      </c>
      <c r="W1448">
        <v>5</v>
      </c>
    </row>
    <row r="1449" spans="1:23" x14ac:dyDescent="0.25">
      <c r="A1449" t="s">
        <v>2082</v>
      </c>
      <c r="B1449" s="1">
        <v>45764</v>
      </c>
      <c r="C1449" t="s">
        <v>137</v>
      </c>
      <c r="D1449" t="s">
        <v>79</v>
      </c>
      <c r="E1449" t="s">
        <v>46</v>
      </c>
      <c r="F1449" t="s">
        <v>37</v>
      </c>
      <c r="G1449" t="s">
        <v>38</v>
      </c>
      <c r="H1449">
        <v>4</v>
      </c>
      <c r="I1449" s="21">
        <v>27662</v>
      </c>
      <c r="J1449">
        <v>0</v>
      </c>
      <c r="K1449" s="21">
        <v>0</v>
      </c>
      <c r="L1449" s="21">
        <v>110648</v>
      </c>
      <c r="M1449" s="21">
        <v>60986.74</v>
      </c>
      <c r="N1449" s="21">
        <v>49661.26</v>
      </c>
      <c r="O1449" t="s">
        <v>49</v>
      </c>
      <c r="P1449" s="21">
        <v>171.4</v>
      </c>
      <c r="Q1449" t="s">
        <v>68</v>
      </c>
      <c r="R1449" t="s">
        <v>31</v>
      </c>
      <c r="S1449">
        <v>5</v>
      </c>
      <c r="T1449">
        <v>2</v>
      </c>
      <c r="U1449" t="s">
        <v>32</v>
      </c>
      <c r="V1449" t="s">
        <v>42</v>
      </c>
    </row>
    <row r="1450" spans="1:23" x14ac:dyDescent="0.25">
      <c r="A1450" t="s">
        <v>2083</v>
      </c>
      <c r="B1450" s="1">
        <v>45958</v>
      </c>
      <c r="C1450" t="s">
        <v>1981</v>
      </c>
      <c r="D1450" t="s">
        <v>67</v>
      </c>
      <c r="E1450" t="s">
        <v>26</v>
      </c>
      <c r="F1450" t="s">
        <v>37</v>
      </c>
      <c r="G1450" t="s">
        <v>100</v>
      </c>
      <c r="H1450">
        <v>4</v>
      </c>
      <c r="I1450" s="21">
        <v>13259</v>
      </c>
      <c r="J1450">
        <v>5</v>
      </c>
      <c r="K1450" s="21">
        <v>2651.8</v>
      </c>
      <c r="L1450" s="21">
        <v>50384.2</v>
      </c>
      <c r="M1450" s="21">
        <v>27956.42</v>
      </c>
      <c r="N1450" s="21">
        <v>22427.78</v>
      </c>
      <c r="O1450" t="s">
        <v>39</v>
      </c>
      <c r="P1450" s="21">
        <v>1657.33</v>
      </c>
      <c r="Q1450" t="s">
        <v>83</v>
      </c>
      <c r="R1450" t="s">
        <v>31</v>
      </c>
      <c r="S1450">
        <v>5</v>
      </c>
      <c r="T1450">
        <v>7</v>
      </c>
      <c r="U1450" t="s">
        <v>56</v>
      </c>
      <c r="V1450" t="s">
        <v>33</v>
      </c>
      <c r="W1450">
        <v>3</v>
      </c>
    </row>
    <row r="1451" spans="1:23" x14ac:dyDescent="0.25">
      <c r="A1451" t="s">
        <v>2084</v>
      </c>
      <c r="B1451" s="1">
        <v>45768</v>
      </c>
      <c r="C1451" t="s">
        <v>1449</v>
      </c>
      <c r="D1451" t="s">
        <v>67</v>
      </c>
      <c r="E1451" t="s">
        <v>46</v>
      </c>
      <c r="F1451" t="s">
        <v>37</v>
      </c>
      <c r="G1451" t="s">
        <v>100</v>
      </c>
      <c r="H1451">
        <v>2</v>
      </c>
      <c r="I1451" s="21">
        <v>13780</v>
      </c>
      <c r="J1451">
        <v>0</v>
      </c>
      <c r="K1451" s="21">
        <v>0</v>
      </c>
      <c r="L1451" s="21">
        <v>27560</v>
      </c>
      <c r="M1451" s="21">
        <v>16363.85</v>
      </c>
      <c r="N1451" s="21">
        <v>11196.15</v>
      </c>
      <c r="O1451" t="s">
        <v>39</v>
      </c>
      <c r="P1451" s="21">
        <v>684.89</v>
      </c>
      <c r="Q1451" t="s">
        <v>83</v>
      </c>
      <c r="R1451" t="s">
        <v>41</v>
      </c>
      <c r="S1451">
        <v>2</v>
      </c>
      <c r="T1451">
        <v>2</v>
      </c>
      <c r="U1451" t="s">
        <v>32</v>
      </c>
      <c r="V1451" t="s">
        <v>33</v>
      </c>
      <c r="W1451">
        <v>5</v>
      </c>
    </row>
    <row r="1452" spans="1:23" x14ac:dyDescent="0.25">
      <c r="A1452" t="s">
        <v>2085</v>
      </c>
      <c r="B1452" s="1">
        <v>45777</v>
      </c>
      <c r="C1452" t="s">
        <v>249</v>
      </c>
      <c r="D1452" t="s">
        <v>154</v>
      </c>
      <c r="E1452" t="s">
        <v>46</v>
      </c>
      <c r="F1452" t="s">
        <v>37</v>
      </c>
      <c r="G1452" t="s">
        <v>224</v>
      </c>
      <c r="H1452">
        <v>3</v>
      </c>
      <c r="I1452" s="21">
        <v>21149</v>
      </c>
      <c r="J1452">
        <v>0</v>
      </c>
      <c r="K1452" s="21">
        <v>0</v>
      </c>
      <c r="L1452" s="21">
        <v>63447</v>
      </c>
      <c r="M1452" s="21">
        <v>50393.96</v>
      </c>
      <c r="N1452" s="21">
        <v>13053.04</v>
      </c>
      <c r="O1452" t="s">
        <v>55</v>
      </c>
      <c r="P1452" s="21">
        <v>1814.02</v>
      </c>
      <c r="Q1452" t="s">
        <v>40</v>
      </c>
      <c r="R1452" t="s">
        <v>41</v>
      </c>
      <c r="S1452">
        <v>2</v>
      </c>
      <c r="T1452">
        <v>1</v>
      </c>
      <c r="U1452" t="s">
        <v>32</v>
      </c>
      <c r="V1452" t="s">
        <v>50</v>
      </c>
      <c r="W1452">
        <v>3</v>
      </c>
    </row>
    <row r="1453" spans="1:23" x14ac:dyDescent="0.25">
      <c r="A1453" t="s">
        <v>2086</v>
      </c>
      <c r="B1453" s="1">
        <v>45826</v>
      </c>
      <c r="C1453" t="s">
        <v>62</v>
      </c>
      <c r="D1453" t="s">
        <v>67</v>
      </c>
      <c r="E1453" t="s">
        <v>26</v>
      </c>
      <c r="F1453" t="s">
        <v>27</v>
      </c>
      <c r="G1453" t="s">
        <v>72</v>
      </c>
      <c r="H1453">
        <v>4</v>
      </c>
      <c r="I1453" s="21">
        <v>29121</v>
      </c>
      <c r="J1453">
        <v>10</v>
      </c>
      <c r="K1453" s="21">
        <v>11648.4</v>
      </c>
      <c r="L1453" s="21">
        <v>104835.6</v>
      </c>
      <c r="M1453" s="21">
        <v>66294.929999999993</v>
      </c>
      <c r="N1453" s="21">
        <v>38540.67</v>
      </c>
      <c r="O1453" t="s">
        <v>49</v>
      </c>
      <c r="P1453" s="21">
        <v>399.64</v>
      </c>
      <c r="Q1453" t="s">
        <v>30</v>
      </c>
      <c r="R1453" t="s">
        <v>41</v>
      </c>
      <c r="S1453">
        <v>2</v>
      </c>
      <c r="T1453">
        <v>3</v>
      </c>
      <c r="U1453" t="s">
        <v>32</v>
      </c>
      <c r="V1453" t="s">
        <v>50</v>
      </c>
      <c r="W1453">
        <v>5</v>
      </c>
    </row>
    <row r="1454" spans="1:23" x14ac:dyDescent="0.25">
      <c r="A1454" t="s">
        <v>2087</v>
      </c>
      <c r="B1454" s="1">
        <v>45733</v>
      </c>
      <c r="C1454" t="s">
        <v>657</v>
      </c>
      <c r="D1454" t="s">
        <v>97</v>
      </c>
      <c r="E1454" t="s">
        <v>26</v>
      </c>
      <c r="F1454" t="s">
        <v>86</v>
      </c>
      <c r="G1454" t="s">
        <v>180</v>
      </c>
      <c r="H1454">
        <v>1</v>
      </c>
      <c r="I1454" s="21">
        <v>54847</v>
      </c>
      <c r="J1454">
        <v>10</v>
      </c>
      <c r="K1454" s="21">
        <v>5484.7</v>
      </c>
      <c r="L1454" s="21">
        <v>49362.3</v>
      </c>
      <c r="M1454" s="21">
        <v>36805.99</v>
      </c>
      <c r="N1454" s="21">
        <v>12556.31</v>
      </c>
      <c r="O1454" t="s">
        <v>60</v>
      </c>
      <c r="P1454" s="21">
        <v>1187.02</v>
      </c>
      <c r="Q1454" t="s">
        <v>40</v>
      </c>
      <c r="R1454" t="s">
        <v>41</v>
      </c>
      <c r="S1454">
        <v>2</v>
      </c>
      <c r="T1454">
        <v>2</v>
      </c>
      <c r="U1454" t="s">
        <v>32</v>
      </c>
      <c r="V1454" t="s">
        <v>33</v>
      </c>
      <c r="W1454">
        <v>5</v>
      </c>
    </row>
    <row r="1455" spans="1:23" x14ac:dyDescent="0.25">
      <c r="A1455" t="s">
        <v>2088</v>
      </c>
      <c r="B1455" s="1">
        <v>45963</v>
      </c>
      <c r="C1455" t="s">
        <v>526</v>
      </c>
      <c r="D1455" t="s">
        <v>97</v>
      </c>
      <c r="E1455" t="s">
        <v>26</v>
      </c>
      <c r="F1455" t="s">
        <v>37</v>
      </c>
      <c r="G1455" t="s">
        <v>100</v>
      </c>
      <c r="H1455">
        <v>3</v>
      </c>
      <c r="I1455" s="21">
        <v>18984</v>
      </c>
      <c r="J1455">
        <v>10</v>
      </c>
      <c r="K1455" s="21">
        <v>5695.2</v>
      </c>
      <c r="L1455" s="21">
        <v>51256.800000000003</v>
      </c>
      <c r="M1455" s="21">
        <v>37254.82</v>
      </c>
      <c r="N1455" s="21">
        <v>14001.98</v>
      </c>
      <c r="O1455" t="s">
        <v>91</v>
      </c>
      <c r="P1455" s="21">
        <v>1157.93</v>
      </c>
      <c r="Q1455" t="s">
        <v>30</v>
      </c>
      <c r="R1455" t="s">
        <v>31</v>
      </c>
      <c r="S1455">
        <v>5</v>
      </c>
      <c r="T1455">
        <v>10</v>
      </c>
      <c r="U1455" t="s">
        <v>56</v>
      </c>
      <c r="V1455" t="s">
        <v>33</v>
      </c>
      <c r="W1455">
        <v>5</v>
      </c>
    </row>
    <row r="1456" spans="1:23" x14ac:dyDescent="0.25">
      <c r="A1456" t="s">
        <v>2089</v>
      </c>
      <c r="B1456" s="1">
        <v>45659</v>
      </c>
      <c r="C1456" t="s">
        <v>840</v>
      </c>
      <c r="D1456" t="s">
        <v>63</v>
      </c>
      <c r="E1456" t="s">
        <v>46</v>
      </c>
      <c r="F1456" t="s">
        <v>47</v>
      </c>
      <c r="G1456" t="s">
        <v>105</v>
      </c>
      <c r="H1456">
        <v>1</v>
      </c>
      <c r="I1456" s="21">
        <v>37193</v>
      </c>
      <c r="J1456">
        <v>20</v>
      </c>
      <c r="K1456" s="21">
        <v>7438.6</v>
      </c>
      <c r="L1456" s="21">
        <v>29754.400000000001</v>
      </c>
      <c r="M1456" s="21">
        <v>16401.68</v>
      </c>
      <c r="N1456" s="21">
        <v>13352.72</v>
      </c>
      <c r="O1456" t="s">
        <v>29</v>
      </c>
      <c r="P1456" s="21">
        <v>565.86</v>
      </c>
      <c r="Q1456" t="s">
        <v>30</v>
      </c>
      <c r="R1456" t="s">
        <v>41</v>
      </c>
      <c r="S1456">
        <v>2</v>
      </c>
      <c r="T1456">
        <v>1</v>
      </c>
      <c r="U1456" t="s">
        <v>32</v>
      </c>
      <c r="V1456" t="s">
        <v>42</v>
      </c>
    </row>
    <row r="1457" spans="1:23" x14ac:dyDescent="0.25">
      <c r="A1457" t="s">
        <v>2090</v>
      </c>
      <c r="B1457" s="1">
        <v>45799</v>
      </c>
      <c r="C1457" t="s">
        <v>233</v>
      </c>
      <c r="D1457" t="s">
        <v>63</v>
      </c>
      <c r="E1457" t="s">
        <v>46</v>
      </c>
      <c r="F1457" t="s">
        <v>37</v>
      </c>
      <c r="G1457" t="s">
        <v>38</v>
      </c>
      <c r="H1457">
        <v>4</v>
      </c>
      <c r="I1457" s="21">
        <v>6075</v>
      </c>
      <c r="J1457">
        <v>10</v>
      </c>
      <c r="K1457" s="21">
        <v>2430</v>
      </c>
      <c r="L1457" s="21">
        <v>21870</v>
      </c>
      <c r="M1457" s="21">
        <v>12168.91</v>
      </c>
      <c r="N1457" s="21">
        <v>9701.09</v>
      </c>
      <c r="O1457" t="s">
        <v>39</v>
      </c>
      <c r="P1457" s="21">
        <v>337.02</v>
      </c>
      <c r="Q1457" t="s">
        <v>83</v>
      </c>
      <c r="R1457" t="s">
        <v>41</v>
      </c>
      <c r="S1457">
        <v>2</v>
      </c>
      <c r="T1457">
        <v>2</v>
      </c>
      <c r="U1457" t="s">
        <v>32</v>
      </c>
      <c r="V1457" t="s">
        <v>50</v>
      </c>
      <c r="W1457">
        <v>5</v>
      </c>
    </row>
    <row r="1458" spans="1:23" x14ac:dyDescent="0.25">
      <c r="A1458" t="s">
        <v>2091</v>
      </c>
      <c r="B1458" s="1">
        <v>45732</v>
      </c>
      <c r="C1458" t="s">
        <v>494</v>
      </c>
      <c r="D1458" t="s">
        <v>63</v>
      </c>
      <c r="E1458" t="s">
        <v>26</v>
      </c>
      <c r="F1458" t="s">
        <v>37</v>
      </c>
      <c r="G1458" t="s">
        <v>161</v>
      </c>
      <c r="H1458">
        <v>2</v>
      </c>
      <c r="I1458" s="21">
        <v>22373</v>
      </c>
      <c r="J1458">
        <v>0</v>
      </c>
      <c r="K1458" s="21">
        <v>0</v>
      </c>
      <c r="L1458" s="21">
        <v>44746</v>
      </c>
      <c r="M1458" s="21">
        <v>35698.22</v>
      </c>
      <c r="N1458" s="21">
        <v>9047.7800000000007</v>
      </c>
      <c r="O1458" t="s">
        <v>60</v>
      </c>
      <c r="P1458" s="21">
        <v>305.06</v>
      </c>
      <c r="Q1458" t="s">
        <v>30</v>
      </c>
      <c r="R1458" t="s">
        <v>31</v>
      </c>
      <c r="S1458">
        <v>5</v>
      </c>
      <c r="T1458">
        <v>4</v>
      </c>
      <c r="U1458" t="s">
        <v>32</v>
      </c>
      <c r="V1458" t="s">
        <v>42</v>
      </c>
    </row>
    <row r="1459" spans="1:23" x14ac:dyDescent="0.25">
      <c r="A1459" t="s">
        <v>2092</v>
      </c>
      <c r="B1459" s="1">
        <v>45724</v>
      </c>
      <c r="C1459" t="s">
        <v>468</v>
      </c>
      <c r="D1459" t="s">
        <v>154</v>
      </c>
      <c r="E1459" t="s">
        <v>46</v>
      </c>
      <c r="F1459" t="s">
        <v>27</v>
      </c>
      <c r="G1459" t="s">
        <v>76</v>
      </c>
      <c r="H1459">
        <v>2</v>
      </c>
      <c r="I1459" s="21">
        <v>11419</v>
      </c>
      <c r="J1459">
        <v>0</v>
      </c>
      <c r="K1459" s="21">
        <v>0</v>
      </c>
      <c r="L1459" s="21">
        <v>22838</v>
      </c>
      <c r="M1459" s="21">
        <v>15161.27</v>
      </c>
      <c r="N1459" s="21">
        <v>7676.73</v>
      </c>
      <c r="O1459" t="s">
        <v>29</v>
      </c>
      <c r="P1459" s="21">
        <v>1015</v>
      </c>
      <c r="Q1459" t="s">
        <v>68</v>
      </c>
      <c r="R1459" t="s">
        <v>41</v>
      </c>
      <c r="S1459">
        <v>2</v>
      </c>
      <c r="T1459">
        <v>2</v>
      </c>
      <c r="U1459" t="s">
        <v>32</v>
      </c>
      <c r="V1459" t="s">
        <v>33</v>
      </c>
      <c r="W1459">
        <v>1</v>
      </c>
    </row>
    <row r="1460" spans="1:23" x14ac:dyDescent="0.25">
      <c r="A1460" t="s">
        <v>2093</v>
      </c>
      <c r="B1460" s="1">
        <v>45934</v>
      </c>
      <c r="C1460" t="s">
        <v>245</v>
      </c>
      <c r="D1460" t="s">
        <v>90</v>
      </c>
      <c r="E1460" t="s">
        <v>46</v>
      </c>
      <c r="F1460" t="s">
        <v>53</v>
      </c>
      <c r="G1460" t="s">
        <v>59</v>
      </c>
      <c r="H1460">
        <v>2</v>
      </c>
      <c r="I1460" s="21">
        <v>49848</v>
      </c>
      <c r="J1460">
        <v>0</v>
      </c>
      <c r="K1460" s="21">
        <v>0</v>
      </c>
      <c r="L1460" s="21">
        <v>99696</v>
      </c>
      <c r="M1460" s="21">
        <v>79297.31</v>
      </c>
      <c r="N1460" s="21">
        <v>20398.689999999999</v>
      </c>
      <c r="O1460" t="s">
        <v>49</v>
      </c>
      <c r="P1460" s="21">
        <v>357.7</v>
      </c>
      <c r="Q1460" t="s">
        <v>68</v>
      </c>
      <c r="R1460" t="s">
        <v>41</v>
      </c>
      <c r="S1460">
        <v>2</v>
      </c>
      <c r="T1460">
        <v>6</v>
      </c>
      <c r="U1460" t="s">
        <v>32</v>
      </c>
      <c r="V1460" t="s">
        <v>42</v>
      </c>
    </row>
    <row r="1461" spans="1:23" x14ac:dyDescent="0.25">
      <c r="A1461" t="s">
        <v>2094</v>
      </c>
      <c r="B1461" s="1">
        <v>45786</v>
      </c>
      <c r="C1461" t="s">
        <v>2095</v>
      </c>
      <c r="D1461" t="s">
        <v>124</v>
      </c>
      <c r="E1461" t="s">
        <v>26</v>
      </c>
      <c r="F1461" t="s">
        <v>47</v>
      </c>
      <c r="G1461" t="s">
        <v>105</v>
      </c>
      <c r="H1461">
        <v>2</v>
      </c>
      <c r="I1461" s="21">
        <v>14318</v>
      </c>
      <c r="J1461">
        <v>0</v>
      </c>
      <c r="K1461" s="21">
        <v>0</v>
      </c>
      <c r="L1461" s="21">
        <v>28636</v>
      </c>
      <c r="M1461" s="21">
        <v>17874.25</v>
      </c>
      <c r="N1461" s="21">
        <v>10761.75</v>
      </c>
      <c r="O1461" t="s">
        <v>55</v>
      </c>
      <c r="P1461" s="21">
        <v>624.70000000000005</v>
      </c>
      <c r="Q1461" t="s">
        <v>30</v>
      </c>
      <c r="R1461" t="s">
        <v>41</v>
      </c>
      <c r="S1461">
        <v>2</v>
      </c>
      <c r="T1461">
        <v>3</v>
      </c>
      <c r="U1461" t="s">
        <v>56</v>
      </c>
      <c r="V1461" t="s">
        <v>33</v>
      </c>
      <c r="W1461">
        <v>3</v>
      </c>
    </row>
    <row r="1462" spans="1:23" x14ac:dyDescent="0.25">
      <c r="A1462" t="s">
        <v>2096</v>
      </c>
      <c r="B1462" s="1">
        <v>45747</v>
      </c>
      <c r="C1462" t="s">
        <v>620</v>
      </c>
      <c r="D1462" t="s">
        <v>71</v>
      </c>
      <c r="E1462" t="s">
        <v>46</v>
      </c>
      <c r="F1462" t="s">
        <v>86</v>
      </c>
      <c r="G1462" t="s">
        <v>87</v>
      </c>
      <c r="H1462">
        <v>1</v>
      </c>
      <c r="I1462" s="21">
        <v>20550</v>
      </c>
      <c r="J1462">
        <v>25</v>
      </c>
      <c r="K1462" s="21">
        <v>5137.5</v>
      </c>
      <c r="L1462" s="21">
        <v>15412.5</v>
      </c>
      <c r="M1462" s="21">
        <v>9989.44</v>
      </c>
      <c r="N1462" s="21">
        <v>5423.06</v>
      </c>
      <c r="O1462" t="s">
        <v>49</v>
      </c>
      <c r="P1462" s="21">
        <v>371.71</v>
      </c>
      <c r="Q1462" t="s">
        <v>73</v>
      </c>
      <c r="R1462" t="s">
        <v>31</v>
      </c>
      <c r="S1462">
        <v>5</v>
      </c>
      <c r="T1462">
        <v>4</v>
      </c>
      <c r="U1462" t="s">
        <v>32</v>
      </c>
      <c r="V1462" t="s">
        <v>33</v>
      </c>
      <c r="W1462">
        <v>5</v>
      </c>
    </row>
    <row r="1463" spans="1:23" x14ac:dyDescent="0.25">
      <c r="A1463" t="s">
        <v>2097</v>
      </c>
      <c r="B1463" s="1">
        <v>45714</v>
      </c>
      <c r="C1463" t="s">
        <v>2098</v>
      </c>
      <c r="D1463" t="s">
        <v>79</v>
      </c>
      <c r="E1463" t="s">
        <v>26</v>
      </c>
      <c r="F1463" t="s">
        <v>86</v>
      </c>
      <c r="G1463" t="s">
        <v>94</v>
      </c>
      <c r="H1463">
        <v>1</v>
      </c>
      <c r="I1463" s="21">
        <v>16593</v>
      </c>
      <c r="J1463">
        <v>10</v>
      </c>
      <c r="K1463" s="21">
        <v>1659.3</v>
      </c>
      <c r="L1463" s="21">
        <v>14933.7</v>
      </c>
      <c r="M1463" s="21">
        <v>8591.61</v>
      </c>
      <c r="N1463" s="21">
        <v>6342.09</v>
      </c>
      <c r="O1463" t="s">
        <v>39</v>
      </c>
      <c r="P1463" s="21">
        <v>2106.23</v>
      </c>
      <c r="Q1463" t="s">
        <v>73</v>
      </c>
      <c r="R1463" t="s">
        <v>41</v>
      </c>
      <c r="S1463">
        <v>2</v>
      </c>
      <c r="T1463">
        <v>1</v>
      </c>
      <c r="U1463" t="s">
        <v>32</v>
      </c>
      <c r="V1463" t="s">
        <v>33</v>
      </c>
      <c r="W1463">
        <v>3</v>
      </c>
    </row>
    <row r="1464" spans="1:23" x14ac:dyDescent="0.25">
      <c r="A1464" t="s">
        <v>2099</v>
      </c>
      <c r="B1464" s="1">
        <v>45996</v>
      </c>
      <c r="C1464" t="s">
        <v>1346</v>
      </c>
      <c r="D1464" t="s">
        <v>71</v>
      </c>
      <c r="E1464" t="s">
        <v>26</v>
      </c>
      <c r="F1464" t="s">
        <v>47</v>
      </c>
      <c r="G1464" t="s">
        <v>105</v>
      </c>
      <c r="H1464">
        <v>1</v>
      </c>
      <c r="I1464" s="21">
        <v>34245</v>
      </c>
      <c r="J1464">
        <v>20</v>
      </c>
      <c r="K1464" s="21">
        <v>6849</v>
      </c>
      <c r="L1464" s="21">
        <v>27396</v>
      </c>
      <c r="M1464" s="21">
        <v>16918.36</v>
      </c>
      <c r="N1464" s="21">
        <v>10477.64</v>
      </c>
      <c r="O1464" t="s">
        <v>91</v>
      </c>
      <c r="P1464" s="21">
        <v>399.8</v>
      </c>
      <c r="Q1464" t="s">
        <v>73</v>
      </c>
      <c r="R1464" t="s">
        <v>31</v>
      </c>
      <c r="S1464">
        <v>5</v>
      </c>
      <c r="T1464">
        <v>4</v>
      </c>
      <c r="U1464" t="s">
        <v>32</v>
      </c>
      <c r="V1464" t="s">
        <v>33</v>
      </c>
      <c r="W1464">
        <v>5</v>
      </c>
    </row>
    <row r="1465" spans="1:23" x14ac:dyDescent="0.25">
      <c r="A1465" t="s">
        <v>2100</v>
      </c>
      <c r="B1465" s="1">
        <v>45671</v>
      </c>
      <c r="C1465" t="s">
        <v>905</v>
      </c>
      <c r="D1465" t="s">
        <v>154</v>
      </c>
      <c r="E1465" t="s">
        <v>46</v>
      </c>
      <c r="F1465" t="s">
        <v>27</v>
      </c>
      <c r="G1465" t="s">
        <v>72</v>
      </c>
      <c r="H1465">
        <v>1</v>
      </c>
      <c r="I1465" s="21">
        <v>20332</v>
      </c>
      <c r="J1465">
        <v>25</v>
      </c>
      <c r="K1465" s="21">
        <v>5083</v>
      </c>
      <c r="L1465" s="21">
        <v>15249</v>
      </c>
      <c r="M1465" s="21">
        <v>8874.9599999999991</v>
      </c>
      <c r="N1465" s="21">
        <v>6374.04</v>
      </c>
      <c r="O1465" t="s">
        <v>60</v>
      </c>
      <c r="P1465" s="21">
        <v>232.47</v>
      </c>
      <c r="Q1465" t="s">
        <v>40</v>
      </c>
      <c r="R1465" t="s">
        <v>41</v>
      </c>
      <c r="S1465">
        <v>2</v>
      </c>
      <c r="T1465">
        <v>3</v>
      </c>
      <c r="U1465" t="s">
        <v>32</v>
      </c>
      <c r="V1465" t="s">
        <v>50</v>
      </c>
      <c r="W1465">
        <v>2</v>
      </c>
    </row>
    <row r="1466" spans="1:23" x14ac:dyDescent="0.25">
      <c r="A1466" t="s">
        <v>2101</v>
      </c>
      <c r="B1466" s="1">
        <v>45725</v>
      </c>
      <c r="C1466" t="s">
        <v>370</v>
      </c>
      <c r="D1466" t="s">
        <v>124</v>
      </c>
      <c r="E1466" t="s">
        <v>26</v>
      </c>
      <c r="F1466" t="s">
        <v>53</v>
      </c>
      <c r="G1466" t="s">
        <v>54</v>
      </c>
      <c r="H1466">
        <v>1</v>
      </c>
      <c r="I1466" s="21">
        <v>11644</v>
      </c>
      <c r="J1466">
        <v>15</v>
      </c>
      <c r="K1466" s="21">
        <v>1746.6</v>
      </c>
      <c r="L1466" s="21">
        <v>9897.4</v>
      </c>
      <c r="M1466" s="21">
        <v>7433.71</v>
      </c>
      <c r="N1466" s="21">
        <v>2463.69</v>
      </c>
      <c r="O1466" t="s">
        <v>55</v>
      </c>
      <c r="P1466" s="21">
        <v>274.72000000000003</v>
      </c>
      <c r="Q1466" t="s">
        <v>73</v>
      </c>
      <c r="R1466" t="s">
        <v>41</v>
      </c>
      <c r="S1466">
        <v>2</v>
      </c>
      <c r="T1466">
        <v>1</v>
      </c>
      <c r="U1466" t="s">
        <v>32</v>
      </c>
      <c r="V1466" t="s">
        <v>33</v>
      </c>
      <c r="W1466">
        <v>3</v>
      </c>
    </row>
    <row r="1467" spans="1:23" x14ac:dyDescent="0.25">
      <c r="A1467" t="s">
        <v>2102</v>
      </c>
      <c r="B1467" s="1">
        <v>45665</v>
      </c>
      <c r="C1467" t="s">
        <v>1695</v>
      </c>
      <c r="D1467" t="s">
        <v>154</v>
      </c>
      <c r="E1467" t="s">
        <v>36</v>
      </c>
      <c r="F1467" t="s">
        <v>37</v>
      </c>
      <c r="G1467" t="s">
        <v>38</v>
      </c>
      <c r="H1467">
        <v>2</v>
      </c>
      <c r="I1467" s="21">
        <v>10550</v>
      </c>
      <c r="J1467">
        <v>0</v>
      </c>
      <c r="K1467" s="21">
        <v>0</v>
      </c>
      <c r="L1467" s="21">
        <v>21100</v>
      </c>
      <c r="M1467" s="21">
        <v>17030.07</v>
      </c>
      <c r="N1467" s="21">
        <v>4069.93</v>
      </c>
      <c r="O1467" t="s">
        <v>91</v>
      </c>
      <c r="P1467" s="21">
        <v>727.05</v>
      </c>
      <c r="Q1467" t="s">
        <v>40</v>
      </c>
      <c r="R1467" t="s">
        <v>41</v>
      </c>
      <c r="S1467">
        <v>2</v>
      </c>
      <c r="T1467">
        <v>3</v>
      </c>
      <c r="U1467" t="s">
        <v>56</v>
      </c>
      <c r="V1467" t="s">
        <v>33</v>
      </c>
      <c r="W1467">
        <v>5</v>
      </c>
    </row>
    <row r="1468" spans="1:23" x14ac:dyDescent="0.25">
      <c r="A1468" t="s">
        <v>2103</v>
      </c>
      <c r="B1468" s="1">
        <v>45841</v>
      </c>
      <c r="C1468" t="s">
        <v>1860</v>
      </c>
      <c r="D1468" t="s">
        <v>63</v>
      </c>
      <c r="E1468" t="s">
        <v>46</v>
      </c>
      <c r="F1468" t="s">
        <v>37</v>
      </c>
      <c r="G1468" t="s">
        <v>38</v>
      </c>
      <c r="H1468">
        <v>3</v>
      </c>
      <c r="I1468" s="21">
        <v>13519</v>
      </c>
      <c r="J1468">
        <v>10</v>
      </c>
      <c r="K1468" s="21">
        <v>4055.7</v>
      </c>
      <c r="L1468" s="21">
        <v>36501.300000000003</v>
      </c>
      <c r="M1468" s="21">
        <v>26065.86</v>
      </c>
      <c r="N1468" s="21">
        <v>10435.44</v>
      </c>
      <c r="O1468" t="s">
        <v>29</v>
      </c>
      <c r="P1468" s="21">
        <v>1042.42</v>
      </c>
      <c r="Q1468" t="s">
        <v>68</v>
      </c>
      <c r="R1468" t="s">
        <v>41</v>
      </c>
      <c r="S1468">
        <v>2</v>
      </c>
      <c r="T1468">
        <v>5</v>
      </c>
      <c r="U1468" t="s">
        <v>56</v>
      </c>
      <c r="V1468" t="s">
        <v>33</v>
      </c>
      <c r="W1468">
        <v>3</v>
      </c>
    </row>
    <row r="1469" spans="1:23" x14ac:dyDescent="0.25">
      <c r="A1469" t="s">
        <v>2104</v>
      </c>
      <c r="B1469" s="1">
        <v>45779</v>
      </c>
      <c r="C1469" t="s">
        <v>528</v>
      </c>
      <c r="D1469" t="s">
        <v>79</v>
      </c>
      <c r="E1469" t="s">
        <v>46</v>
      </c>
      <c r="F1469" t="s">
        <v>37</v>
      </c>
      <c r="G1469" t="s">
        <v>161</v>
      </c>
      <c r="H1469">
        <v>1</v>
      </c>
      <c r="I1469" s="21">
        <v>34576</v>
      </c>
      <c r="J1469">
        <v>0</v>
      </c>
      <c r="K1469" s="21">
        <v>0</v>
      </c>
      <c r="L1469" s="21">
        <v>34576</v>
      </c>
      <c r="M1469" s="21">
        <v>24677.66</v>
      </c>
      <c r="N1469" s="21">
        <v>9898.34</v>
      </c>
      <c r="O1469" t="s">
        <v>91</v>
      </c>
      <c r="P1469" s="21">
        <v>961.84</v>
      </c>
      <c r="Q1469" t="s">
        <v>40</v>
      </c>
      <c r="R1469" t="s">
        <v>31</v>
      </c>
      <c r="S1469">
        <v>5</v>
      </c>
      <c r="T1469">
        <v>5</v>
      </c>
      <c r="U1469" t="s">
        <v>32</v>
      </c>
      <c r="V1469" t="s">
        <v>33</v>
      </c>
      <c r="W1469">
        <v>5</v>
      </c>
    </row>
    <row r="1470" spans="1:23" x14ac:dyDescent="0.25">
      <c r="A1470" t="s">
        <v>2105</v>
      </c>
      <c r="B1470" s="1">
        <v>45959</v>
      </c>
      <c r="C1470" t="s">
        <v>570</v>
      </c>
      <c r="D1470" t="s">
        <v>124</v>
      </c>
      <c r="E1470" t="s">
        <v>26</v>
      </c>
      <c r="F1470" t="s">
        <v>53</v>
      </c>
      <c r="G1470" t="s">
        <v>59</v>
      </c>
      <c r="H1470">
        <v>2</v>
      </c>
      <c r="I1470" s="21">
        <v>93790</v>
      </c>
      <c r="J1470">
        <v>5</v>
      </c>
      <c r="K1470" s="21">
        <v>9379</v>
      </c>
      <c r="L1470" s="21">
        <v>178201</v>
      </c>
      <c r="M1470" s="21">
        <v>142052.01999999999</v>
      </c>
      <c r="N1470" s="21">
        <v>36148.980000000003</v>
      </c>
      <c r="O1470" t="s">
        <v>55</v>
      </c>
      <c r="P1470" s="21">
        <v>1702.3</v>
      </c>
      <c r="Q1470" t="s">
        <v>68</v>
      </c>
      <c r="R1470" t="s">
        <v>31</v>
      </c>
      <c r="S1470">
        <v>5</v>
      </c>
      <c r="T1470">
        <v>2</v>
      </c>
      <c r="U1470" t="s">
        <v>32</v>
      </c>
      <c r="V1470" t="s">
        <v>33</v>
      </c>
      <c r="W1470">
        <v>5</v>
      </c>
    </row>
    <row r="1471" spans="1:23" x14ac:dyDescent="0.25">
      <c r="A1471" t="s">
        <v>2106</v>
      </c>
      <c r="B1471" s="1">
        <v>45823</v>
      </c>
      <c r="C1471" t="s">
        <v>637</v>
      </c>
      <c r="D1471" t="s">
        <v>79</v>
      </c>
      <c r="E1471" t="s">
        <v>26</v>
      </c>
      <c r="F1471" t="s">
        <v>37</v>
      </c>
      <c r="G1471" t="s">
        <v>100</v>
      </c>
      <c r="H1471">
        <v>1</v>
      </c>
      <c r="I1471" s="21">
        <v>34651</v>
      </c>
      <c r="J1471">
        <v>0</v>
      </c>
      <c r="K1471" s="21">
        <v>0</v>
      </c>
      <c r="L1471" s="21">
        <v>34651</v>
      </c>
      <c r="M1471" s="21">
        <v>22705.18</v>
      </c>
      <c r="N1471" s="21">
        <v>11945.82</v>
      </c>
      <c r="O1471" t="s">
        <v>49</v>
      </c>
      <c r="P1471" s="21">
        <v>146.13</v>
      </c>
      <c r="Q1471" t="s">
        <v>68</v>
      </c>
      <c r="R1471" t="s">
        <v>31</v>
      </c>
      <c r="S1471">
        <v>5</v>
      </c>
      <c r="T1471">
        <v>5</v>
      </c>
      <c r="U1471" t="s">
        <v>32</v>
      </c>
      <c r="V1471" t="s">
        <v>33</v>
      </c>
      <c r="W1471">
        <v>4</v>
      </c>
    </row>
    <row r="1472" spans="1:23" x14ac:dyDescent="0.25">
      <c r="A1472" t="s">
        <v>2107</v>
      </c>
      <c r="B1472" s="1">
        <v>45666</v>
      </c>
      <c r="C1472" t="s">
        <v>1332</v>
      </c>
      <c r="D1472" t="s">
        <v>154</v>
      </c>
      <c r="E1472" t="s">
        <v>26</v>
      </c>
      <c r="F1472" t="s">
        <v>37</v>
      </c>
      <c r="G1472" t="s">
        <v>224</v>
      </c>
      <c r="H1472">
        <v>2</v>
      </c>
      <c r="I1472" s="21">
        <v>14198</v>
      </c>
      <c r="J1472">
        <v>0</v>
      </c>
      <c r="K1472" s="21">
        <v>0</v>
      </c>
      <c r="L1472" s="21">
        <v>28396</v>
      </c>
      <c r="M1472" s="21">
        <v>16368.78</v>
      </c>
      <c r="N1472" s="21">
        <v>12027.22</v>
      </c>
      <c r="O1472" t="s">
        <v>49</v>
      </c>
      <c r="P1472" s="21">
        <v>305.24</v>
      </c>
      <c r="Q1472" t="s">
        <v>83</v>
      </c>
      <c r="R1472" t="s">
        <v>31</v>
      </c>
      <c r="S1472">
        <v>5</v>
      </c>
      <c r="T1472">
        <v>3</v>
      </c>
      <c r="U1472" t="s">
        <v>32</v>
      </c>
      <c r="V1472" t="s">
        <v>42</v>
      </c>
    </row>
    <row r="1473" spans="1:23" x14ac:dyDescent="0.25">
      <c r="A1473" t="s">
        <v>2108</v>
      </c>
      <c r="B1473" s="1">
        <v>45747</v>
      </c>
      <c r="C1473" t="s">
        <v>233</v>
      </c>
      <c r="D1473" t="s">
        <v>67</v>
      </c>
      <c r="E1473" t="s">
        <v>26</v>
      </c>
      <c r="F1473" t="s">
        <v>86</v>
      </c>
      <c r="G1473" t="s">
        <v>127</v>
      </c>
      <c r="H1473">
        <v>1</v>
      </c>
      <c r="I1473" s="21">
        <v>23944</v>
      </c>
      <c r="J1473">
        <v>20</v>
      </c>
      <c r="K1473" s="21">
        <v>4788.8</v>
      </c>
      <c r="L1473" s="21">
        <v>19155.2</v>
      </c>
      <c r="M1473" s="21">
        <v>13055.75</v>
      </c>
      <c r="N1473" s="21">
        <v>6099.45</v>
      </c>
      <c r="O1473" t="s">
        <v>60</v>
      </c>
      <c r="P1473" s="21">
        <v>2156.02</v>
      </c>
      <c r="Q1473" t="s">
        <v>40</v>
      </c>
      <c r="R1473" t="s">
        <v>41</v>
      </c>
      <c r="S1473">
        <v>2</v>
      </c>
      <c r="T1473">
        <v>1</v>
      </c>
      <c r="U1473" t="s">
        <v>32</v>
      </c>
      <c r="V1473" t="s">
        <v>33</v>
      </c>
      <c r="W1473">
        <v>3</v>
      </c>
    </row>
    <row r="1474" spans="1:23" x14ac:dyDescent="0.25">
      <c r="A1474" t="s">
        <v>2109</v>
      </c>
      <c r="B1474" s="1">
        <v>45793</v>
      </c>
      <c r="C1474" t="s">
        <v>1350</v>
      </c>
      <c r="D1474" t="s">
        <v>90</v>
      </c>
      <c r="E1474" t="s">
        <v>46</v>
      </c>
      <c r="F1474" t="s">
        <v>53</v>
      </c>
      <c r="G1474" t="s">
        <v>59</v>
      </c>
      <c r="H1474">
        <v>1</v>
      </c>
      <c r="I1474" s="21">
        <v>115019</v>
      </c>
      <c r="J1474">
        <v>25</v>
      </c>
      <c r="K1474" s="21">
        <v>28754.75</v>
      </c>
      <c r="L1474" s="21">
        <v>86264.25</v>
      </c>
      <c r="M1474" s="21">
        <v>53129.26</v>
      </c>
      <c r="N1474" s="21">
        <v>33134.99</v>
      </c>
      <c r="O1474" t="s">
        <v>39</v>
      </c>
      <c r="P1474" s="21">
        <v>1912.99</v>
      </c>
      <c r="Q1474" t="s">
        <v>73</v>
      </c>
      <c r="R1474" t="s">
        <v>31</v>
      </c>
      <c r="S1474">
        <v>5</v>
      </c>
      <c r="T1474">
        <v>4</v>
      </c>
      <c r="U1474" t="s">
        <v>32</v>
      </c>
      <c r="V1474" t="s">
        <v>33</v>
      </c>
      <c r="W1474">
        <v>2</v>
      </c>
    </row>
    <row r="1475" spans="1:23" x14ac:dyDescent="0.25">
      <c r="A1475" t="s">
        <v>2110</v>
      </c>
      <c r="B1475" s="1">
        <v>45684</v>
      </c>
      <c r="C1475" t="s">
        <v>301</v>
      </c>
      <c r="D1475" t="s">
        <v>45</v>
      </c>
      <c r="E1475" t="s">
        <v>26</v>
      </c>
      <c r="F1475" t="s">
        <v>86</v>
      </c>
      <c r="G1475" t="s">
        <v>180</v>
      </c>
      <c r="H1475">
        <v>1</v>
      </c>
      <c r="I1475" s="21">
        <v>37161</v>
      </c>
      <c r="J1475">
        <v>10</v>
      </c>
      <c r="K1475" s="21">
        <v>3716.1</v>
      </c>
      <c r="L1475" s="21">
        <v>33444.9</v>
      </c>
      <c r="M1475" s="21">
        <v>18471.53</v>
      </c>
      <c r="N1475" s="21">
        <v>14973.37</v>
      </c>
      <c r="O1475" t="s">
        <v>39</v>
      </c>
      <c r="P1475" s="21">
        <v>1775.14</v>
      </c>
      <c r="Q1475" t="s">
        <v>30</v>
      </c>
      <c r="R1475" t="s">
        <v>31</v>
      </c>
      <c r="S1475">
        <v>5</v>
      </c>
      <c r="T1475">
        <v>2</v>
      </c>
      <c r="U1475" t="s">
        <v>32</v>
      </c>
      <c r="V1475" t="s">
        <v>50</v>
      </c>
      <c r="W1475">
        <v>4</v>
      </c>
    </row>
    <row r="1476" spans="1:23" x14ac:dyDescent="0.25">
      <c r="A1476" t="s">
        <v>2111</v>
      </c>
      <c r="B1476" s="1">
        <v>45722</v>
      </c>
      <c r="C1476" t="s">
        <v>211</v>
      </c>
      <c r="D1476" t="s">
        <v>97</v>
      </c>
      <c r="E1476" t="s">
        <v>26</v>
      </c>
      <c r="F1476" t="s">
        <v>86</v>
      </c>
      <c r="G1476" t="s">
        <v>94</v>
      </c>
      <c r="H1476">
        <v>1</v>
      </c>
      <c r="I1476" s="21">
        <v>72189</v>
      </c>
      <c r="J1476">
        <v>0</v>
      </c>
      <c r="K1476" s="21">
        <v>0</v>
      </c>
      <c r="L1476" s="21">
        <v>72189</v>
      </c>
      <c r="M1476" s="21">
        <v>57024.959999999999</v>
      </c>
      <c r="N1476" s="21">
        <v>15164.04</v>
      </c>
      <c r="O1476" t="s">
        <v>49</v>
      </c>
      <c r="P1476" s="21">
        <v>127.64</v>
      </c>
      <c r="Q1476" t="s">
        <v>83</v>
      </c>
      <c r="R1476" t="s">
        <v>31</v>
      </c>
      <c r="S1476">
        <v>5</v>
      </c>
      <c r="T1476">
        <v>3</v>
      </c>
      <c r="U1476" t="s">
        <v>32</v>
      </c>
      <c r="V1476" t="s">
        <v>42</v>
      </c>
    </row>
    <row r="1477" spans="1:23" x14ac:dyDescent="0.25">
      <c r="A1477" t="s">
        <v>2112</v>
      </c>
      <c r="B1477" s="1">
        <v>45873</v>
      </c>
      <c r="C1477" t="s">
        <v>191</v>
      </c>
      <c r="D1477" t="s">
        <v>124</v>
      </c>
      <c r="E1477" t="s">
        <v>46</v>
      </c>
      <c r="F1477" t="s">
        <v>86</v>
      </c>
      <c r="G1477" t="s">
        <v>180</v>
      </c>
      <c r="H1477">
        <v>1</v>
      </c>
      <c r="I1477" s="21">
        <v>25516</v>
      </c>
      <c r="J1477">
        <v>5</v>
      </c>
      <c r="K1477" s="21">
        <v>1275.8</v>
      </c>
      <c r="L1477" s="21">
        <v>24240.2</v>
      </c>
      <c r="M1477" s="21">
        <v>16836.34</v>
      </c>
      <c r="N1477" s="21">
        <v>7403.86</v>
      </c>
      <c r="O1477" t="s">
        <v>39</v>
      </c>
      <c r="P1477" s="21">
        <v>2031.02</v>
      </c>
      <c r="Q1477" t="s">
        <v>68</v>
      </c>
      <c r="R1477" t="s">
        <v>31</v>
      </c>
      <c r="S1477">
        <v>5</v>
      </c>
      <c r="T1477">
        <v>2</v>
      </c>
      <c r="U1477" t="s">
        <v>32</v>
      </c>
      <c r="V1477" t="s">
        <v>42</v>
      </c>
    </row>
    <row r="1478" spans="1:23" x14ac:dyDescent="0.25">
      <c r="A1478" t="s">
        <v>2113</v>
      </c>
      <c r="B1478" s="1">
        <v>45927</v>
      </c>
      <c r="C1478" t="s">
        <v>1350</v>
      </c>
      <c r="D1478" t="s">
        <v>79</v>
      </c>
      <c r="E1478" t="s">
        <v>46</v>
      </c>
      <c r="F1478" t="s">
        <v>53</v>
      </c>
      <c r="G1478" t="s">
        <v>82</v>
      </c>
      <c r="H1478">
        <v>1</v>
      </c>
      <c r="I1478" s="21">
        <v>111201</v>
      </c>
      <c r="J1478">
        <v>0</v>
      </c>
      <c r="K1478" s="21">
        <v>0</v>
      </c>
      <c r="L1478" s="21">
        <v>111201</v>
      </c>
      <c r="M1478" s="21">
        <v>68293.09</v>
      </c>
      <c r="N1478" s="21">
        <v>42907.91</v>
      </c>
      <c r="O1478" t="s">
        <v>49</v>
      </c>
      <c r="P1478" s="21">
        <v>472.29</v>
      </c>
      <c r="Q1478" t="s">
        <v>30</v>
      </c>
      <c r="R1478" t="s">
        <v>31</v>
      </c>
      <c r="S1478">
        <v>5</v>
      </c>
      <c r="T1478">
        <v>5</v>
      </c>
      <c r="U1478" t="s">
        <v>32</v>
      </c>
      <c r="V1478" t="s">
        <v>42</v>
      </c>
    </row>
    <row r="1479" spans="1:23" x14ac:dyDescent="0.25">
      <c r="A1479" t="s">
        <v>2114</v>
      </c>
      <c r="B1479" s="1">
        <v>45716</v>
      </c>
      <c r="C1479" t="s">
        <v>203</v>
      </c>
      <c r="D1479" t="s">
        <v>67</v>
      </c>
      <c r="E1479" t="s">
        <v>26</v>
      </c>
      <c r="F1479" t="s">
        <v>47</v>
      </c>
      <c r="G1479" t="s">
        <v>105</v>
      </c>
      <c r="H1479">
        <v>2</v>
      </c>
      <c r="I1479" s="21">
        <v>38856</v>
      </c>
      <c r="J1479">
        <v>0</v>
      </c>
      <c r="K1479" s="21">
        <v>0</v>
      </c>
      <c r="L1479" s="21">
        <v>77712</v>
      </c>
      <c r="M1479" s="21">
        <v>43638.42</v>
      </c>
      <c r="N1479" s="21">
        <v>34073.58</v>
      </c>
      <c r="O1479" t="s">
        <v>49</v>
      </c>
      <c r="P1479" s="21">
        <v>165.64</v>
      </c>
      <c r="Q1479" t="s">
        <v>83</v>
      </c>
      <c r="R1479" t="s">
        <v>31</v>
      </c>
      <c r="S1479">
        <v>5</v>
      </c>
      <c r="T1479">
        <v>5</v>
      </c>
      <c r="U1479" t="s">
        <v>32</v>
      </c>
      <c r="V1479" t="s">
        <v>33</v>
      </c>
      <c r="W1479">
        <v>1</v>
      </c>
    </row>
    <row r="1480" spans="1:23" x14ac:dyDescent="0.25">
      <c r="A1480" t="s">
        <v>2115</v>
      </c>
      <c r="B1480" s="1">
        <v>45690</v>
      </c>
      <c r="C1480" t="s">
        <v>1063</v>
      </c>
      <c r="D1480" t="s">
        <v>67</v>
      </c>
      <c r="E1480" t="s">
        <v>46</v>
      </c>
      <c r="F1480" t="s">
        <v>53</v>
      </c>
      <c r="G1480" t="s">
        <v>54</v>
      </c>
      <c r="H1480">
        <v>1</v>
      </c>
      <c r="I1480" s="21">
        <v>56865</v>
      </c>
      <c r="J1480">
        <v>0</v>
      </c>
      <c r="K1480" s="21">
        <v>0</v>
      </c>
      <c r="L1480" s="21">
        <v>56865</v>
      </c>
      <c r="M1480" s="21">
        <v>34044.050000000003</v>
      </c>
      <c r="N1480" s="21">
        <v>22820.95</v>
      </c>
      <c r="O1480" t="s">
        <v>55</v>
      </c>
      <c r="P1480" s="21">
        <v>1054.02</v>
      </c>
      <c r="Q1480" t="s">
        <v>83</v>
      </c>
      <c r="R1480" t="s">
        <v>31</v>
      </c>
      <c r="S1480">
        <v>5</v>
      </c>
      <c r="T1480">
        <v>3</v>
      </c>
      <c r="U1480" t="s">
        <v>32</v>
      </c>
      <c r="V1480" t="s">
        <v>33</v>
      </c>
      <c r="W1480">
        <v>5</v>
      </c>
    </row>
    <row r="1481" spans="1:23" x14ac:dyDescent="0.25">
      <c r="A1481" t="s">
        <v>2116</v>
      </c>
      <c r="B1481" s="1">
        <v>45901</v>
      </c>
      <c r="C1481" t="s">
        <v>135</v>
      </c>
      <c r="D1481" t="s">
        <v>63</v>
      </c>
      <c r="E1481" t="s">
        <v>46</v>
      </c>
      <c r="F1481" t="s">
        <v>37</v>
      </c>
      <c r="G1481" t="s">
        <v>224</v>
      </c>
      <c r="H1481">
        <v>1</v>
      </c>
      <c r="I1481" s="21">
        <v>29914</v>
      </c>
      <c r="J1481">
        <v>10</v>
      </c>
      <c r="K1481" s="21">
        <v>2991.4</v>
      </c>
      <c r="L1481" s="21">
        <v>26922.6</v>
      </c>
      <c r="M1481" s="21">
        <v>17267.52</v>
      </c>
      <c r="N1481" s="21">
        <v>9655.08</v>
      </c>
      <c r="O1481" t="s">
        <v>39</v>
      </c>
      <c r="P1481" s="21">
        <v>1183.9100000000001</v>
      </c>
      <c r="Q1481" t="s">
        <v>83</v>
      </c>
      <c r="R1481" t="s">
        <v>31</v>
      </c>
      <c r="S1481">
        <v>5</v>
      </c>
      <c r="T1481">
        <v>4</v>
      </c>
      <c r="U1481" t="s">
        <v>32</v>
      </c>
      <c r="V1481" t="s">
        <v>33</v>
      </c>
      <c r="W1481">
        <v>4</v>
      </c>
    </row>
    <row r="1482" spans="1:23" x14ac:dyDescent="0.25">
      <c r="A1482" t="s">
        <v>2117</v>
      </c>
      <c r="B1482" s="1">
        <v>45887</v>
      </c>
      <c r="C1482" t="s">
        <v>380</v>
      </c>
      <c r="D1482" t="s">
        <v>79</v>
      </c>
      <c r="E1482" t="s">
        <v>26</v>
      </c>
      <c r="F1482" t="s">
        <v>47</v>
      </c>
      <c r="G1482" t="s">
        <v>105</v>
      </c>
      <c r="H1482">
        <v>1</v>
      </c>
      <c r="I1482" s="21">
        <v>16264</v>
      </c>
      <c r="J1482">
        <v>15</v>
      </c>
      <c r="K1482" s="21">
        <v>2439.6</v>
      </c>
      <c r="L1482" s="21">
        <v>13824.4</v>
      </c>
      <c r="M1482" s="21">
        <v>8001.13</v>
      </c>
      <c r="N1482" s="21">
        <v>5823.27</v>
      </c>
      <c r="O1482" t="s">
        <v>49</v>
      </c>
      <c r="P1482" s="21">
        <v>221.76</v>
      </c>
      <c r="Q1482" t="s">
        <v>30</v>
      </c>
      <c r="R1482" t="s">
        <v>41</v>
      </c>
      <c r="S1482">
        <v>2</v>
      </c>
      <c r="T1482">
        <v>6</v>
      </c>
      <c r="U1482" t="s">
        <v>32</v>
      </c>
      <c r="V1482" t="s">
        <v>50</v>
      </c>
      <c r="W1482">
        <v>5</v>
      </c>
    </row>
    <row r="1483" spans="1:23" x14ac:dyDescent="0.25">
      <c r="A1483" t="s">
        <v>2118</v>
      </c>
      <c r="B1483" s="1">
        <v>45843</v>
      </c>
      <c r="C1483" t="s">
        <v>2012</v>
      </c>
      <c r="D1483" t="s">
        <v>25</v>
      </c>
      <c r="E1483" t="s">
        <v>26</v>
      </c>
      <c r="F1483" t="s">
        <v>37</v>
      </c>
      <c r="G1483" t="s">
        <v>161</v>
      </c>
      <c r="H1483">
        <v>1</v>
      </c>
      <c r="I1483" s="21">
        <v>22775</v>
      </c>
      <c r="J1483">
        <v>0</v>
      </c>
      <c r="K1483" s="21">
        <v>0</v>
      </c>
      <c r="L1483" s="21">
        <v>22775</v>
      </c>
      <c r="M1483" s="21">
        <v>13546.25</v>
      </c>
      <c r="N1483" s="21">
        <v>9228.75</v>
      </c>
      <c r="O1483" t="s">
        <v>39</v>
      </c>
      <c r="P1483" s="21">
        <v>1707.14</v>
      </c>
      <c r="Q1483" t="s">
        <v>73</v>
      </c>
      <c r="R1483" t="s">
        <v>31</v>
      </c>
      <c r="S1483">
        <v>5</v>
      </c>
      <c r="T1483">
        <v>4</v>
      </c>
      <c r="U1483" t="s">
        <v>32</v>
      </c>
      <c r="V1483" t="s">
        <v>33</v>
      </c>
      <c r="W1483">
        <v>5</v>
      </c>
    </row>
    <row r="1484" spans="1:23" x14ac:dyDescent="0.25">
      <c r="A1484" t="s">
        <v>2119</v>
      </c>
      <c r="B1484" s="1">
        <v>45920</v>
      </c>
      <c r="C1484" t="s">
        <v>496</v>
      </c>
      <c r="D1484" t="s">
        <v>63</v>
      </c>
      <c r="E1484" t="s">
        <v>36</v>
      </c>
      <c r="F1484" t="s">
        <v>27</v>
      </c>
      <c r="G1484" t="s">
        <v>164</v>
      </c>
      <c r="H1484">
        <v>1</v>
      </c>
      <c r="I1484" s="21">
        <v>3527</v>
      </c>
      <c r="J1484">
        <v>0</v>
      </c>
      <c r="K1484" s="21">
        <v>0</v>
      </c>
      <c r="L1484" s="21">
        <v>3527</v>
      </c>
      <c r="M1484" s="21">
        <v>2008.05</v>
      </c>
      <c r="N1484" s="21">
        <v>1518.95</v>
      </c>
      <c r="O1484" t="s">
        <v>60</v>
      </c>
      <c r="P1484" s="21">
        <v>422.55</v>
      </c>
      <c r="Q1484" t="s">
        <v>73</v>
      </c>
      <c r="R1484" t="s">
        <v>41</v>
      </c>
      <c r="S1484">
        <v>2</v>
      </c>
      <c r="T1484">
        <v>5</v>
      </c>
      <c r="U1484" t="s">
        <v>56</v>
      </c>
      <c r="V1484" t="s">
        <v>33</v>
      </c>
      <c r="W1484">
        <v>5</v>
      </c>
    </row>
    <row r="1485" spans="1:23" x14ac:dyDescent="0.25">
      <c r="A1485" t="s">
        <v>2120</v>
      </c>
      <c r="B1485" s="1">
        <v>45961</v>
      </c>
      <c r="C1485" t="s">
        <v>1106</v>
      </c>
      <c r="D1485" t="s">
        <v>154</v>
      </c>
      <c r="E1485" t="s">
        <v>26</v>
      </c>
      <c r="F1485" t="s">
        <v>47</v>
      </c>
      <c r="G1485" t="s">
        <v>138</v>
      </c>
      <c r="H1485">
        <v>1</v>
      </c>
      <c r="I1485" s="21">
        <v>41856</v>
      </c>
      <c r="J1485">
        <v>10</v>
      </c>
      <c r="K1485" s="21">
        <v>4185.6000000000004</v>
      </c>
      <c r="L1485" s="21">
        <v>37670.400000000001</v>
      </c>
      <c r="M1485" s="21">
        <v>25592.639999999999</v>
      </c>
      <c r="N1485" s="21">
        <v>12077.76</v>
      </c>
      <c r="O1485" t="s">
        <v>39</v>
      </c>
      <c r="P1485" s="21">
        <v>1067.3499999999999</v>
      </c>
      <c r="Q1485" t="s">
        <v>40</v>
      </c>
      <c r="R1485" t="s">
        <v>41</v>
      </c>
      <c r="S1485">
        <v>2</v>
      </c>
      <c r="T1485">
        <v>1</v>
      </c>
      <c r="U1485" t="s">
        <v>32</v>
      </c>
      <c r="V1485" t="s">
        <v>33</v>
      </c>
      <c r="W1485">
        <v>3</v>
      </c>
    </row>
    <row r="1486" spans="1:23" x14ac:dyDescent="0.25">
      <c r="A1486" t="s">
        <v>2121</v>
      </c>
      <c r="B1486" s="1">
        <v>45713</v>
      </c>
      <c r="C1486" t="s">
        <v>1554</v>
      </c>
      <c r="D1486" t="s">
        <v>67</v>
      </c>
      <c r="E1486" t="s">
        <v>46</v>
      </c>
      <c r="F1486" t="s">
        <v>27</v>
      </c>
      <c r="G1486" t="s">
        <v>28</v>
      </c>
      <c r="H1486">
        <v>2</v>
      </c>
      <c r="I1486" s="21">
        <v>4427</v>
      </c>
      <c r="J1486">
        <v>25</v>
      </c>
      <c r="K1486" s="21">
        <v>2213.5</v>
      </c>
      <c r="L1486" s="21">
        <v>6640.5</v>
      </c>
      <c r="M1486" s="21">
        <v>4046.52</v>
      </c>
      <c r="N1486" s="21">
        <v>2593.98</v>
      </c>
      <c r="O1486" t="s">
        <v>55</v>
      </c>
      <c r="P1486" s="21">
        <v>722.13</v>
      </c>
      <c r="Q1486" t="s">
        <v>83</v>
      </c>
      <c r="R1486" t="s">
        <v>31</v>
      </c>
      <c r="S1486">
        <v>5</v>
      </c>
      <c r="T1486">
        <v>3</v>
      </c>
      <c r="U1486" t="s">
        <v>32</v>
      </c>
      <c r="V1486" t="s">
        <v>50</v>
      </c>
      <c r="W1486">
        <v>5</v>
      </c>
    </row>
    <row r="1487" spans="1:23" x14ac:dyDescent="0.25">
      <c r="A1487" t="s">
        <v>2122</v>
      </c>
      <c r="B1487" s="1">
        <v>45889</v>
      </c>
      <c r="C1487" t="s">
        <v>1488</v>
      </c>
      <c r="D1487" t="s">
        <v>154</v>
      </c>
      <c r="E1487" t="s">
        <v>36</v>
      </c>
      <c r="F1487" t="s">
        <v>86</v>
      </c>
      <c r="G1487" t="s">
        <v>110</v>
      </c>
      <c r="H1487">
        <v>2</v>
      </c>
      <c r="I1487" s="21">
        <v>27976</v>
      </c>
      <c r="J1487">
        <v>15</v>
      </c>
      <c r="K1487" s="21">
        <v>8392.7999999999993</v>
      </c>
      <c r="L1487" s="21">
        <v>47559.199999999997</v>
      </c>
      <c r="M1487" s="21">
        <v>30392.91</v>
      </c>
      <c r="N1487" s="21">
        <v>17166.29</v>
      </c>
      <c r="O1487" t="s">
        <v>49</v>
      </c>
      <c r="P1487" s="21">
        <v>69.66</v>
      </c>
      <c r="Q1487" t="s">
        <v>73</v>
      </c>
      <c r="R1487" t="s">
        <v>41</v>
      </c>
      <c r="S1487">
        <v>2</v>
      </c>
      <c r="T1487">
        <v>3</v>
      </c>
      <c r="U1487" t="s">
        <v>56</v>
      </c>
      <c r="V1487" t="s">
        <v>33</v>
      </c>
      <c r="W1487">
        <v>1</v>
      </c>
    </row>
    <row r="1488" spans="1:23" x14ac:dyDescent="0.25">
      <c r="A1488" t="s">
        <v>2123</v>
      </c>
      <c r="B1488" s="1">
        <v>45915</v>
      </c>
      <c r="C1488" t="s">
        <v>500</v>
      </c>
      <c r="D1488" t="s">
        <v>45</v>
      </c>
      <c r="E1488" t="s">
        <v>46</v>
      </c>
      <c r="F1488" t="s">
        <v>53</v>
      </c>
      <c r="G1488" t="s">
        <v>54</v>
      </c>
      <c r="H1488">
        <v>1</v>
      </c>
      <c r="I1488" s="21">
        <v>25814</v>
      </c>
      <c r="J1488">
        <v>0</v>
      </c>
      <c r="K1488" s="21">
        <v>0</v>
      </c>
      <c r="L1488" s="21">
        <v>25814</v>
      </c>
      <c r="M1488" s="21">
        <v>17812.189999999999</v>
      </c>
      <c r="N1488" s="21">
        <v>8001.81</v>
      </c>
      <c r="O1488" t="s">
        <v>55</v>
      </c>
      <c r="P1488" s="21">
        <v>462.69</v>
      </c>
      <c r="Q1488" t="s">
        <v>40</v>
      </c>
      <c r="R1488" t="s">
        <v>31</v>
      </c>
      <c r="S1488">
        <v>5</v>
      </c>
      <c r="T1488">
        <v>2</v>
      </c>
      <c r="U1488" t="s">
        <v>32</v>
      </c>
      <c r="V1488" t="s">
        <v>33</v>
      </c>
      <c r="W1488">
        <v>5</v>
      </c>
    </row>
    <row r="1489" spans="1:23" x14ac:dyDescent="0.25">
      <c r="A1489" t="s">
        <v>2124</v>
      </c>
      <c r="B1489" s="1">
        <v>45771</v>
      </c>
      <c r="C1489" t="s">
        <v>1202</v>
      </c>
      <c r="D1489" t="s">
        <v>25</v>
      </c>
      <c r="E1489" t="s">
        <v>46</v>
      </c>
      <c r="F1489" t="s">
        <v>27</v>
      </c>
      <c r="G1489" t="s">
        <v>164</v>
      </c>
      <c r="H1489">
        <v>2</v>
      </c>
      <c r="I1489" s="21">
        <v>25001</v>
      </c>
      <c r="J1489">
        <v>20</v>
      </c>
      <c r="K1489" s="21">
        <v>10000.4</v>
      </c>
      <c r="L1489" s="21">
        <v>40001.599999999999</v>
      </c>
      <c r="M1489" s="21">
        <v>31660.68</v>
      </c>
      <c r="N1489" s="21">
        <v>8340.92</v>
      </c>
      <c r="O1489" t="s">
        <v>49</v>
      </c>
      <c r="P1489" s="21">
        <v>320.12</v>
      </c>
      <c r="Q1489" t="s">
        <v>73</v>
      </c>
      <c r="R1489" t="s">
        <v>41</v>
      </c>
      <c r="S1489">
        <v>2</v>
      </c>
      <c r="T1489">
        <v>4</v>
      </c>
      <c r="U1489" t="s">
        <v>32</v>
      </c>
      <c r="V1489" t="s">
        <v>42</v>
      </c>
    </row>
    <row r="1490" spans="1:23" x14ac:dyDescent="0.25">
      <c r="A1490" t="s">
        <v>2125</v>
      </c>
      <c r="B1490" s="1">
        <v>45972</v>
      </c>
      <c r="C1490" t="s">
        <v>364</v>
      </c>
      <c r="D1490" t="s">
        <v>67</v>
      </c>
      <c r="E1490" t="s">
        <v>46</v>
      </c>
      <c r="F1490" t="s">
        <v>47</v>
      </c>
      <c r="G1490" t="s">
        <v>146</v>
      </c>
      <c r="H1490">
        <v>1</v>
      </c>
      <c r="I1490" s="21">
        <v>29003</v>
      </c>
      <c r="J1490">
        <v>0</v>
      </c>
      <c r="K1490" s="21">
        <v>0</v>
      </c>
      <c r="L1490" s="21">
        <v>29003</v>
      </c>
      <c r="M1490" s="21">
        <v>20281.240000000002</v>
      </c>
      <c r="N1490" s="21">
        <v>8721.76</v>
      </c>
      <c r="O1490" t="s">
        <v>55</v>
      </c>
      <c r="P1490" s="21">
        <v>1195.1400000000001</v>
      </c>
      <c r="Q1490" t="s">
        <v>30</v>
      </c>
      <c r="R1490" t="s">
        <v>31</v>
      </c>
      <c r="S1490">
        <v>5</v>
      </c>
      <c r="T1490">
        <v>0</v>
      </c>
      <c r="U1490" t="s">
        <v>32</v>
      </c>
      <c r="V1490" t="s">
        <v>42</v>
      </c>
    </row>
    <row r="1491" spans="1:23" x14ac:dyDescent="0.25">
      <c r="A1491" t="s">
        <v>2126</v>
      </c>
      <c r="B1491" s="1">
        <v>45680</v>
      </c>
      <c r="C1491" t="s">
        <v>753</v>
      </c>
      <c r="D1491" t="s">
        <v>124</v>
      </c>
      <c r="E1491" t="s">
        <v>36</v>
      </c>
      <c r="F1491" t="s">
        <v>47</v>
      </c>
      <c r="G1491" t="s">
        <v>48</v>
      </c>
      <c r="H1491">
        <v>1</v>
      </c>
      <c r="I1491" s="21">
        <v>18020</v>
      </c>
      <c r="J1491">
        <v>10</v>
      </c>
      <c r="K1491" s="21">
        <v>1802</v>
      </c>
      <c r="L1491" s="21">
        <v>16218</v>
      </c>
      <c r="M1491" s="21">
        <v>10884.39</v>
      </c>
      <c r="N1491" s="21">
        <v>5333.61</v>
      </c>
      <c r="O1491" t="s">
        <v>55</v>
      </c>
      <c r="P1491" s="21">
        <v>1162.67</v>
      </c>
      <c r="Q1491" t="s">
        <v>73</v>
      </c>
      <c r="R1491" t="s">
        <v>41</v>
      </c>
      <c r="S1491">
        <v>2</v>
      </c>
      <c r="T1491">
        <v>4</v>
      </c>
      <c r="U1491" t="s">
        <v>56</v>
      </c>
      <c r="V1491" t="s">
        <v>33</v>
      </c>
      <c r="W1491">
        <v>1</v>
      </c>
    </row>
    <row r="1492" spans="1:23" x14ac:dyDescent="0.25">
      <c r="A1492" t="s">
        <v>2127</v>
      </c>
      <c r="B1492" s="1">
        <v>45995</v>
      </c>
      <c r="C1492" t="s">
        <v>233</v>
      </c>
      <c r="D1492" t="s">
        <v>67</v>
      </c>
      <c r="E1492" t="s">
        <v>26</v>
      </c>
      <c r="F1492" t="s">
        <v>37</v>
      </c>
      <c r="G1492" t="s">
        <v>100</v>
      </c>
      <c r="H1492">
        <v>1</v>
      </c>
      <c r="I1492" s="21">
        <v>7509</v>
      </c>
      <c r="J1492">
        <v>15</v>
      </c>
      <c r="K1492" s="21">
        <v>1126.3499999999999</v>
      </c>
      <c r="L1492" s="21">
        <v>6382.65</v>
      </c>
      <c r="M1492" s="21">
        <v>4424.51</v>
      </c>
      <c r="N1492" s="21">
        <v>1958.14</v>
      </c>
      <c r="O1492" t="s">
        <v>29</v>
      </c>
      <c r="P1492" s="21">
        <v>1956.3</v>
      </c>
      <c r="Q1492" t="s">
        <v>83</v>
      </c>
      <c r="R1492" t="s">
        <v>31</v>
      </c>
      <c r="S1492">
        <v>5</v>
      </c>
      <c r="T1492">
        <v>3</v>
      </c>
      <c r="U1492" t="s">
        <v>32</v>
      </c>
      <c r="V1492" t="s">
        <v>33</v>
      </c>
      <c r="W1492">
        <v>1</v>
      </c>
    </row>
    <row r="1493" spans="1:23" x14ac:dyDescent="0.25">
      <c r="A1493" t="s">
        <v>2128</v>
      </c>
      <c r="B1493" s="1">
        <v>45924</v>
      </c>
      <c r="C1493" t="s">
        <v>282</v>
      </c>
      <c r="D1493" t="s">
        <v>67</v>
      </c>
      <c r="E1493" t="s">
        <v>46</v>
      </c>
      <c r="F1493" t="s">
        <v>27</v>
      </c>
      <c r="G1493" t="s">
        <v>164</v>
      </c>
      <c r="H1493">
        <v>2</v>
      </c>
      <c r="I1493" s="21">
        <v>10768</v>
      </c>
      <c r="J1493">
        <v>15</v>
      </c>
      <c r="K1493" s="21">
        <v>3230.4</v>
      </c>
      <c r="L1493" s="21">
        <v>18305.599999999999</v>
      </c>
      <c r="M1493" s="21">
        <v>14619.75</v>
      </c>
      <c r="N1493" s="21">
        <v>3685.85</v>
      </c>
      <c r="O1493" t="s">
        <v>39</v>
      </c>
      <c r="P1493" s="21">
        <v>1612.02</v>
      </c>
      <c r="Q1493" t="s">
        <v>40</v>
      </c>
      <c r="R1493" t="s">
        <v>31</v>
      </c>
      <c r="S1493">
        <v>5</v>
      </c>
      <c r="T1493">
        <v>10</v>
      </c>
      <c r="U1493" t="s">
        <v>56</v>
      </c>
      <c r="V1493" t="s">
        <v>33</v>
      </c>
      <c r="W1493">
        <v>4</v>
      </c>
    </row>
    <row r="1494" spans="1:23" x14ac:dyDescent="0.25">
      <c r="A1494" t="s">
        <v>2129</v>
      </c>
      <c r="B1494" s="1">
        <v>45812</v>
      </c>
      <c r="C1494" t="s">
        <v>766</v>
      </c>
      <c r="D1494" t="s">
        <v>90</v>
      </c>
      <c r="E1494" t="s">
        <v>46</v>
      </c>
      <c r="F1494" t="s">
        <v>86</v>
      </c>
      <c r="G1494" t="s">
        <v>94</v>
      </c>
      <c r="H1494">
        <v>2</v>
      </c>
      <c r="I1494" s="21">
        <v>68419</v>
      </c>
      <c r="J1494">
        <v>10</v>
      </c>
      <c r="K1494" s="21">
        <v>13683.8</v>
      </c>
      <c r="L1494" s="21">
        <v>123154.2</v>
      </c>
      <c r="M1494" s="21">
        <v>92664.73</v>
      </c>
      <c r="N1494" s="21">
        <v>30489.47</v>
      </c>
      <c r="O1494" t="s">
        <v>55</v>
      </c>
      <c r="P1494" s="21">
        <v>717.29</v>
      </c>
      <c r="Q1494" t="s">
        <v>30</v>
      </c>
      <c r="R1494" t="s">
        <v>41</v>
      </c>
      <c r="S1494">
        <v>2</v>
      </c>
      <c r="T1494">
        <v>1</v>
      </c>
      <c r="U1494" t="s">
        <v>32</v>
      </c>
      <c r="V1494" t="s">
        <v>33</v>
      </c>
      <c r="W1494">
        <v>5</v>
      </c>
    </row>
    <row r="1495" spans="1:23" x14ac:dyDescent="0.25">
      <c r="A1495" t="s">
        <v>2130</v>
      </c>
      <c r="B1495" s="1">
        <v>45892</v>
      </c>
      <c r="C1495" t="s">
        <v>2131</v>
      </c>
      <c r="D1495" t="s">
        <v>79</v>
      </c>
      <c r="E1495" t="s">
        <v>26</v>
      </c>
      <c r="F1495" t="s">
        <v>47</v>
      </c>
      <c r="G1495" t="s">
        <v>64</v>
      </c>
      <c r="H1495">
        <v>1</v>
      </c>
      <c r="I1495" s="21">
        <v>21275</v>
      </c>
      <c r="J1495">
        <v>10</v>
      </c>
      <c r="K1495" s="21">
        <v>2127.5</v>
      </c>
      <c r="L1495" s="21">
        <v>19147.5</v>
      </c>
      <c r="M1495" s="21">
        <v>11078.31</v>
      </c>
      <c r="N1495" s="21">
        <v>8069.19</v>
      </c>
      <c r="O1495" t="s">
        <v>91</v>
      </c>
      <c r="P1495" s="21">
        <v>1580.46</v>
      </c>
      <c r="Q1495" t="s">
        <v>68</v>
      </c>
      <c r="R1495" t="s">
        <v>31</v>
      </c>
      <c r="S1495">
        <v>5</v>
      </c>
      <c r="T1495">
        <v>5</v>
      </c>
      <c r="U1495" t="s">
        <v>32</v>
      </c>
      <c r="V1495" t="s">
        <v>33</v>
      </c>
      <c r="W1495">
        <v>5</v>
      </c>
    </row>
    <row r="1496" spans="1:23" x14ac:dyDescent="0.25">
      <c r="A1496" t="s">
        <v>2132</v>
      </c>
      <c r="B1496" s="1">
        <v>45987</v>
      </c>
      <c r="C1496" t="s">
        <v>172</v>
      </c>
      <c r="D1496" t="s">
        <v>63</v>
      </c>
      <c r="E1496" t="s">
        <v>36</v>
      </c>
      <c r="F1496" t="s">
        <v>86</v>
      </c>
      <c r="G1496" t="s">
        <v>110</v>
      </c>
      <c r="H1496">
        <v>3</v>
      </c>
      <c r="I1496" s="21">
        <v>29880</v>
      </c>
      <c r="J1496">
        <v>15</v>
      </c>
      <c r="K1496" s="21">
        <v>13446</v>
      </c>
      <c r="L1496" s="21">
        <v>76194</v>
      </c>
      <c r="M1496" s="21">
        <v>58592.92</v>
      </c>
      <c r="N1496" s="21">
        <v>17601.080000000002</v>
      </c>
      <c r="O1496" t="s">
        <v>60</v>
      </c>
      <c r="P1496" s="21">
        <v>1514.33</v>
      </c>
      <c r="Q1496" t="s">
        <v>73</v>
      </c>
      <c r="R1496" t="s">
        <v>41</v>
      </c>
      <c r="S1496">
        <v>2</v>
      </c>
      <c r="T1496">
        <v>5</v>
      </c>
      <c r="U1496" t="s">
        <v>56</v>
      </c>
      <c r="V1496" t="s">
        <v>33</v>
      </c>
      <c r="W1496">
        <v>2</v>
      </c>
    </row>
    <row r="1497" spans="1:23" x14ac:dyDescent="0.25">
      <c r="A1497" t="s">
        <v>2133</v>
      </c>
      <c r="B1497" s="1">
        <v>45673</v>
      </c>
      <c r="C1497" t="s">
        <v>852</v>
      </c>
      <c r="D1497" t="s">
        <v>124</v>
      </c>
      <c r="E1497" t="s">
        <v>26</v>
      </c>
      <c r="F1497" t="s">
        <v>86</v>
      </c>
      <c r="G1497" t="s">
        <v>94</v>
      </c>
      <c r="H1497">
        <v>1</v>
      </c>
      <c r="I1497" s="21">
        <v>47150</v>
      </c>
      <c r="J1497">
        <v>0</v>
      </c>
      <c r="K1497" s="21">
        <v>0</v>
      </c>
      <c r="L1497" s="21">
        <v>47150</v>
      </c>
      <c r="M1497" s="21">
        <v>33610.36</v>
      </c>
      <c r="N1497" s="21">
        <v>13539.64</v>
      </c>
      <c r="O1497" t="s">
        <v>49</v>
      </c>
      <c r="P1497" s="21">
        <v>229.97</v>
      </c>
      <c r="Q1497" t="s">
        <v>73</v>
      </c>
      <c r="R1497" t="s">
        <v>41</v>
      </c>
      <c r="S1497">
        <v>2</v>
      </c>
      <c r="T1497">
        <v>6</v>
      </c>
      <c r="U1497" t="s">
        <v>56</v>
      </c>
      <c r="V1497" t="s">
        <v>33</v>
      </c>
      <c r="W1497">
        <v>5</v>
      </c>
    </row>
    <row r="1498" spans="1:23" x14ac:dyDescent="0.25">
      <c r="A1498" t="s">
        <v>2134</v>
      </c>
      <c r="B1498" s="1">
        <v>45689</v>
      </c>
      <c r="C1498" t="s">
        <v>1832</v>
      </c>
      <c r="D1498" t="s">
        <v>63</v>
      </c>
      <c r="E1498" t="s">
        <v>36</v>
      </c>
      <c r="F1498" t="s">
        <v>37</v>
      </c>
      <c r="G1498" t="s">
        <v>224</v>
      </c>
      <c r="H1498">
        <v>2</v>
      </c>
      <c r="I1498" s="21">
        <v>6104</v>
      </c>
      <c r="J1498">
        <v>25</v>
      </c>
      <c r="K1498" s="21">
        <v>3052</v>
      </c>
      <c r="L1498" s="21">
        <v>9156</v>
      </c>
      <c r="M1498" s="21">
        <v>7471.51</v>
      </c>
      <c r="N1498" s="21">
        <v>1684.49</v>
      </c>
      <c r="O1498" t="s">
        <v>39</v>
      </c>
      <c r="P1498" s="21">
        <v>447.51</v>
      </c>
      <c r="Q1498" t="s">
        <v>30</v>
      </c>
      <c r="R1498" t="s">
        <v>31</v>
      </c>
      <c r="S1498">
        <v>5</v>
      </c>
      <c r="T1498">
        <v>5</v>
      </c>
      <c r="U1498" t="s">
        <v>32</v>
      </c>
      <c r="V1498" t="s">
        <v>42</v>
      </c>
    </row>
    <row r="1499" spans="1:23" x14ac:dyDescent="0.25">
      <c r="A1499" t="s">
        <v>2135</v>
      </c>
      <c r="B1499" s="1">
        <v>45903</v>
      </c>
      <c r="C1499" t="s">
        <v>1386</v>
      </c>
      <c r="D1499" t="s">
        <v>71</v>
      </c>
      <c r="E1499" t="s">
        <v>26</v>
      </c>
      <c r="F1499" t="s">
        <v>47</v>
      </c>
      <c r="G1499" t="s">
        <v>48</v>
      </c>
      <c r="H1499">
        <v>1</v>
      </c>
      <c r="I1499" s="21">
        <v>21142</v>
      </c>
      <c r="J1499">
        <v>20</v>
      </c>
      <c r="K1499" s="21">
        <v>4228.3999999999996</v>
      </c>
      <c r="L1499" s="21">
        <v>16913.599999999999</v>
      </c>
      <c r="M1499" s="21">
        <v>9433.92</v>
      </c>
      <c r="N1499" s="21">
        <v>7479.68</v>
      </c>
      <c r="O1499" t="s">
        <v>60</v>
      </c>
      <c r="P1499" s="21">
        <v>1710.78</v>
      </c>
      <c r="Q1499" t="s">
        <v>73</v>
      </c>
      <c r="R1499" t="s">
        <v>31</v>
      </c>
      <c r="S1499">
        <v>5</v>
      </c>
      <c r="T1499">
        <v>0</v>
      </c>
      <c r="U1499" t="s">
        <v>32</v>
      </c>
      <c r="V1499" t="s">
        <v>50</v>
      </c>
      <c r="W1499">
        <v>4</v>
      </c>
    </row>
    <row r="1500" spans="1:23" x14ac:dyDescent="0.25">
      <c r="A1500" t="s">
        <v>2136</v>
      </c>
      <c r="B1500" s="1">
        <v>45863</v>
      </c>
      <c r="C1500" t="s">
        <v>857</v>
      </c>
      <c r="D1500" t="s">
        <v>154</v>
      </c>
      <c r="E1500" t="s">
        <v>46</v>
      </c>
      <c r="F1500" t="s">
        <v>53</v>
      </c>
      <c r="G1500" t="s">
        <v>268</v>
      </c>
      <c r="H1500">
        <v>1</v>
      </c>
      <c r="I1500" s="21">
        <v>44438</v>
      </c>
      <c r="J1500">
        <v>0</v>
      </c>
      <c r="K1500" s="21">
        <v>0</v>
      </c>
      <c r="L1500" s="21">
        <v>44438</v>
      </c>
      <c r="M1500" s="21">
        <v>29381.72</v>
      </c>
      <c r="N1500" s="21">
        <v>15056.28</v>
      </c>
      <c r="O1500" t="s">
        <v>49</v>
      </c>
      <c r="P1500" s="21">
        <v>155.61000000000001</v>
      </c>
      <c r="Q1500" t="s">
        <v>73</v>
      </c>
      <c r="R1500" t="s">
        <v>31</v>
      </c>
      <c r="S1500">
        <v>5</v>
      </c>
      <c r="T1500">
        <v>7</v>
      </c>
      <c r="U1500" t="s">
        <v>56</v>
      </c>
      <c r="V1500" t="s">
        <v>33</v>
      </c>
      <c r="W1500">
        <v>5</v>
      </c>
    </row>
    <row r="1501" spans="1:23" x14ac:dyDescent="0.25">
      <c r="A1501" t="s">
        <v>2137</v>
      </c>
      <c r="B1501" s="1">
        <v>45876</v>
      </c>
      <c r="C1501" t="s">
        <v>278</v>
      </c>
      <c r="E1501" t="s">
        <v>26</v>
      </c>
      <c r="F1501" t="s">
        <v>86</v>
      </c>
      <c r="G1501" t="s">
        <v>180</v>
      </c>
      <c r="H1501">
        <v>1</v>
      </c>
      <c r="I1501" s="21">
        <v>44866</v>
      </c>
      <c r="J1501">
        <v>0</v>
      </c>
      <c r="K1501" s="21">
        <v>0</v>
      </c>
      <c r="L1501" s="21">
        <v>44866</v>
      </c>
      <c r="M1501" s="21">
        <v>32785.32</v>
      </c>
      <c r="N1501" s="21">
        <v>12080.68</v>
      </c>
      <c r="O1501" t="s">
        <v>55</v>
      </c>
      <c r="P1501" s="21">
        <v>842.87</v>
      </c>
      <c r="Q1501" t="s">
        <v>73</v>
      </c>
      <c r="R1501" t="s">
        <v>31</v>
      </c>
      <c r="S1501">
        <v>5</v>
      </c>
      <c r="T1501">
        <v>1</v>
      </c>
      <c r="U1501" t="s">
        <v>32</v>
      </c>
      <c r="V1501" t="s">
        <v>50</v>
      </c>
      <c r="W1501">
        <v>5</v>
      </c>
    </row>
    <row r="1502" spans="1:23" x14ac:dyDescent="0.25">
      <c r="A1502" t="s">
        <v>2138</v>
      </c>
      <c r="B1502" s="1">
        <v>46009</v>
      </c>
      <c r="C1502" t="s">
        <v>201</v>
      </c>
      <c r="D1502" t="s">
        <v>67</v>
      </c>
      <c r="E1502" t="s">
        <v>46</v>
      </c>
      <c r="F1502" t="s">
        <v>53</v>
      </c>
      <c r="G1502" t="s">
        <v>82</v>
      </c>
      <c r="H1502">
        <v>3</v>
      </c>
      <c r="I1502" s="21">
        <v>20909</v>
      </c>
      <c r="J1502">
        <v>10</v>
      </c>
      <c r="K1502" s="21">
        <v>6272.7</v>
      </c>
      <c r="L1502" s="21">
        <v>56454.3</v>
      </c>
      <c r="M1502" s="21">
        <v>37398.870000000003</v>
      </c>
      <c r="N1502" s="21">
        <v>19055.43</v>
      </c>
      <c r="O1502" t="s">
        <v>60</v>
      </c>
      <c r="P1502" s="21">
        <v>2046.23</v>
      </c>
      <c r="Q1502" t="s">
        <v>73</v>
      </c>
      <c r="R1502" t="s">
        <v>31</v>
      </c>
      <c r="S1502">
        <v>5</v>
      </c>
      <c r="T1502">
        <v>6</v>
      </c>
      <c r="U1502" t="s">
        <v>56</v>
      </c>
      <c r="V1502" t="s">
        <v>33</v>
      </c>
      <c r="W1502">
        <v>5</v>
      </c>
    </row>
    <row r="1503" spans="1:23" x14ac:dyDescent="0.25">
      <c r="A1503" t="s">
        <v>2139</v>
      </c>
      <c r="B1503" s="1">
        <v>45713</v>
      </c>
      <c r="C1503" t="s">
        <v>1230</v>
      </c>
      <c r="D1503" t="s">
        <v>25</v>
      </c>
      <c r="E1503" t="s">
        <v>26</v>
      </c>
      <c r="F1503" t="s">
        <v>53</v>
      </c>
      <c r="G1503" t="s">
        <v>59</v>
      </c>
      <c r="H1503">
        <v>2</v>
      </c>
      <c r="I1503" s="21">
        <v>17513</v>
      </c>
      <c r="J1503">
        <v>10</v>
      </c>
      <c r="K1503" s="21">
        <v>3502.6</v>
      </c>
      <c r="L1503" s="21">
        <v>31523.4</v>
      </c>
      <c r="M1503" s="21">
        <v>24409.23</v>
      </c>
      <c r="N1503" s="21">
        <v>7114.17</v>
      </c>
      <c r="O1503" t="s">
        <v>91</v>
      </c>
      <c r="P1503" s="21">
        <v>947.01</v>
      </c>
      <c r="Q1503" t="s">
        <v>83</v>
      </c>
      <c r="R1503" t="s">
        <v>41</v>
      </c>
      <c r="S1503">
        <v>2</v>
      </c>
      <c r="T1503">
        <v>1</v>
      </c>
      <c r="U1503" t="s">
        <v>32</v>
      </c>
      <c r="V1503" t="s">
        <v>33</v>
      </c>
      <c r="W1503">
        <v>5</v>
      </c>
    </row>
    <row r="1504" spans="1:23" x14ac:dyDescent="0.25">
      <c r="A1504" t="s">
        <v>2140</v>
      </c>
      <c r="B1504" s="1">
        <v>45909</v>
      </c>
      <c r="C1504" t="s">
        <v>52</v>
      </c>
      <c r="D1504" t="s">
        <v>154</v>
      </c>
      <c r="E1504" t="s">
        <v>36</v>
      </c>
      <c r="F1504" t="s">
        <v>37</v>
      </c>
      <c r="G1504" t="s">
        <v>224</v>
      </c>
      <c r="H1504">
        <v>2</v>
      </c>
      <c r="I1504" s="21">
        <v>17083</v>
      </c>
      <c r="J1504">
        <v>10</v>
      </c>
      <c r="K1504" s="21">
        <v>3416.6</v>
      </c>
      <c r="L1504" s="21">
        <v>30749.4</v>
      </c>
      <c r="M1504" s="21">
        <v>20094.71</v>
      </c>
      <c r="N1504" s="21">
        <v>10654.69</v>
      </c>
      <c r="O1504" t="s">
        <v>60</v>
      </c>
      <c r="P1504" s="21">
        <v>1923.5</v>
      </c>
      <c r="Q1504" t="s">
        <v>40</v>
      </c>
      <c r="R1504" t="s">
        <v>41</v>
      </c>
      <c r="S1504">
        <v>2</v>
      </c>
      <c r="T1504">
        <v>1</v>
      </c>
      <c r="U1504" t="s">
        <v>32</v>
      </c>
      <c r="V1504" t="s">
        <v>42</v>
      </c>
    </row>
    <row r="1505" spans="1:23" x14ac:dyDescent="0.25">
      <c r="A1505" t="s">
        <v>2141</v>
      </c>
      <c r="B1505" s="1">
        <v>46022</v>
      </c>
      <c r="C1505" t="s">
        <v>714</v>
      </c>
      <c r="D1505" t="s">
        <v>124</v>
      </c>
      <c r="E1505" t="s">
        <v>46</v>
      </c>
      <c r="F1505" t="s">
        <v>47</v>
      </c>
      <c r="G1505" t="s">
        <v>138</v>
      </c>
      <c r="H1505">
        <v>1</v>
      </c>
      <c r="I1505" s="21">
        <v>50513</v>
      </c>
      <c r="J1505">
        <v>0</v>
      </c>
      <c r="K1505" s="21">
        <v>0</v>
      </c>
      <c r="L1505" s="21">
        <v>50513</v>
      </c>
      <c r="M1505" s="21">
        <v>35554.019999999997</v>
      </c>
      <c r="N1505" s="21">
        <v>14958.98</v>
      </c>
      <c r="O1505" t="s">
        <v>60</v>
      </c>
      <c r="P1505" s="21">
        <v>1082.56</v>
      </c>
      <c r="Q1505" t="s">
        <v>40</v>
      </c>
      <c r="R1505" t="s">
        <v>31</v>
      </c>
      <c r="S1505">
        <v>5</v>
      </c>
      <c r="T1505">
        <v>4</v>
      </c>
      <c r="U1505" t="s">
        <v>32</v>
      </c>
      <c r="V1505" t="s">
        <v>33</v>
      </c>
      <c r="W1505">
        <v>5</v>
      </c>
    </row>
    <row r="1506" spans="1:23" x14ac:dyDescent="0.25">
      <c r="A1506" t="s">
        <v>2142</v>
      </c>
      <c r="B1506" s="1">
        <v>45885</v>
      </c>
      <c r="C1506" t="s">
        <v>2143</v>
      </c>
      <c r="D1506" t="s">
        <v>97</v>
      </c>
      <c r="E1506" t="s">
        <v>26</v>
      </c>
      <c r="F1506" t="s">
        <v>86</v>
      </c>
      <c r="G1506" t="s">
        <v>180</v>
      </c>
      <c r="H1506">
        <v>1</v>
      </c>
      <c r="I1506" s="21">
        <v>46048</v>
      </c>
      <c r="J1506">
        <v>0</v>
      </c>
      <c r="K1506" s="21">
        <v>0</v>
      </c>
      <c r="L1506" s="21">
        <v>46048</v>
      </c>
      <c r="M1506" s="21">
        <v>28982.39</v>
      </c>
      <c r="N1506" s="21">
        <v>17065.61</v>
      </c>
      <c r="O1506" t="s">
        <v>91</v>
      </c>
      <c r="P1506" s="21">
        <v>608.65</v>
      </c>
      <c r="Q1506" t="s">
        <v>68</v>
      </c>
      <c r="R1506" t="s">
        <v>41</v>
      </c>
      <c r="S1506">
        <v>2</v>
      </c>
      <c r="T1506">
        <v>1</v>
      </c>
      <c r="U1506" t="s">
        <v>32</v>
      </c>
      <c r="V1506" t="s">
        <v>33</v>
      </c>
      <c r="W1506">
        <v>5</v>
      </c>
    </row>
    <row r="1507" spans="1:23" x14ac:dyDescent="0.25">
      <c r="A1507" t="s">
        <v>2144</v>
      </c>
      <c r="B1507" s="1">
        <v>45695</v>
      </c>
      <c r="C1507" t="s">
        <v>2145</v>
      </c>
      <c r="D1507" t="s">
        <v>124</v>
      </c>
      <c r="E1507" t="s">
        <v>26</v>
      </c>
      <c r="F1507" t="s">
        <v>86</v>
      </c>
      <c r="G1507" t="s">
        <v>127</v>
      </c>
      <c r="H1507">
        <v>1</v>
      </c>
      <c r="I1507" s="21">
        <v>39731</v>
      </c>
      <c r="J1507">
        <v>10</v>
      </c>
      <c r="K1507" s="21">
        <v>3973.1</v>
      </c>
      <c r="L1507" s="21">
        <v>35757.9</v>
      </c>
      <c r="M1507" s="21">
        <v>20656.71</v>
      </c>
      <c r="N1507" s="21">
        <v>15101.19</v>
      </c>
      <c r="O1507" t="s">
        <v>39</v>
      </c>
      <c r="P1507" s="21">
        <v>785.12</v>
      </c>
      <c r="Q1507" t="s">
        <v>83</v>
      </c>
      <c r="R1507" t="s">
        <v>41</v>
      </c>
      <c r="S1507">
        <v>2</v>
      </c>
      <c r="T1507">
        <v>3</v>
      </c>
      <c r="U1507" t="s">
        <v>32</v>
      </c>
      <c r="V1507" t="s">
        <v>50</v>
      </c>
      <c r="W1507">
        <v>5</v>
      </c>
    </row>
    <row r="1508" spans="1:23" x14ac:dyDescent="0.25">
      <c r="A1508" t="s">
        <v>2146</v>
      </c>
      <c r="B1508" s="1">
        <v>45699</v>
      </c>
      <c r="C1508" t="s">
        <v>434</v>
      </c>
      <c r="D1508" t="s">
        <v>63</v>
      </c>
      <c r="E1508" t="s">
        <v>46</v>
      </c>
      <c r="F1508" t="s">
        <v>37</v>
      </c>
      <c r="G1508" t="s">
        <v>100</v>
      </c>
      <c r="H1508">
        <v>2</v>
      </c>
      <c r="I1508" s="21">
        <v>25611</v>
      </c>
      <c r="J1508">
        <v>10</v>
      </c>
      <c r="K1508" s="21">
        <v>5122.2</v>
      </c>
      <c r="L1508" s="21">
        <v>46099.8</v>
      </c>
      <c r="M1508" s="21">
        <v>25614.080000000002</v>
      </c>
      <c r="N1508" s="21">
        <v>20485.72</v>
      </c>
      <c r="O1508" t="s">
        <v>91</v>
      </c>
      <c r="P1508" s="21">
        <v>2088.7399999999998</v>
      </c>
      <c r="Q1508" t="s">
        <v>83</v>
      </c>
      <c r="R1508" t="s">
        <v>31</v>
      </c>
      <c r="S1508">
        <v>5</v>
      </c>
      <c r="T1508">
        <v>6</v>
      </c>
      <c r="U1508" t="s">
        <v>56</v>
      </c>
      <c r="V1508" t="s">
        <v>33</v>
      </c>
      <c r="W1508">
        <v>3</v>
      </c>
    </row>
    <row r="1509" spans="1:23" x14ac:dyDescent="0.25">
      <c r="A1509" t="s">
        <v>2147</v>
      </c>
      <c r="B1509" s="1">
        <v>45822</v>
      </c>
      <c r="C1509" t="s">
        <v>2148</v>
      </c>
      <c r="D1509" t="s">
        <v>97</v>
      </c>
      <c r="E1509" t="s">
        <v>36</v>
      </c>
      <c r="F1509" t="s">
        <v>37</v>
      </c>
      <c r="G1509" t="s">
        <v>313</v>
      </c>
      <c r="H1509">
        <v>1</v>
      </c>
      <c r="I1509" s="21">
        <v>4541</v>
      </c>
      <c r="J1509">
        <v>5</v>
      </c>
      <c r="K1509" s="21">
        <v>227.05</v>
      </c>
      <c r="L1509" s="21">
        <v>4313.95</v>
      </c>
      <c r="M1509" s="21">
        <v>3035.8</v>
      </c>
      <c r="N1509" s="21">
        <v>1278.1500000000001</v>
      </c>
      <c r="O1509" t="s">
        <v>49</v>
      </c>
      <c r="P1509" s="21">
        <v>197.04</v>
      </c>
      <c r="Q1509" t="s">
        <v>73</v>
      </c>
      <c r="R1509" t="s">
        <v>41</v>
      </c>
      <c r="S1509">
        <v>2</v>
      </c>
      <c r="T1509">
        <v>2</v>
      </c>
      <c r="U1509" t="s">
        <v>32</v>
      </c>
      <c r="V1509" t="s">
        <v>42</v>
      </c>
    </row>
    <row r="1510" spans="1:23" x14ac:dyDescent="0.25">
      <c r="A1510" t="s">
        <v>2149</v>
      </c>
      <c r="B1510" s="1">
        <v>45969</v>
      </c>
      <c r="C1510" t="s">
        <v>126</v>
      </c>
      <c r="D1510" t="s">
        <v>71</v>
      </c>
      <c r="E1510" t="s">
        <v>46</v>
      </c>
      <c r="F1510" t="s">
        <v>37</v>
      </c>
      <c r="G1510" t="s">
        <v>224</v>
      </c>
      <c r="H1510">
        <v>1</v>
      </c>
      <c r="I1510" s="21">
        <v>4296</v>
      </c>
      <c r="J1510">
        <v>0</v>
      </c>
      <c r="K1510" s="21">
        <v>0</v>
      </c>
      <c r="L1510" s="21">
        <v>4296</v>
      </c>
      <c r="M1510" s="21">
        <v>3246.68</v>
      </c>
      <c r="N1510" s="21">
        <v>1049.32</v>
      </c>
      <c r="O1510" t="s">
        <v>39</v>
      </c>
      <c r="P1510" s="21">
        <v>513.66</v>
      </c>
      <c r="Q1510" t="s">
        <v>40</v>
      </c>
      <c r="R1510" t="s">
        <v>41</v>
      </c>
      <c r="S1510">
        <v>2</v>
      </c>
      <c r="T1510">
        <v>2</v>
      </c>
      <c r="U1510" t="s">
        <v>32</v>
      </c>
      <c r="V1510" t="s">
        <v>42</v>
      </c>
    </row>
    <row r="1511" spans="1:23" x14ac:dyDescent="0.25">
      <c r="A1511" t="s">
        <v>2150</v>
      </c>
      <c r="B1511" s="1">
        <v>45733</v>
      </c>
      <c r="C1511" t="s">
        <v>99</v>
      </c>
      <c r="D1511" t="s">
        <v>63</v>
      </c>
      <c r="E1511" t="s">
        <v>26</v>
      </c>
      <c r="F1511" t="s">
        <v>27</v>
      </c>
      <c r="G1511" t="s">
        <v>76</v>
      </c>
      <c r="H1511">
        <v>2</v>
      </c>
      <c r="I1511" s="21">
        <v>17709</v>
      </c>
      <c r="J1511">
        <v>20</v>
      </c>
      <c r="K1511" s="21">
        <v>7083.6</v>
      </c>
      <c r="L1511" s="21">
        <v>28334.400000000001</v>
      </c>
      <c r="M1511" s="21">
        <v>20090.27</v>
      </c>
      <c r="N1511" s="21">
        <v>8244.1299999999992</v>
      </c>
      <c r="O1511" t="s">
        <v>49</v>
      </c>
      <c r="P1511" s="21">
        <v>57.38</v>
      </c>
      <c r="Q1511" t="s">
        <v>83</v>
      </c>
      <c r="R1511" t="s">
        <v>41</v>
      </c>
      <c r="S1511">
        <v>2</v>
      </c>
      <c r="T1511">
        <v>3</v>
      </c>
      <c r="U1511" t="s">
        <v>32</v>
      </c>
      <c r="V1511" t="s">
        <v>42</v>
      </c>
    </row>
    <row r="1512" spans="1:23" x14ac:dyDescent="0.25">
      <c r="A1512" t="s">
        <v>2151</v>
      </c>
      <c r="B1512" s="1">
        <v>45691</v>
      </c>
      <c r="C1512" t="s">
        <v>2002</v>
      </c>
      <c r="D1512" t="s">
        <v>45</v>
      </c>
      <c r="E1512" t="s">
        <v>46</v>
      </c>
      <c r="F1512" t="s">
        <v>27</v>
      </c>
      <c r="G1512" t="s">
        <v>164</v>
      </c>
      <c r="H1512">
        <v>1</v>
      </c>
      <c r="I1512" s="21">
        <v>4362</v>
      </c>
      <c r="J1512">
        <v>25</v>
      </c>
      <c r="K1512" s="21">
        <v>1090.5</v>
      </c>
      <c r="L1512" s="21">
        <v>3271.5</v>
      </c>
      <c r="M1512" s="21">
        <v>2029.61</v>
      </c>
      <c r="N1512" s="21">
        <v>1241.8900000000001</v>
      </c>
      <c r="O1512" t="s">
        <v>55</v>
      </c>
      <c r="P1512" s="21">
        <v>1102.03</v>
      </c>
      <c r="Q1512" t="s">
        <v>73</v>
      </c>
      <c r="R1512" t="s">
        <v>41</v>
      </c>
      <c r="S1512">
        <v>2</v>
      </c>
      <c r="T1512">
        <v>0</v>
      </c>
      <c r="U1512" t="s">
        <v>32</v>
      </c>
      <c r="V1512" t="s">
        <v>50</v>
      </c>
      <c r="W1512">
        <v>3</v>
      </c>
    </row>
    <row r="1513" spans="1:23" x14ac:dyDescent="0.25">
      <c r="A1513" t="s">
        <v>2152</v>
      </c>
      <c r="B1513" s="1">
        <v>45722</v>
      </c>
      <c r="C1513" t="s">
        <v>209</v>
      </c>
      <c r="D1513" t="s">
        <v>90</v>
      </c>
      <c r="E1513" t="s">
        <v>46</v>
      </c>
      <c r="F1513" t="s">
        <v>27</v>
      </c>
      <c r="G1513" t="s">
        <v>113</v>
      </c>
      <c r="H1513">
        <v>1</v>
      </c>
      <c r="I1513" s="21">
        <v>25986</v>
      </c>
      <c r="J1513">
        <v>15</v>
      </c>
      <c r="K1513" s="21">
        <v>3897.9</v>
      </c>
      <c r="L1513" s="21">
        <v>22088.1</v>
      </c>
      <c r="M1513" s="21">
        <v>15079.03</v>
      </c>
      <c r="N1513" s="21">
        <v>7009.07</v>
      </c>
      <c r="O1513" t="s">
        <v>49</v>
      </c>
      <c r="P1513" s="21">
        <v>449.07</v>
      </c>
      <c r="Q1513" t="s">
        <v>68</v>
      </c>
      <c r="R1513" t="s">
        <v>41</v>
      </c>
      <c r="S1513">
        <v>2</v>
      </c>
      <c r="T1513">
        <v>1</v>
      </c>
      <c r="U1513" t="s">
        <v>32</v>
      </c>
      <c r="V1513" t="s">
        <v>33</v>
      </c>
      <c r="W1513">
        <v>5</v>
      </c>
    </row>
    <row r="1514" spans="1:23" x14ac:dyDescent="0.25">
      <c r="A1514" t="s">
        <v>2153</v>
      </c>
      <c r="B1514" s="1">
        <v>45798</v>
      </c>
      <c r="C1514" t="s">
        <v>2068</v>
      </c>
      <c r="D1514" t="s">
        <v>25</v>
      </c>
      <c r="E1514" t="s">
        <v>36</v>
      </c>
      <c r="F1514" t="s">
        <v>47</v>
      </c>
      <c r="G1514" t="s">
        <v>48</v>
      </c>
      <c r="H1514">
        <v>4</v>
      </c>
      <c r="I1514" s="21">
        <v>40890</v>
      </c>
      <c r="J1514">
        <v>10</v>
      </c>
      <c r="K1514" s="21">
        <v>16356</v>
      </c>
      <c r="L1514" s="21">
        <v>147204</v>
      </c>
      <c r="M1514" s="21">
        <v>111147.35</v>
      </c>
      <c r="N1514" s="21">
        <v>36056.65</v>
      </c>
      <c r="O1514" t="s">
        <v>29</v>
      </c>
      <c r="P1514" s="21">
        <v>1140.6099999999999</v>
      </c>
      <c r="Q1514" t="s">
        <v>40</v>
      </c>
      <c r="R1514" t="s">
        <v>41</v>
      </c>
      <c r="S1514">
        <v>2</v>
      </c>
      <c r="T1514">
        <v>1</v>
      </c>
      <c r="U1514" t="s">
        <v>32</v>
      </c>
      <c r="V1514" t="s">
        <v>33</v>
      </c>
      <c r="W1514">
        <v>5</v>
      </c>
    </row>
    <row r="1515" spans="1:23" x14ac:dyDescent="0.25">
      <c r="A1515" t="s">
        <v>2154</v>
      </c>
      <c r="B1515" s="1">
        <v>45977</v>
      </c>
      <c r="C1515" t="s">
        <v>245</v>
      </c>
      <c r="D1515" t="s">
        <v>63</v>
      </c>
      <c r="E1515" t="s">
        <v>46</v>
      </c>
      <c r="F1515" t="s">
        <v>47</v>
      </c>
      <c r="G1515" t="s">
        <v>105</v>
      </c>
      <c r="H1515">
        <v>2</v>
      </c>
      <c r="I1515" s="21">
        <v>18661</v>
      </c>
      <c r="J1515">
        <v>20</v>
      </c>
      <c r="K1515" s="21">
        <v>7464.4</v>
      </c>
      <c r="L1515" s="21">
        <v>29857.599999999999</v>
      </c>
      <c r="M1515" s="21">
        <v>23124.37</v>
      </c>
      <c r="N1515" s="21">
        <v>6733.23</v>
      </c>
      <c r="O1515" t="s">
        <v>55</v>
      </c>
      <c r="P1515" s="21">
        <v>2043.54</v>
      </c>
      <c r="Q1515" t="s">
        <v>83</v>
      </c>
      <c r="R1515" t="s">
        <v>31</v>
      </c>
      <c r="S1515">
        <v>5</v>
      </c>
      <c r="T1515">
        <v>2</v>
      </c>
      <c r="U1515" t="s">
        <v>32</v>
      </c>
      <c r="V1515" t="s">
        <v>42</v>
      </c>
    </row>
    <row r="1516" spans="1:23" x14ac:dyDescent="0.25">
      <c r="A1516" t="s">
        <v>2155</v>
      </c>
      <c r="B1516" s="1">
        <v>45982</v>
      </c>
      <c r="C1516" t="s">
        <v>1972</v>
      </c>
      <c r="D1516" t="s">
        <v>25</v>
      </c>
      <c r="E1516" t="s">
        <v>36</v>
      </c>
      <c r="F1516" t="s">
        <v>86</v>
      </c>
      <c r="G1516" t="s">
        <v>180</v>
      </c>
      <c r="H1516">
        <v>2</v>
      </c>
      <c r="I1516" s="21">
        <v>48431</v>
      </c>
      <c r="J1516">
        <v>15</v>
      </c>
      <c r="K1516" s="21">
        <v>14529.3</v>
      </c>
      <c r="L1516" s="21">
        <v>82332.7</v>
      </c>
      <c r="M1516" s="21">
        <v>61834.61</v>
      </c>
      <c r="N1516" s="21">
        <v>20498.09</v>
      </c>
      <c r="O1516" t="s">
        <v>55</v>
      </c>
      <c r="P1516" s="21">
        <v>2483.25</v>
      </c>
      <c r="Q1516" t="s">
        <v>83</v>
      </c>
      <c r="R1516" t="s">
        <v>41</v>
      </c>
      <c r="S1516">
        <v>2</v>
      </c>
      <c r="T1516">
        <v>1</v>
      </c>
      <c r="U1516" t="s">
        <v>32</v>
      </c>
      <c r="V1516" t="s">
        <v>33</v>
      </c>
      <c r="W1516">
        <v>5</v>
      </c>
    </row>
    <row r="1517" spans="1:23" x14ac:dyDescent="0.25">
      <c r="A1517" t="s">
        <v>2156</v>
      </c>
      <c r="B1517" s="1">
        <v>45957</v>
      </c>
      <c r="C1517" t="s">
        <v>112</v>
      </c>
      <c r="D1517" t="s">
        <v>63</v>
      </c>
      <c r="E1517" t="s">
        <v>46</v>
      </c>
      <c r="F1517" t="s">
        <v>27</v>
      </c>
      <c r="G1517" t="s">
        <v>76</v>
      </c>
      <c r="H1517">
        <v>2</v>
      </c>
      <c r="I1517" s="21">
        <v>9918</v>
      </c>
      <c r="J1517">
        <v>25</v>
      </c>
      <c r="K1517" s="21">
        <v>4959</v>
      </c>
      <c r="L1517" s="21">
        <v>14877</v>
      </c>
      <c r="M1517" s="21">
        <v>9591.42</v>
      </c>
      <c r="N1517" s="21">
        <v>5285.58</v>
      </c>
      <c r="O1517" t="s">
        <v>29</v>
      </c>
      <c r="P1517" s="21">
        <v>1970.5</v>
      </c>
      <c r="Q1517" t="s">
        <v>68</v>
      </c>
      <c r="R1517" t="s">
        <v>31</v>
      </c>
      <c r="S1517">
        <v>5</v>
      </c>
      <c r="T1517">
        <v>4</v>
      </c>
      <c r="U1517" t="s">
        <v>32</v>
      </c>
      <c r="V1517" t="s">
        <v>33</v>
      </c>
      <c r="W1517">
        <v>1</v>
      </c>
    </row>
    <row r="1518" spans="1:23" x14ac:dyDescent="0.25">
      <c r="A1518" t="s">
        <v>2157</v>
      </c>
      <c r="B1518" s="1">
        <v>45938</v>
      </c>
      <c r="C1518" t="s">
        <v>239</v>
      </c>
      <c r="D1518" t="s">
        <v>71</v>
      </c>
      <c r="E1518" t="s">
        <v>46</v>
      </c>
      <c r="F1518" t="s">
        <v>27</v>
      </c>
      <c r="G1518" t="s">
        <v>28</v>
      </c>
      <c r="H1518">
        <v>3</v>
      </c>
      <c r="I1518" s="21">
        <v>3550</v>
      </c>
      <c r="J1518">
        <v>25</v>
      </c>
      <c r="K1518" s="21">
        <v>2662.5</v>
      </c>
      <c r="L1518" s="21">
        <v>7987.5</v>
      </c>
      <c r="M1518" s="21">
        <v>6247.08</v>
      </c>
      <c r="N1518" s="21">
        <v>1740.42</v>
      </c>
      <c r="O1518" t="s">
        <v>29</v>
      </c>
      <c r="P1518" s="21">
        <v>1005.64</v>
      </c>
      <c r="Q1518" t="s">
        <v>30</v>
      </c>
      <c r="R1518" t="s">
        <v>41</v>
      </c>
      <c r="S1518">
        <v>2</v>
      </c>
      <c r="T1518">
        <v>5</v>
      </c>
      <c r="U1518" t="s">
        <v>56</v>
      </c>
      <c r="V1518" t="s">
        <v>33</v>
      </c>
      <c r="W1518">
        <v>4</v>
      </c>
    </row>
    <row r="1519" spans="1:23" x14ac:dyDescent="0.25">
      <c r="A1519" t="s">
        <v>2158</v>
      </c>
      <c r="B1519" s="1">
        <v>46022</v>
      </c>
      <c r="C1519" t="s">
        <v>927</v>
      </c>
      <c r="D1519" t="s">
        <v>71</v>
      </c>
      <c r="E1519" t="s">
        <v>46</v>
      </c>
      <c r="F1519" t="s">
        <v>27</v>
      </c>
      <c r="G1519" t="s">
        <v>164</v>
      </c>
      <c r="H1519">
        <v>1</v>
      </c>
      <c r="I1519" s="21">
        <v>11814</v>
      </c>
      <c r="J1519">
        <v>10</v>
      </c>
      <c r="K1519" s="21">
        <v>1181.4000000000001</v>
      </c>
      <c r="L1519" s="21">
        <v>10632.6</v>
      </c>
      <c r="M1519" s="21">
        <v>6454.49</v>
      </c>
      <c r="N1519" s="21">
        <v>4178.1099999999997</v>
      </c>
      <c r="O1519" t="s">
        <v>39</v>
      </c>
      <c r="P1519" s="21">
        <v>1369.94</v>
      </c>
      <c r="Q1519" t="s">
        <v>40</v>
      </c>
      <c r="R1519" t="s">
        <v>41</v>
      </c>
      <c r="S1519">
        <v>2</v>
      </c>
      <c r="T1519">
        <v>3</v>
      </c>
      <c r="U1519" t="s">
        <v>32</v>
      </c>
      <c r="V1519" t="s">
        <v>42</v>
      </c>
    </row>
    <row r="1520" spans="1:23" x14ac:dyDescent="0.25">
      <c r="A1520" t="s">
        <v>2159</v>
      </c>
      <c r="B1520" s="1">
        <v>45824</v>
      </c>
      <c r="C1520" t="s">
        <v>2160</v>
      </c>
      <c r="D1520" t="s">
        <v>79</v>
      </c>
      <c r="E1520" t="s">
        <v>46</v>
      </c>
      <c r="F1520" t="s">
        <v>27</v>
      </c>
      <c r="G1520" t="s">
        <v>76</v>
      </c>
      <c r="H1520">
        <v>3</v>
      </c>
      <c r="I1520" s="21">
        <v>17909</v>
      </c>
      <c r="J1520">
        <v>0</v>
      </c>
      <c r="K1520" s="21">
        <v>0</v>
      </c>
      <c r="L1520" s="21">
        <v>53727</v>
      </c>
      <c r="M1520" s="21">
        <v>36466.129999999997</v>
      </c>
      <c r="N1520" s="21">
        <v>17260.87</v>
      </c>
      <c r="O1520" t="s">
        <v>29</v>
      </c>
      <c r="P1520" s="21">
        <v>2127.86</v>
      </c>
      <c r="Q1520" t="s">
        <v>30</v>
      </c>
      <c r="R1520" t="s">
        <v>31</v>
      </c>
      <c r="S1520">
        <v>5</v>
      </c>
      <c r="T1520">
        <v>3</v>
      </c>
      <c r="U1520" t="s">
        <v>32</v>
      </c>
      <c r="V1520" t="s">
        <v>50</v>
      </c>
      <c r="W1520">
        <v>2</v>
      </c>
    </row>
    <row r="1521" spans="1:23" x14ac:dyDescent="0.25">
      <c r="A1521" t="s">
        <v>2161</v>
      </c>
      <c r="B1521" s="1">
        <v>45853</v>
      </c>
      <c r="C1521" t="s">
        <v>689</v>
      </c>
      <c r="D1521" t="s">
        <v>67</v>
      </c>
      <c r="E1521" t="s">
        <v>36</v>
      </c>
      <c r="F1521" t="s">
        <v>86</v>
      </c>
      <c r="G1521" t="s">
        <v>94</v>
      </c>
      <c r="H1521">
        <v>1</v>
      </c>
      <c r="I1521" s="21">
        <v>56872</v>
      </c>
      <c r="J1521">
        <v>20</v>
      </c>
      <c r="K1521" s="21">
        <v>11374.4</v>
      </c>
      <c r="L1521" s="21">
        <v>45497.599999999999</v>
      </c>
      <c r="M1521" s="21">
        <v>31634.91</v>
      </c>
      <c r="N1521" s="21">
        <v>13862.69</v>
      </c>
      <c r="O1521" t="s">
        <v>60</v>
      </c>
      <c r="P1521" s="21">
        <v>2273.98</v>
      </c>
      <c r="Q1521" t="s">
        <v>40</v>
      </c>
      <c r="R1521" t="s">
        <v>31</v>
      </c>
      <c r="S1521">
        <v>5</v>
      </c>
      <c r="T1521">
        <v>4</v>
      </c>
      <c r="U1521" t="s">
        <v>32</v>
      </c>
      <c r="V1521" t="s">
        <v>50</v>
      </c>
      <c r="W1521">
        <v>5</v>
      </c>
    </row>
    <row r="1522" spans="1:23" x14ac:dyDescent="0.25">
      <c r="A1522" t="s">
        <v>2162</v>
      </c>
      <c r="B1522" s="1">
        <v>45963</v>
      </c>
      <c r="C1522" t="s">
        <v>1438</v>
      </c>
      <c r="D1522" t="s">
        <v>63</v>
      </c>
      <c r="E1522" t="s">
        <v>36</v>
      </c>
      <c r="F1522" t="s">
        <v>37</v>
      </c>
      <c r="G1522" t="s">
        <v>100</v>
      </c>
      <c r="H1522">
        <v>3</v>
      </c>
      <c r="I1522" s="21">
        <v>19691</v>
      </c>
      <c r="J1522">
        <v>10</v>
      </c>
      <c r="K1522" s="21">
        <v>5907.3</v>
      </c>
      <c r="L1522" s="21">
        <v>53165.7</v>
      </c>
      <c r="M1522" s="21">
        <v>41289.22</v>
      </c>
      <c r="N1522" s="21">
        <v>11876.48</v>
      </c>
      <c r="O1522" t="s">
        <v>60</v>
      </c>
      <c r="P1522" s="21">
        <v>1014.53</v>
      </c>
      <c r="Q1522" t="s">
        <v>68</v>
      </c>
      <c r="R1522" t="s">
        <v>41</v>
      </c>
      <c r="S1522">
        <v>2</v>
      </c>
      <c r="T1522">
        <v>1</v>
      </c>
      <c r="U1522" t="s">
        <v>32</v>
      </c>
      <c r="V1522" t="s">
        <v>50</v>
      </c>
      <c r="W1522">
        <v>5</v>
      </c>
    </row>
    <row r="1523" spans="1:23" x14ac:dyDescent="0.25">
      <c r="A1523" t="s">
        <v>2163</v>
      </c>
      <c r="B1523" s="1">
        <v>45929</v>
      </c>
      <c r="C1523" t="s">
        <v>1476</v>
      </c>
      <c r="D1523" t="s">
        <v>90</v>
      </c>
      <c r="E1523" t="s">
        <v>26</v>
      </c>
      <c r="F1523" t="s">
        <v>27</v>
      </c>
      <c r="G1523" t="s">
        <v>113</v>
      </c>
      <c r="H1523">
        <v>1</v>
      </c>
      <c r="I1523" s="21">
        <v>4319</v>
      </c>
      <c r="J1523">
        <v>0</v>
      </c>
      <c r="K1523" s="21">
        <v>0</v>
      </c>
      <c r="L1523" s="21">
        <v>4319</v>
      </c>
      <c r="M1523" s="21">
        <v>2401.7199999999998</v>
      </c>
      <c r="N1523" s="21">
        <v>1917.28</v>
      </c>
      <c r="O1523" t="s">
        <v>91</v>
      </c>
      <c r="P1523" s="21">
        <v>1015.79</v>
      </c>
      <c r="Q1523" t="s">
        <v>73</v>
      </c>
      <c r="R1523" t="s">
        <v>41</v>
      </c>
      <c r="S1523">
        <v>2</v>
      </c>
      <c r="T1523">
        <v>3</v>
      </c>
      <c r="U1523" t="s">
        <v>56</v>
      </c>
      <c r="V1523" t="s">
        <v>33</v>
      </c>
      <c r="W1523">
        <v>4</v>
      </c>
    </row>
    <row r="1524" spans="1:23" x14ac:dyDescent="0.25">
      <c r="A1524" t="s">
        <v>2164</v>
      </c>
      <c r="B1524" s="1">
        <v>45808</v>
      </c>
      <c r="C1524" t="s">
        <v>235</v>
      </c>
      <c r="D1524" t="s">
        <v>124</v>
      </c>
      <c r="E1524" t="s">
        <v>46</v>
      </c>
      <c r="F1524" t="s">
        <v>37</v>
      </c>
      <c r="G1524" t="s">
        <v>100</v>
      </c>
      <c r="H1524">
        <v>1</v>
      </c>
      <c r="I1524" s="21">
        <v>7813</v>
      </c>
      <c r="J1524">
        <v>0</v>
      </c>
      <c r="K1524" s="21">
        <v>0</v>
      </c>
      <c r="L1524" s="21">
        <v>7813</v>
      </c>
      <c r="M1524" s="21">
        <v>5654.3</v>
      </c>
      <c r="N1524" s="21">
        <v>2158.6999999999998</v>
      </c>
      <c r="O1524" t="s">
        <v>39</v>
      </c>
      <c r="P1524" s="21">
        <v>277.04000000000002</v>
      </c>
      <c r="Q1524" t="s">
        <v>30</v>
      </c>
      <c r="R1524" t="s">
        <v>41</v>
      </c>
      <c r="S1524">
        <v>2</v>
      </c>
      <c r="T1524">
        <v>1</v>
      </c>
      <c r="U1524" t="s">
        <v>32</v>
      </c>
      <c r="V1524" t="s">
        <v>33</v>
      </c>
      <c r="W1524">
        <v>5</v>
      </c>
    </row>
    <row r="1525" spans="1:23" x14ac:dyDescent="0.25">
      <c r="A1525" t="s">
        <v>2165</v>
      </c>
      <c r="B1525" s="1">
        <v>45890</v>
      </c>
      <c r="C1525" t="s">
        <v>689</v>
      </c>
      <c r="D1525" t="s">
        <v>97</v>
      </c>
      <c r="E1525" t="s">
        <v>46</v>
      </c>
      <c r="F1525" t="s">
        <v>86</v>
      </c>
      <c r="G1525" t="s">
        <v>127</v>
      </c>
      <c r="H1525">
        <v>1</v>
      </c>
      <c r="I1525" s="21">
        <v>38003</v>
      </c>
      <c r="J1525">
        <v>15</v>
      </c>
      <c r="K1525" s="21">
        <v>5700.45</v>
      </c>
      <c r="L1525" s="21">
        <v>32302.55</v>
      </c>
      <c r="M1525" s="21">
        <v>20953.8</v>
      </c>
      <c r="N1525" s="21">
        <v>11348.75</v>
      </c>
      <c r="O1525" t="s">
        <v>91</v>
      </c>
      <c r="P1525" s="21">
        <v>2189.31</v>
      </c>
      <c r="Q1525" t="s">
        <v>68</v>
      </c>
      <c r="R1525" t="s">
        <v>31</v>
      </c>
      <c r="S1525">
        <v>5</v>
      </c>
      <c r="T1525">
        <v>3</v>
      </c>
      <c r="U1525" t="s">
        <v>32</v>
      </c>
      <c r="V1525" t="s">
        <v>33</v>
      </c>
      <c r="W1525">
        <v>2</v>
      </c>
    </row>
    <row r="1526" spans="1:23" x14ac:dyDescent="0.25">
      <c r="A1526" t="s">
        <v>2166</v>
      </c>
      <c r="B1526" s="1">
        <v>45916</v>
      </c>
      <c r="C1526" t="s">
        <v>1346</v>
      </c>
      <c r="D1526" t="s">
        <v>90</v>
      </c>
      <c r="E1526" t="s">
        <v>46</v>
      </c>
      <c r="F1526" t="s">
        <v>27</v>
      </c>
      <c r="G1526" t="s">
        <v>113</v>
      </c>
      <c r="H1526">
        <v>1</v>
      </c>
      <c r="I1526" s="21">
        <v>5463</v>
      </c>
      <c r="J1526">
        <v>10</v>
      </c>
      <c r="K1526" s="21">
        <v>546.29999999999995</v>
      </c>
      <c r="L1526" s="21">
        <v>4916.7</v>
      </c>
      <c r="M1526" s="21">
        <v>3480.66</v>
      </c>
      <c r="N1526" s="21">
        <v>1436.04</v>
      </c>
      <c r="O1526" t="s">
        <v>55</v>
      </c>
      <c r="P1526" s="21">
        <v>378.93</v>
      </c>
      <c r="Q1526" t="s">
        <v>40</v>
      </c>
      <c r="R1526" t="s">
        <v>41</v>
      </c>
      <c r="S1526">
        <v>2</v>
      </c>
      <c r="T1526">
        <v>6</v>
      </c>
      <c r="U1526" t="s">
        <v>32</v>
      </c>
      <c r="V1526" t="s">
        <v>50</v>
      </c>
    </row>
    <row r="1527" spans="1:23" x14ac:dyDescent="0.25">
      <c r="A1527" t="s">
        <v>2167</v>
      </c>
      <c r="B1527" s="1">
        <v>45967</v>
      </c>
      <c r="C1527" t="s">
        <v>1003</v>
      </c>
      <c r="D1527" t="s">
        <v>45</v>
      </c>
      <c r="E1527" t="s">
        <v>46</v>
      </c>
      <c r="F1527" t="s">
        <v>37</v>
      </c>
      <c r="G1527" t="s">
        <v>38</v>
      </c>
      <c r="H1527">
        <v>1</v>
      </c>
      <c r="I1527" s="21">
        <v>24858</v>
      </c>
      <c r="J1527">
        <v>25</v>
      </c>
      <c r="K1527" s="21">
        <v>6214.5</v>
      </c>
      <c r="L1527" s="21">
        <v>18643.5</v>
      </c>
      <c r="M1527" s="21">
        <v>11336.36</v>
      </c>
      <c r="N1527" s="21">
        <v>7307.14</v>
      </c>
      <c r="O1527" t="s">
        <v>49</v>
      </c>
      <c r="P1527" s="21">
        <v>241.87</v>
      </c>
      <c r="Q1527" t="s">
        <v>73</v>
      </c>
      <c r="R1527" t="s">
        <v>41</v>
      </c>
      <c r="S1527">
        <v>2</v>
      </c>
      <c r="T1527">
        <v>4</v>
      </c>
      <c r="U1527" t="s">
        <v>56</v>
      </c>
      <c r="V1527" t="s">
        <v>33</v>
      </c>
      <c r="W1527">
        <v>4</v>
      </c>
    </row>
    <row r="1528" spans="1:23" x14ac:dyDescent="0.25">
      <c r="A1528" t="s">
        <v>2168</v>
      </c>
      <c r="B1528" s="1">
        <v>45878</v>
      </c>
      <c r="C1528" t="s">
        <v>168</v>
      </c>
      <c r="D1528" t="s">
        <v>71</v>
      </c>
      <c r="E1528" t="s">
        <v>26</v>
      </c>
      <c r="F1528" t="s">
        <v>86</v>
      </c>
      <c r="G1528" t="s">
        <v>127</v>
      </c>
      <c r="H1528">
        <v>2</v>
      </c>
      <c r="I1528" s="21">
        <v>69813</v>
      </c>
      <c r="J1528">
        <v>10</v>
      </c>
      <c r="K1528" s="21">
        <v>13962.6</v>
      </c>
      <c r="L1528" s="21">
        <v>125663.4</v>
      </c>
      <c r="M1528" s="21">
        <v>93562.4</v>
      </c>
      <c r="N1528" s="21">
        <v>32101</v>
      </c>
      <c r="O1528" t="s">
        <v>55</v>
      </c>
      <c r="P1528" s="21">
        <v>1697.07</v>
      </c>
      <c r="Q1528" t="s">
        <v>30</v>
      </c>
      <c r="R1528" t="s">
        <v>41</v>
      </c>
      <c r="S1528">
        <v>2</v>
      </c>
      <c r="T1528">
        <v>3</v>
      </c>
      <c r="U1528" t="s">
        <v>32</v>
      </c>
      <c r="V1528" t="s">
        <v>50</v>
      </c>
      <c r="W1528">
        <v>5</v>
      </c>
    </row>
    <row r="1529" spans="1:23" x14ac:dyDescent="0.25">
      <c r="A1529" t="s">
        <v>2169</v>
      </c>
      <c r="B1529" s="1">
        <v>45708</v>
      </c>
      <c r="C1529" t="s">
        <v>195</v>
      </c>
      <c r="D1529" t="s">
        <v>25</v>
      </c>
      <c r="E1529" t="s">
        <v>46</v>
      </c>
      <c r="F1529" t="s">
        <v>37</v>
      </c>
      <c r="G1529" t="s">
        <v>161</v>
      </c>
      <c r="H1529">
        <v>1</v>
      </c>
      <c r="I1529" s="21">
        <v>38521</v>
      </c>
      <c r="J1529">
        <v>0</v>
      </c>
      <c r="K1529" s="21">
        <v>0</v>
      </c>
      <c r="L1529" s="21">
        <v>38521</v>
      </c>
      <c r="M1529" s="21">
        <v>24059.49</v>
      </c>
      <c r="N1529" s="21">
        <v>14461.51</v>
      </c>
      <c r="O1529" t="s">
        <v>49</v>
      </c>
      <c r="P1529" s="21">
        <v>154.19999999999999</v>
      </c>
      <c r="Q1529" t="s">
        <v>68</v>
      </c>
      <c r="R1529" t="s">
        <v>31</v>
      </c>
      <c r="S1529">
        <v>5</v>
      </c>
      <c r="T1529">
        <v>8</v>
      </c>
      <c r="U1529" t="s">
        <v>56</v>
      </c>
      <c r="V1529" t="s">
        <v>33</v>
      </c>
      <c r="W1529">
        <v>5</v>
      </c>
    </row>
    <row r="1530" spans="1:23" x14ac:dyDescent="0.25">
      <c r="A1530" t="s">
        <v>2170</v>
      </c>
      <c r="B1530" s="1">
        <v>46017</v>
      </c>
      <c r="C1530" t="s">
        <v>1634</v>
      </c>
      <c r="D1530" t="s">
        <v>71</v>
      </c>
      <c r="E1530" t="s">
        <v>36</v>
      </c>
      <c r="F1530" t="s">
        <v>37</v>
      </c>
      <c r="G1530" t="s">
        <v>161</v>
      </c>
      <c r="H1530">
        <v>1</v>
      </c>
      <c r="I1530" s="21">
        <v>39063</v>
      </c>
      <c r="J1530">
        <v>15</v>
      </c>
      <c r="K1530" s="21">
        <v>5859.45</v>
      </c>
      <c r="L1530" s="21">
        <v>33203.550000000003</v>
      </c>
      <c r="M1530" s="21">
        <v>19828.45</v>
      </c>
      <c r="N1530" s="21">
        <v>13375.1</v>
      </c>
      <c r="O1530" t="s">
        <v>39</v>
      </c>
      <c r="P1530" s="21">
        <v>326.02999999999997</v>
      </c>
      <c r="Q1530" t="s">
        <v>83</v>
      </c>
      <c r="R1530" t="s">
        <v>31</v>
      </c>
      <c r="S1530">
        <v>5</v>
      </c>
      <c r="T1530">
        <v>4</v>
      </c>
      <c r="U1530" t="s">
        <v>32</v>
      </c>
      <c r="V1530" t="s">
        <v>33</v>
      </c>
      <c r="W1530">
        <v>3</v>
      </c>
    </row>
    <row r="1531" spans="1:23" x14ac:dyDescent="0.25">
      <c r="A1531" t="s">
        <v>2171</v>
      </c>
      <c r="B1531" s="1">
        <v>45716</v>
      </c>
      <c r="C1531" t="s">
        <v>494</v>
      </c>
      <c r="D1531" t="s">
        <v>71</v>
      </c>
      <c r="E1531" t="s">
        <v>46</v>
      </c>
      <c r="F1531" t="s">
        <v>47</v>
      </c>
      <c r="G1531" t="s">
        <v>138</v>
      </c>
      <c r="H1531">
        <v>1</v>
      </c>
      <c r="I1531" s="21">
        <v>22966</v>
      </c>
      <c r="J1531">
        <v>10</v>
      </c>
      <c r="K1531" s="21">
        <v>2296.6</v>
      </c>
      <c r="L1531" s="21">
        <v>20669.400000000001</v>
      </c>
      <c r="M1531" s="21">
        <v>13900.61</v>
      </c>
      <c r="N1531" s="21">
        <v>6768.79</v>
      </c>
      <c r="O1531" t="s">
        <v>60</v>
      </c>
      <c r="P1531" s="21">
        <v>1246.98</v>
      </c>
      <c r="Q1531" t="s">
        <v>73</v>
      </c>
      <c r="R1531" t="s">
        <v>41</v>
      </c>
      <c r="S1531">
        <v>2</v>
      </c>
      <c r="T1531">
        <v>1</v>
      </c>
      <c r="U1531" t="s">
        <v>32</v>
      </c>
      <c r="V1531" t="s">
        <v>50</v>
      </c>
      <c r="W1531">
        <v>3</v>
      </c>
    </row>
    <row r="1532" spans="1:23" x14ac:dyDescent="0.25">
      <c r="A1532" t="s">
        <v>2172</v>
      </c>
      <c r="B1532" s="1">
        <v>45993</v>
      </c>
      <c r="C1532" t="s">
        <v>24</v>
      </c>
      <c r="D1532" t="s">
        <v>25</v>
      </c>
      <c r="E1532" t="s">
        <v>46</v>
      </c>
      <c r="F1532" t="s">
        <v>47</v>
      </c>
      <c r="G1532" t="s">
        <v>138</v>
      </c>
      <c r="H1532">
        <v>1</v>
      </c>
      <c r="I1532" s="21">
        <v>51053</v>
      </c>
      <c r="J1532">
        <v>25</v>
      </c>
      <c r="K1532" s="21">
        <v>12763.25</v>
      </c>
      <c r="L1532" s="21">
        <v>38289.75</v>
      </c>
      <c r="M1532" s="21">
        <v>26030.51</v>
      </c>
      <c r="N1532" s="21">
        <v>12259.24</v>
      </c>
      <c r="O1532" t="s">
        <v>29</v>
      </c>
      <c r="P1532" s="21">
        <v>1435.72</v>
      </c>
      <c r="Q1532" t="s">
        <v>30</v>
      </c>
      <c r="R1532" t="s">
        <v>41</v>
      </c>
      <c r="S1532">
        <v>2</v>
      </c>
      <c r="T1532">
        <v>2</v>
      </c>
      <c r="U1532" t="s">
        <v>32</v>
      </c>
      <c r="V1532" t="s">
        <v>33</v>
      </c>
      <c r="W1532">
        <v>1</v>
      </c>
    </row>
    <row r="1533" spans="1:23" x14ac:dyDescent="0.25">
      <c r="A1533" t="s">
        <v>2173</v>
      </c>
      <c r="B1533" s="1">
        <v>45991</v>
      </c>
      <c r="C1533" t="s">
        <v>1634</v>
      </c>
      <c r="D1533" t="s">
        <v>67</v>
      </c>
      <c r="E1533" t="s">
        <v>46</v>
      </c>
      <c r="F1533" t="s">
        <v>27</v>
      </c>
      <c r="G1533" t="s">
        <v>72</v>
      </c>
      <c r="H1533">
        <v>1</v>
      </c>
      <c r="I1533" s="21">
        <v>20063</v>
      </c>
      <c r="J1533">
        <v>0</v>
      </c>
      <c r="K1533" s="21">
        <v>0</v>
      </c>
      <c r="L1533" s="21">
        <v>20063</v>
      </c>
      <c r="M1533" s="21">
        <v>11800.37</v>
      </c>
      <c r="N1533" s="21">
        <v>8262.6299999999992</v>
      </c>
      <c r="O1533" t="s">
        <v>39</v>
      </c>
      <c r="P1533" s="21">
        <v>815.33</v>
      </c>
      <c r="Q1533" t="s">
        <v>30</v>
      </c>
      <c r="R1533" t="s">
        <v>41</v>
      </c>
      <c r="S1533">
        <v>2</v>
      </c>
      <c r="T1533">
        <v>1</v>
      </c>
      <c r="U1533" t="s">
        <v>32</v>
      </c>
      <c r="V1533" t="s">
        <v>42</v>
      </c>
    </row>
    <row r="1534" spans="1:23" x14ac:dyDescent="0.25">
      <c r="A1534" t="s">
        <v>2174</v>
      </c>
      <c r="B1534" s="1">
        <v>45940</v>
      </c>
      <c r="C1534" t="s">
        <v>144</v>
      </c>
      <c r="D1534" t="s">
        <v>25</v>
      </c>
      <c r="E1534" t="s">
        <v>36</v>
      </c>
      <c r="F1534" t="s">
        <v>86</v>
      </c>
      <c r="G1534" t="s">
        <v>110</v>
      </c>
      <c r="H1534">
        <v>3</v>
      </c>
      <c r="I1534" s="21">
        <v>53799</v>
      </c>
      <c r="J1534">
        <v>0</v>
      </c>
      <c r="K1534" s="21">
        <v>0</v>
      </c>
      <c r="L1534" s="21">
        <v>161397</v>
      </c>
      <c r="M1534" s="21">
        <v>110075.82</v>
      </c>
      <c r="N1534" s="21">
        <v>51321.18</v>
      </c>
      <c r="O1534" t="s">
        <v>91</v>
      </c>
      <c r="P1534" s="21">
        <v>2216.6999999999998</v>
      </c>
      <c r="Q1534" t="s">
        <v>40</v>
      </c>
      <c r="R1534" t="s">
        <v>41</v>
      </c>
      <c r="S1534">
        <v>2</v>
      </c>
      <c r="T1534">
        <v>2</v>
      </c>
      <c r="U1534" t="s">
        <v>32</v>
      </c>
      <c r="V1534" t="s">
        <v>42</v>
      </c>
    </row>
    <row r="1535" spans="1:23" x14ac:dyDescent="0.25">
      <c r="A1535" t="s">
        <v>2175</v>
      </c>
      <c r="B1535" s="1">
        <v>45768</v>
      </c>
      <c r="C1535" t="s">
        <v>1277</v>
      </c>
      <c r="D1535" t="s">
        <v>63</v>
      </c>
      <c r="E1535" t="s">
        <v>36</v>
      </c>
      <c r="F1535" t="s">
        <v>53</v>
      </c>
      <c r="G1535" t="s">
        <v>82</v>
      </c>
      <c r="H1535">
        <v>2</v>
      </c>
      <c r="I1535" s="21">
        <v>18958</v>
      </c>
      <c r="J1535">
        <v>10</v>
      </c>
      <c r="K1535" s="21">
        <v>3791.6</v>
      </c>
      <c r="L1535" s="21">
        <v>34124.400000000001</v>
      </c>
      <c r="M1535" s="21">
        <v>26209.78</v>
      </c>
      <c r="N1535" s="21">
        <v>7914.62</v>
      </c>
      <c r="O1535" t="s">
        <v>49</v>
      </c>
      <c r="P1535" s="21">
        <v>205.32</v>
      </c>
      <c r="Q1535" t="s">
        <v>40</v>
      </c>
      <c r="R1535" t="s">
        <v>41</v>
      </c>
      <c r="S1535">
        <v>2</v>
      </c>
      <c r="T1535">
        <v>1</v>
      </c>
      <c r="U1535" t="s">
        <v>32</v>
      </c>
      <c r="V1535" t="s">
        <v>33</v>
      </c>
      <c r="W1535">
        <v>4</v>
      </c>
    </row>
    <row r="1536" spans="1:23" x14ac:dyDescent="0.25">
      <c r="A1536" t="s">
        <v>2176</v>
      </c>
      <c r="B1536" s="1">
        <v>45878</v>
      </c>
      <c r="C1536" t="s">
        <v>2177</v>
      </c>
      <c r="D1536" t="s">
        <v>124</v>
      </c>
      <c r="E1536" t="s">
        <v>26</v>
      </c>
      <c r="F1536" t="s">
        <v>47</v>
      </c>
      <c r="G1536" t="s">
        <v>146</v>
      </c>
      <c r="H1536">
        <v>1</v>
      </c>
      <c r="I1536" s="21">
        <v>44482</v>
      </c>
      <c r="J1536">
        <v>0</v>
      </c>
      <c r="K1536" s="21">
        <v>0</v>
      </c>
      <c r="L1536" s="21">
        <v>44482</v>
      </c>
      <c r="M1536" s="21">
        <v>36388.199999999997</v>
      </c>
      <c r="N1536" s="21">
        <v>8093.8</v>
      </c>
      <c r="O1536" t="s">
        <v>55</v>
      </c>
      <c r="P1536" s="21">
        <v>793.86</v>
      </c>
      <c r="Q1536" t="s">
        <v>30</v>
      </c>
      <c r="R1536" t="s">
        <v>31</v>
      </c>
      <c r="S1536">
        <v>5</v>
      </c>
      <c r="T1536">
        <v>6</v>
      </c>
      <c r="U1536" t="s">
        <v>32</v>
      </c>
      <c r="V1536" t="s">
        <v>42</v>
      </c>
    </row>
    <row r="1537" spans="1:23" x14ac:dyDescent="0.25">
      <c r="A1537" t="s">
        <v>2178</v>
      </c>
      <c r="B1537" s="1">
        <v>45889</v>
      </c>
      <c r="C1537" t="s">
        <v>1623</v>
      </c>
      <c r="D1537" t="s">
        <v>45</v>
      </c>
      <c r="E1537" t="s">
        <v>46</v>
      </c>
      <c r="F1537" t="s">
        <v>47</v>
      </c>
      <c r="G1537" t="s">
        <v>48</v>
      </c>
      <c r="H1537">
        <v>1</v>
      </c>
      <c r="I1537" s="21">
        <v>46863</v>
      </c>
      <c r="J1537">
        <v>5</v>
      </c>
      <c r="K1537" s="21">
        <v>2343.15</v>
      </c>
      <c r="L1537" s="21">
        <v>44519.85</v>
      </c>
      <c r="M1537" s="21">
        <v>36242.730000000003</v>
      </c>
      <c r="N1537" s="21">
        <v>8277.1200000000008</v>
      </c>
      <c r="O1537" t="s">
        <v>91</v>
      </c>
      <c r="P1537" s="21">
        <v>345.62</v>
      </c>
      <c r="Q1537" t="s">
        <v>73</v>
      </c>
      <c r="R1537" t="s">
        <v>31</v>
      </c>
      <c r="S1537">
        <v>5</v>
      </c>
      <c r="T1537">
        <v>1</v>
      </c>
      <c r="U1537" t="s">
        <v>32</v>
      </c>
      <c r="V1537" t="s">
        <v>33</v>
      </c>
      <c r="W1537">
        <v>2</v>
      </c>
    </row>
    <row r="1538" spans="1:23" x14ac:dyDescent="0.25">
      <c r="A1538" t="s">
        <v>2179</v>
      </c>
      <c r="B1538" s="1">
        <v>45774</v>
      </c>
      <c r="C1538" t="s">
        <v>533</v>
      </c>
      <c r="D1538" t="s">
        <v>63</v>
      </c>
      <c r="E1538" t="s">
        <v>36</v>
      </c>
      <c r="F1538" t="s">
        <v>47</v>
      </c>
      <c r="G1538" t="s">
        <v>105</v>
      </c>
      <c r="H1538">
        <v>1</v>
      </c>
      <c r="I1538" s="21">
        <v>12775</v>
      </c>
      <c r="J1538">
        <v>10</v>
      </c>
      <c r="K1538" s="21">
        <v>1277.5</v>
      </c>
      <c r="L1538" s="21">
        <v>11497.5</v>
      </c>
      <c r="M1538" s="21">
        <v>9063.67</v>
      </c>
      <c r="N1538" s="21">
        <v>2433.83</v>
      </c>
      <c r="O1538" t="s">
        <v>55</v>
      </c>
      <c r="P1538" s="21">
        <v>2152.64</v>
      </c>
      <c r="Q1538" t="s">
        <v>83</v>
      </c>
      <c r="R1538" t="s">
        <v>41</v>
      </c>
      <c r="S1538">
        <v>2</v>
      </c>
      <c r="T1538">
        <v>3</v>
      </c>
      <c r="U1538" t="s">
        <v>56</v>
      </c>
      <c r="V1538" t="s">
        <v>33</v>
      </c>
      <c r="W1538">
        <v>2</v>
      </c>
    </row>
    <row r="1539" spans="1:23" x14ac:dyDescent="0.25">
      <c r="A1539" t="s">
        <v>2180</v>
      </c>
      <c r="B1539" s="1">
        <v>45869</v>
      </c>
      <c r="C1539" t="s">
        <v>1860</v>
      </c>
      <c r="D1539" t="s">
        <v>124</v>
      </c>
      <c r="E1539" t="s">
        <v>36</v>
      </c>
      <c r="F1539" t="s">
        <v>86</v>
      </c>
      <c r="G1539" t="s">
        <v>87</v>
      </c>
      <c r="H1539">
        <v>1</v>
      </c>
      <c r="I1539" s="21">
        <v>75838</v>
      </c>
      <c r="J1539">
        <v>0</v>
      </c>
      <c r="K1539" s="21">
        <v>0</v>
      </c>
      <c r="L1539" s="21">
        <v>75838</v>
      </c>
      <c r="M1539" s="21">
        <v>54337.36</v>
      </c>
      <c r="N1539" s="21">
        <v>21500.639999999999</v>
      </c>
      <c r="O1539" t="s">
        <v>55</v>
      </c>
      <c r="P1539" s="21">
        <v>1462.77</v>
      </c>
      <c r="Q1539" t="s">
        <v>73</v>
      </c>
      <c r="R1539" t="s">
        <v>41</v>
      </c>
      <c r="S1539">
        <v>2</v>
      </c>
      <c r="T1539">
        <v>2</v>
      </c>
      <c r="U1539" t="s">
        <v>32</v>
      </c>
      <c r="V1539" t="s">
        <v>50</v>
      </c>
      <c r="W1539">
        <v>5</v>
      </c>
    </row>
    <row r="1540" spans="1:23" x14ac:dyDescent="0.25">
      <c r="A1540" t="s">
        <v>2181</v>
      </c>
      <c r="B1540" s="1">
        <v>45831</v>
      </c>
      <c r="C1540" t="s">
        <v>753</v>
      </c>
      <c r="D1540" t="s">
        <v>71</v>
      </c>
      <c r="E1540" t="s">
        <v>26</v>
      </c>
      <c r="F1540" t="s">
        <v>86</v>
      </c>
      <c r="G1540" t="s">
        <v>127</v>
      </c>
      <c r="H1540">
        <v>1</v>
      </c>
      <c r="I1540" s="21">
        <v>79185</v>
      </c>
      <c r="J1540">
        <v>0</v>
      </c>
      <c r="K1540" s="21">
        <v>0</v>
      </c>
      <c r="L1540" s="21">
        <v>79185</v>
      </c>
      <c r="M1540" s="21">
        <v>46574</v>
      </c>
      <c r="N1540" s="21">
        <v>32611</v>
      </c>
      <c r="O1540" t="s">
        <v>91</v>
      </c>
      <c r="P1540" s="21">
        <v>551.21</v>
      </c>
      <c r="Q1540" t="s">
        <v>30</v>
      </c>
      <c r="R1540" t="s">
        <v>41</v>
      </c>
      <c r="S1540">
        <v>2</v>
      </c>
      <c r="T1540">
        <v>2</v>
      </c>
      <c r="U1540" t="s">
        <v>32</v>
      </c>
      <c r="V1540" t="s">
        <v>42</v>
      </c>
    </row>
    <row r="1541" spans="1:23" x14ac:dyDescent="0.25">
      <c r="A1541" t="s">
        <v>2182</v>
      </c>
      <c r="B1541" s="1">
        <v>45890</v>
      </c>
      <c r="C1541" t="s">
        <v>2183</v>
      </c>
      <c r="D1541" t="s">
        <v>90</v>
      </c>
      <c r="E1541" t="s">
        <v>36</v>
      </c>
      <c r="F1541" t="s">
        <v>86</v>
      </c>
      <c r="G1541" t="s">
        <v>180</v>
      </c>
      <c r="H1541">
        <v>3</v>
      </c>
      <c r="I1541" s="21">
        <v>55877</v>
      </c>
      <c r="J1541">
        <v>0</v>
      </c>
      <c r="K1541" s="21">
        <v>0</v>
      </c>
      <c r="L1541" s="21">
        <v>167631</v>
      </c>
      <c r="M1541" s="21">
        <v>94861.68</v>
      </c>
      <c r="N1541" s="21">
        <v>72769.320000000007</v>
      </c>
      <c r="O1541" t="s">
        <v>60</v>
      </c>
      <c r="P1541" s="21">
        <v>775.14</v>
      </c>
      <c r="Q1541" t="s">
        <v>83</v>
      </c>
      <c r="R1541" t="s">
        <v>31</v>
      </c>
      <c r="S1541">
        <v>5</v>
      </c>
      <c r="T1541">
        <v>1</v>
      </c>
      <c r="U1541" t="s">
        <v>32</v>
      </c>
      <c r="V1541" t="s">
        <v>50</v>
      </c>
      <c r="W1541">
        <v>5</v>
      </c>
    </row>
    <row r="1542" spans="1:23" x14ac:dyDescent="0.25">
      <c r="A1542" t="s">
        <v>2184</v>
      </c>
      <c r="B1542" s="1">
        <v>45862</v>
      </c>
      <c r="C1542" t="s">
        <v>535</v>
      </c>
      <c r="D1542" t="s">
        <v>71</v>
      </c>
      <c r="E1542" t="s">
        <v>36</v>
      </c>
      <c r="F1542" t="s">
        <v>27</v>
      </c>
      <c r="G1542" t="s">
        <v>28</v>
      </c>
      <c r="H1542">
        <v>1</v>
      </c>
      <c r="I1542" s="21">
        <v>15160</v>
      </c>
      <c r="J1542">
        <v>0</v>
      </c>
      <c r="K1542" s="21">
        <v>0</v>
      </c>
      <c r="L1542" s="21">
        <v>15160</v>
      </c>
      <c r="M1542" s="21">
        <v>11000.15</v>
      </c>
      <c r="N1542" s="21">
        <v>4159.8500000000004</v>
      </c>
      <c r="O1542" t="s">
        <v>29</v>
      </c>
      <c r="P1542" s="21">
        <v>270.10000000000002</v>
      </c>
      <c r="Q1542" t="s">
        <v>68</v>
      </c>
      <c r="R1542" t="s">
        <v>41</v>
      </c>
      <c r="S1542">
        <v>2</v>
      </c>
      <c r="T1542">
        <v>1</v>
      </c>
      <c r="U1542" t="s">
        <v>32</v>
      </c>
      <c r="V1542" t="s">
        <v>33</v>
      </c>
      <c r="W1542">
        <v>2</v>
      </c>
    </row>
    <row r="1543" spans="1:23" x14ac:dyDescent="0.25">
      <c r="A1543" t="s">
        <v>2185</v>
      </c>
      <c r="B1543" s="1">
        <v>45870</v>
      </c>
      <c r="C1543" t="s">
        <v>109</v>
      </c>
      <c r="D1543" t="s">
        <v>79</v>
      </c>
      <c r="E1543" t="s">
        <v>46</v>
      </c>
      <c r="F1543" t="s">
        <v>86</v>
      </c>
      <c r="G1543" t="s">
        <v>127</v>
      </c>
      <c r="H1543">
        <v>1</v>
      </c>
      <c r="I1543" s="21">
        <v>52097</v>
      </c>
      <c r="J1543">
        <v>0</v>
      </c>
      <c r="K1543" s="21">
        <v>0</v>
      </c>
      <c r="L1543" s="21">
        <v>52097</v>
      </c>
      <c r="M1543" s="21">
        <v>36407.589999999997</v>
      </c>
      <c r="N1543" s="21">
        <v>15689.41</v>
      </c>
      <c r="O1543" t="s">
        <v>49</v>
      </c>
      <c r="P1543" s="21">
        <v>140.56</v>
      </c>
      <c r="Q1543" t="s">
        <v>68</v>
      </c>
      <c r="R1543" t="s">
        <v>31</v>
      </c>
      <c r="S1543">
        <v>5</v>
      </c>
      <c r="T1543">
        <v>8</v>
      </c>
      <c r="U1543" t="s">
        <v>56</v>
      </c>
      <c r="V1543" t="s">
        <v>33</v>
      </c>
    </row>
    <row r="1544" spans="1:23" x14ac:dyDescent="0.25">
      <c r="A1544" t="s">
        <v>2186</v>
      </c>
      <c r="B1544" s="1">
        <v>45706</v>
      </c>
      <c r="C1544" t="s">
        <v>543</v>
      </c>
      <c r="D1544" t="s">
        <v>63</v>
      </c>
      <c r="E1544" t="s">
        <v>46</v>
      </c>
      <c r="F1544" t="s">
        <v>53</v>
      </c>
      <c r="G1544" t="s">
        <v>151</v>
      </c>
      <c r="H1544">
        <v>1</v>
      </c>
      <c r="I1544" s="21">
        <v>25884</v>
      </c>
      <c r="J1544">
        <v>0</v>
      </c>
      <c r="K1544" s="21">
        <v>0</v>
      </c>
      <c r="L1544" s="21">
        <v>25884</v>
      </c>
      <c r="M1544" s="21">
        <v>15247.8</v>
      </c>
      <c r="N1544" s="21">
        <v>10636.2</v>
      </c>
      <c r="O1544" t="s">
        <v>29</v>
      </c>
      <c r="P1544" s="21">
        <v>969.76</v>
      </c>
      <c r="Q1544" t="s">
        <v>83</v>
      </c>
      <c r="R1544" t="s">
        <v>31</v>
      </c>
      <c r="S1544">
        <v>5</v>
      </c>
      <c r="T1544">
        <v>8</v>
      </c>
      <c r="U1544" t="s">
        <v>56</v>
      </c>
      <c r="V1544" t="s">
        <v>33</v>
      </c>
      <c r="W1544">
        <v>3</v>
      </c>
    </row>
    <row r="1545" spans="1:23" x14ac:dyDescent="0.25">
      <c r="A1545" t="s">
        <v>2187</v>
      </c>
      <c r="B1545" s="1">
        <v>45818</v>
      </c>
      <c r="C1545" t="s">
        <v>679</v>
      </c>
      <c r="D1545" t="s">
        <v>154</v>
      </c>
      <c r="E1545" t="s">
        <v>36</v>
      </c>
      <c r="F1545" t="s">
        <v>86</v>
      </c>
      <c r="G1545" t="s">
        <v>110</v>
      </c>
      <c r="H1545">
        <v>1</v>
      </c>
      <c r="I1545" s="21">
        <v>11756</v>
      </c>
      <c r="J1545">
        <v>0</v>
      </c>
      <c r="K1545" s="21">
        <v>0</v>
      </c>
      <c r="L1545" s="21">
        <v>11756</v>
      </c>
      <c r="M1545" s="21">
        <v>8977.4699999999993</v>
      </c>
      <c r="N1545" s="21">
        <v>2778.53</v>
      </c>
      <c r="O1545" t="s">
        <v>49</v>
      </c>
      <c r="P1545" s="21">
        <v>238.33</v>
      </c>
      <c r="Q1545" t="s">
        <v>73</v>
      </c>
      <c r="R1545" t="s">
        <v>41</v>
      </c>
      <c r="S1545">
        <v>2</v>
      </c>
      <c r="T1545">
        <v>1</v>
      </c>
      <c r="U1545" t="s">
        <v>32</v>
      </c>
      <c r="V1545" t="s">
        <v>33</v>
      </c>
      <c r="W1545">
        <v>1</v>
      </c>
    </row>
    <row r="1546" spans="1:23" x14ac:dyDescent="0.25">
      <c r="A1546" t="s">
        <v>2188</v>
      </c>
      <c r="B1546" s="1">
        <v>45876</v>
      </c>
      <c r="C1546" t="s">
        <v>1188</v>
      </c>
      <c r="D1546" t="s">
        <v>67</v>
      </c>
      <c r="E1546" t="s">
        <v>26</v>
      </c>
      <c r="F1546" t="s">
        <v>86</v>
      </c>
      <c r="G1546" t="s">
        <v>127</v>
      </c>
      <c r="H1546">
        <v>2</v>
      </c>
      <c r="I1546" s="21">
        <v>81965</v>
      </c>
      <c r="J1546">
        <v>0</v>
      </c>
      <c r="K1546" s="21">
        <v>0</v>
      </c>
      <c r="L1546" s="21">
        <v>163930</v>
      </c>
      <c r="M1546" s="21">
        <v>118248.01</v>
      </c>
      <c r="N1546" s="21">
        <v>45681.99</v>
      </c>
      <c r="O1546" t="s">
        <v>60</v>
      </c>
      <c r="P1546" s="21">
        <v>2414.75</v>
      </c>
      <c r="Q1546" t="s">
        <v>73</v>
      </c>
      <c r="R1546" t="s">
        <v>41</v>
      </c>
      <c r="S1546">
        <v>2</v>
      </c>
      <c r="T1546">
        <v>3</v>
      </c>
      <c r="U1546" t="s">
        <v>32</v>
      </c>
      <c r="V1546" t="s">
        <v>50</v>
      </c>
      <c r="W1546">
        <v>4</v>
      </c>
    </row>
    <row r="1547" spans="1:23" x14ac:dyDescent="0.25">
      <c r="A1547" t="s">
        <v>2189</v>
      </c>
      <c r="B1547" s="1">
        <v>45818</v>
      </c>
      <c r="C1547" t="s">
        <v>278</v>
      </c>
      <c r="D1547" t="s">
        <v>71</v>
      </c>
      <c r="E1547" t="s">
        <v>26</v>
      </c>
      <c r="F1547" t="s">
        <v>47</v>
      </c>
      <c r="G1547" t="s">
        <v>138</v>
      </c>
      <c r="H1547">
        <v>1</v>
      </c>
      <c r="I1547" s="21">
        <v>15817</v>
      </c>
      <c r="J1547">
        <v>25</v>
      </c>
      <c r="K1547" s="21">
        <v>3954.25</v>
      </c>
      <c r="L1547" s="21">
        <v>11862.75</v>
      </c>
      <c r="M1547" s="21">
        <v>8153.72</v>
      </c>
      <c r="N1547" s="21">
        <v>3709.03</v>
      </c>
      <c r="O1547" t="s">
        <v>39</v>
      </c>
      <c r="P1547" s="21">
        <v>2224.17</v>
      </c>
      <c r="Q1547" t="s">
        <v>73</v>
      </c>
      <c r="R1547" t="s">
        <v>41</v>
      </c>
      <c r="S1547">
        <v>2</v>
      </c>
      <c r="T1547">
        <v>5</v>
      </c>
      <c r="U1547" t="s">
        <v>32</v>
      </c>
      <c r="V1547" t="s">
        <v>42</v>
      </c>
    </row>
    <row r="1548" spans="1:23" x14ac:dyDescent="0.25">
      <c r="A1548" t="s">
        <v>2190</v>
      </c>
      <c r="B1548" s="1">
        <v>45998</v>
      </c>
      <c r="C1548" t="s">
        <v>528</v>
      </c>
      <c r="D1548" t="s">
        <v>79</v>
      </c>
      <c r="E1548" t="s">
        <v>46</v>
      </c>
      <c r="F1548" t="s">
        <v>27</v>
      </c>
      <c r="G1548" t="s">
        <v>28</v>
      </c>
      <c r="H1548">
        <v>3</v>
      </c>
      <c r="I1548" s="21">
        <v>8023</v>
      </c>
      <c r="J1548">
        <v>0</v>
      </c>
      <c r="K1548" s="21">
        <v>0</v>
      </c>
      <c r="L1548" s="21">
        <v>24069</v>
      </c>
      <c r="M1548" s="21">
        <v>19686.48</v>
      </c>
      <c r="N1548" s="21">
        <v>4382.5200000000004</v>
      </c>
      <c r="O1548" t="s">
        <v>91</v>
      </c>
      <c r="P1548" s="21">
        <v>220.98</v>
      </c>
      <c r="Q1548" t="s">
        <v>73</v>
      </c>
      <c r="R1548" t="s">
        <v>31</v>
      </c>
      <c r="S1548">
        <v>5</v>
      </c>
      <c r="T1548">
        <v>4</v>
      </c>
      <c r="U1548" t="s">
        <v>32</v>
      </c>
      <c r="V1548" t="s">
        <v>50</v>
      </c>
      <c r="W1548">
        <v>4</v>
      </c>
    </row>
    <row r="1549" spans="1:23" x14ac:dyDescent="0.25">
      <c r="A1549" t="s">
        <v>2191</v>
      </c>
      <c r="B1549" s="1">
        <v>45788</v>
      </c>
      <c r="C1549" t="s">
        <v>1485</v>
      </c>
      <c r="D1549" t="s">
        <v>67</v>
      </c>
      <c r="E1549" t="s">
        <v>26</v>
      </c>
      <c r="F1549" t="s">
        <v>27</v>
      </c>
      <c r="G1549" t="s">
        <v>28</v>
      </c>
      <c r="H1549">
        <v>2</v>
      </c>
      <c r="I1549" s="21">
        <v>10293</v>
      </c>
      <c r="J1549">
        <v>0</v>
      </c>
      <c r="K1549" s="21">
        <v>0</v>
      </c>
      <c r="L1549" s="21">
        <v>20586</v>
      </c>
      <c r="M1549" s="21">
        <v>15546.15</v>
      </c>
      <c r="N1549" s="21">
        <v>5039.8500000000004</v>
      </c>
      <c r="O1549" t="s">
        <v>55</v>
      </c>
      <c r="P1549" s="21">
        <v>1549.79</v>
      </c>
      <c r="Q1549" t="s">
        <v>73</v>
      </c>
      <c r="R1549" t="s">
        <v>41</v>
      </c>
      <c r="S1549">
        <v>2</v>
      </c>
      <c r="T1549">
        <v>6</v>
      </c>
      <c r="U1549" t="s">
        <v>32</v>
      </c>
      <c r="V1549" t="s">
        <v>50</v>
      </c>
      <c r="W1549">
        <v>5</v>
      </c>
    </row>
    <row r="1550" spans="1:23" x14ac:dyDescent="0.25">
      <c r="A1550" t="s">
        <v>2192</v>
      </c>
      <c r="B1550" s="1">
        <v>45849</v>
      </c>
      <c r="C1550" t="s">
        <v>335</v>
      </c>
      <c r="D1550" t="s">
        <v>45</v>
      </c>
      <c r="E1550" t="s">
        <v>46</v>
      </c>
      <c r="F1550" t="s">
        <v>47</v>
      </c>
      <c r="G1550" t="s">
        <v>64</v>
      </c>
      <c r="H1550">
        <v>2</v>
      </c>
      <c r="I1550" s="21">
        <v>14997</v>
      </c>
      <c r="J1550">
        <v>10</v>
      </c>
      <c r="K1550" s="21">
        <v>2999.4</v>
      </c>
      <c r="L1550" s="21">
        <v>26994.6</v>
      </c>
      <c r="M1550" s="21">
        <v>16547.87</v>
      </c>
      <c r="N1550" s="21">
        <v>10446.73</v>
      </c>
      <c r="O1550" t="s">
        <v>39</v>
      </c>
      <c r="P1550" s="21">
        <v>750.55</v>
      </c>
      <c r="Q1550" t="s">
        <v>73</v>
      </c>
      <c r="R1550" t="s">
        <v>31</v>
      </c>
      <c r="S1550">
        <v>5</v>
      </c>
      <c r="T1550">
        <v>6</v>
      </c>
      <c r="U1550" t="s">
        <v>56</v>
      </c>
      <c r="V1550" t="s">
        <v>33</v>
      </c>
      <c r="W1550">
        <v>5</v>
      </c>
    </row>
    <row r="1551" spans="1:23" x14ac:dyDescent="0.25">
      <c r="A1551" t="s">
        <v>2193</v>
      </c>
      <c r="B1551" s="1">
        <v>45736</v>
      </c>
      <c r="C1551" t="s">
        <v>1138</v>
      </c>
      <c r="D1551" t="s">
        <v>124</v>
      </c>
      <c r="E1551" t="s">
        <v>46</v>
      </c>
      <c r="F1551" t="s">
        <v>53</v>
      </c>
      <c r="G1551" t="s">
        <v>54</v>
      </c>
      <c r="H1551">
        <v>2</v>
      </c>
      <c r="I1551" s="21">
        <v>104513</v>
      </c>
      <c r="J1551">
        <v>20</v>
      </c>
      <c r="K1551" s="21">
        <v>41805.199999999997</v>
      </c>
      <c r="L1551" s="21">
        <v>167220.79999999999</v>
      </c>
      <c r="M1551" s="21">
        <v>92324.81</v>
      </c>
      <c r="N1551" s="21">
        <v>74895.990000000005</v>
      </c>
      <c r="O1551" t="s">
        <v>49</v>
      </c>
      <c r="P1551" s="21">
        <v>279.74</v>
      </c>
      <c r="Q1551" t="s">
        <v>40</v>
      </c>
      <c r="R1551" t="s">
        <v>41</v>
      </c>
      <c r="S1551">
        <v>2</v>
      </c>
      <c r="T1551">
        <v>6</v>
      </c>
      <c r="U1551" t="s">
        <v>32</v>
      </c>
      <c r="V1551" t="s">
        <v>42</v>
      </c>
    </row>
    <row r="1552" spans="1:23" x14ac:dyDescent="0.25">
      <c r="A1552" t="s">
        <v>2194</v>
      </c>
      <c r="B1552" s="1">
        <v>46009</v>
      </c>
      <c r="C1552" t="s">
        <v>487</v>
      </c>
      <c r="D1552" t="s">
        <v>25</v>
      </c>
      <c r="E1552" t="s">
        <v>26</v>
      </c>
      <c r="F1552" t="s">
        <v>27</v>
      </c>
      <c r="G1552" t="s">
        <v>28</v>
      </c>
      <c r="H1552">
        <v>1</v>
      </c>
      <c r="I1552" s="21">
        <v>25243</v>
      </c>
      <c r="J1552">
        <v>0</v>
      </c>
      <c r="K1552" s="21">
        <v>0</v>
      </c>
      <c r="L1552" s="21">
        <v>25243</v>
      </c>
      <c r="M1552" s="21">
        <v>17465.509999999998</v>
      </c>
      <c r="N1552" s="21">
        <v>7777.49</v>
      </c>
      <c r="O1552" t="s">
        <v>60</v>
      </c>
      <c r="P1552" s="21">
        <v>1957.07</v>
      </c>
      <c r="Q1552" t="s">
        <v>40</v>
      </c>
      <c r="R1552" t="s">
        <v>31</v>
      </c>
      <c r="S1552">
        <v>5</v>
      </c>
      <c r="T1552">
        <v>4</v>
      </c>
      <c r="U1552" t="s">
        <v>32</v>
      </c>
      <c r="V1552" t="s">
        <v>33</v>
      </c>
      <c r="W1552">
        <v>5</v>
      </c>
    </row>
    <row r="1553" spans="1:23" x14ac:dyDescent="0.25">
      <c r="A1553" t="s">
        <v>2195</v>
      </c>
      <c r="B1553" s="1">
        <v>45900</v>
      </c>
      <c r="C1553" t="s">
        <v>948</v>
      </c>
      <c r="D1553" t="s">
        <v>25</v>
      </c>
      <c r="E1553" t="s">
        <v>46</v>
      </c>
      <c r="F1553" t="s">
        <v>47</v>
      </c>
      <c r="G1553" t="s">
        <v>146</v>
      </c>
      <c r="H1553">
        <v>3</v>
      </c>
      <c r="I1553" s="21">
        <v>29468</v>
      </c>
      <c r="J1553">
        <v>15</v>
      </c>
      <c r="K1553" s="21">
        <v>13260.6</v>
      </c>
      <c r="L1553" s="21">
        <v>75143.399999999994</v>
      </c>
      <c r="M1553" s="21">
        <v>51168.06</v>
      </c>
      <c r="N1553" s="21">
        <v>23975.34</v>
      </c>
      <c r="O1553" t="s">
        <v>91</v>
      </c>
      <c r="P1553" s="21">
        <v>242.49</v>
      </c>
      <c r="Q1553" t="s">
        <v>30</v>
      </c>
      <c r="R1553" t="s">
        <v>41</v>
      </c>
      <c r="S1553">
        <v>2</v>
      </c>
      <c r="T1553">
        <v>1</v>
      </c>
      <c r="U1553" t="s">
        <v>32</v>
      </c>
      <c r="V1553" t="s">
        <v>33</v>
      </c>
      <c r="W1553">
        <v>5</v>
      </c>
    </row>
    <row r="1554" spans="1:23" x14ac:dyDescent="0.25">
      <c r="A1554" t="s">
        <v>2196</v>
      </c>
      <c r="B1554" s="1">
        <v>45692</v>
      </c>
      <c r="C1554" t="s">
        <v>620</v>
      </c>
      <c r="D1554" t="s">
        <v>124</v>
      </c>
      <c r="E1554" t="s">
        <v>36</v>
      </c>
      <c r="F1554" t="s">
        <v>86</v>
      </c>
      <c r="G1554" t="s">
        <v>94</v>
      </c>
      <c r="H1554">
        <v>2</v>
      </c>
      <c r="I1554" s="21">
        <v>81345</v>
      </c>
      <c r="J1554">
        <v>0</v>
      </c>
      <c r="K1554" s="21">
        <v>0</v>
      </c>
      <c r="L1554" s="21">
        <v>162690</v>
      </c>
      <c r="M1554" s="21">
        <v>92965.03</v>
      </c>
      <c r="N1554" s="21">
        <v>69724.97</v>
      </c>
      <c r="O1554" t="s">
        <v>60</v>
      </c>
      <c r="P1554" s="21">
        <v>2356.5500000000002</v>
      </c>
      <c r="Q1554" t="s">
        <v>73</v>
      </c>
      <c r="R1554" t="s">
        <v>31</v>
      </c>
      <c r="S1554">
        <v>5</v>
      </c>
      <c r="T1554">
        <v>3</v>
      </c>
      <c r="U1554" t="s">
        <v>32</v>
      </c>
      <c r="V1554" t="s">
        <v>33</v>
      </c>
      <c r="W1554">
        <v>1</v>
      </c>
    </row>
    <row r="1555" spans="1:23" x14ac:dyDescent="0.25">
      <c r="A1555" t="s">
        <v>2197</v>
      </c>
      <c r="B1555" s="1">
        <v>45704</v>
      </c>
      <c r="C1555" t="s">
        <v>35</v>
      </c>
      <c r="D1555" t="s">
        <v>97</v>
      </c>
      <c r="E1555" t="s">
        <v>26</v>
      </c>
      <c r="F1555" t="s">
        <v>86</v>
      </c>
      <c r="G1555" t="s">
        <v>94</v>
      </c>
      <c r="H1555">
        <v>1</v>
      </c>
      <c r="I1555" s="21">
        <v>42232</v>
      </c>
      <c r="J1555">
        <v>10</v>
      </c>
      <c r="K1555" s="21">
        <v>4223.2</v>
      </c>
      <c r="L1555" s="21">
        <v>38008.800000000003</v>
      </c>
      <c r="M1555" s="21">
        <v>30866.86</v>
      </c>
      <c r="N1555" s="21">
        <v>7141.94</v>
      </c>
      <c r="O1555" t="s">
        <v>49</v>
      </c>
      <c r="P1555" s="21">
        <v>249.69</v>
      </c>
      <c r="Q1555" t="s">
        <v>83</v>
      </c>
      <c r="R1555" t="s">
        <v>31</v>
      </c>
      <c r="S1555">
        <v>5</v>
      </c>
      <c r="T1555">
        <v>3</v>
      </c>
      <c r="U1555" t="s">
        <v>32</v>
      </c>
      <c r="V1555" t="s">
        <v>33</v>
      </c>
      <c r="W1555">
        <v>4</v>
      </c>
    </row>
    <row r="1556" spans="1:23" x14ac:dyDescent="0.25">
      <c r="A1556" t="s">
        <v>2198</v>
      </c>
      <c r="B1556" s="1">
        <v>45701</v>
      </c>
      <c r="C1556" t="s">
        <v>1133</v>
      </c>
      <c r="D1556" t="s">
        <v>71</v>
      </c>
      <c r="E1556" t="s">
        <v>46</v>
      </c>
      <c r="F1556" t="s">
        <v>53</v>
      </c>
      <c r="G1556" t="s">
        <v>82</v>
      </c>
      <c r="H1556">
        <v>1</v>
      </c>
      <c r="I1556" s="21">
        <v>62249</v>
      </c>
      <c r="J1556">
        <v>15</v>
      </c>
      <c r="K1556" s="21">
        <v>9337.35</v>
      </c>
      <c r="L1556" s="21">
        <v>52911.65</v>
      </c>
      <c r="M1556" s="21">
        <v>33539.83</v>
      </c>
      <c r="N1556" s="21">
        <v>19371.82</v>
      </c>
      <c r="O1556" t="s">
        <v>39</v>
      </c>
      <c r="P1556" s="21">
        <v>1417.59</v>
      </c>
      <c r="Q1556" t="s">
        <v>30</v>
      </c>
      <c r="R1556" t="s">
        <v>41</v>
      </c>
      <c r="S1556">
        <v>2</v>
      </c>
      <c r="T1556">
        <v>1</v>
      </c>
      <c r="U1556" t="s">
        <v>32</v>
      </c>
      <c r="V1556" t="s">
        <v>33</v>
      </c>
      <c r="W1556">
        <v>4</v>
      </c>
    </row>
    <row r="1557" spans="1:23" x14ac:dyDescent="0.25">
      <c r="A1557" t="s">
        <v>2199</v>
      </c>
      <c r="B1557" s="1">
        <v>45705</v>
      </c>
      <c r="C1557" t="s">
        <v>349</v>
      </c>
      <c r="D1557" t="s">
        <v>45</v>
      </c>
      <c r="E1557" t="s">
        <v>46</v>
      </c>
      <c r="F1557" t="s">
        <v>47</v>
      </c>
      <c r="G1557" t="s">
        <v>138</v>
      </c>
      <c r="H1557">
        <v>1</v>
      </c>
      <c r="I1557" s="21">
        <v>10999</v>
      </c>
      <c r="J1557">
        <v>0</v>
      </c>
      <c r="K1557" s="21">
        <v>0</v>
      </c>
      <c r="L1557" s="21">
        <v>10999</v>
      </c>
      <c r="M1557" s="21">
        <v>6304.44</v>
      </c>
      <c r="N1557" s="21">
        <v>4694.5600000000004</v>
      </c>
      <c r="O1557" t="s">
        <v>91</v>
      </c>
      <c r="P1557" s="21">
        <v>1700.08</v>
      </c>
      <c r="Q1557" t="s">
        <v>68</v>
      </c>
      <c r="R1557" t="s">
        <v>41</v>
      </c>
      <c r="S1557">
        <v>2</v>
      </c>
      <c r="T1557">
        <v>4</v>
      </c>
      <c r="U1557" t="s">
        <v>32</v>
      </c>
      <c r="V1557" t="s">
        <v>50</v>
      </c>
      <c r="W1557">
        <v>4</v>
      </c>
    </row>
    <row r="1558" spans="1:23" x14ac:dyDescent="0.25">
      <c r="A1558" t="s">
        <v>2200</v>
      </c>
      <c r="B1558" s="1">
        <v>45879</v>
      </c>
      <c r="C1558" t="s">
        <v>500</v>
      </c>
      <c r="D1558" t="s">
        <v>154</v>
      </c>
      <c r="E1558" t="s">
        <v>46</v>
      </c>
      <c r="F1558" t="s">
        <v>47</v>
      </c>
      <c r="G1558" t="s">
        <v>48</v>
      </c>
      <c r="H1558">
        <v>1</v>
      </c>
      <c r="I1558" s="21">
        <v>21088</v>
      </c>
      <c r="J1558">
        <v>20</v>
      </c>
      <c r="K1558" s="21">
        <v>4217.6000000000004</v>
      </c>
      <c r="L1558" s="21">
        <v>16870.400000000001</v>
      </c>
      <c r="M1558" s="21">
        <v>11016.78</v>
      </c>
      <c r="N1558" s="21">
        <v>5853.62</v>
      </c>
      <c r="O1558" t="s">
        <v>29</v>
      </c>
      <c r="P1558" s="21">
        <v>1645.39</v>
      </c>
      <c r="Q1558" t="s">
        <v>73</v>
      </c>
      <c r="R1558" t="s">
        <v>31</v>
      </c>
      <c r="S1558">
        <v>5</v>
      </c>
      <c r="T1558">
        <v>4</v>
      </c>
      <c r="U1558" t="s">
        <v>32</v>
      </c>
      <c r="V1558" t="s">
        <v>42</v>
      </c>
    </row>
    <row r="1559" spans="1:23" x14ac:dyDescent="0.25">
      <c r="A1559" t="s">
        <v>2201</v>
      </c>
      <c r="B1559" s="1">
        <v>45707</v>
      </c>
      <c r="C1559" t="s">
        <v>1076</v>
      </c>
      <c r="D1559" t="s">
        <v>97</v>
      </c>
      <c r="E1559" t="s">
        <v>46</v>
      </c>
      <c r="F1559" t="s">
        <v>27</v>
      </c>
      <c r="G1559" t="s">
        <v>164</v>
      </c>
      <c r="H1559">
        <v>2</v>
      </c>
      <c r="I1559" s="21">
        <v>3664</v>
      </c>
      <c r="J1559">
        <v>10</v>
      </c>
      <c r="K1559" s="21">
        <v>732.8</v>
      </c>
      <c r="L1559" s="21">
        <v>6595.2</v>
      </c>
      <c r="M1559" s="21">
        <v>5177.3999999999996</v>
      </c>
      <c r="N1559" s="21">
        <v>1417.8</v>
      </c>
      <c r="O1559" t="s">
        <v>55</v>
      </c>
      <c r="P1559" s="21">
        <v>2027.49</v>
      </c>
      <c r="Q1559" t="s">
        <v>40</v>
      </c>
      <c r="R1559" t="s">
        <v>31</v>
      </c>
      <c r="S1559">
        <v>5</v>
      </c>
      <c r="T1559">
        <v>3</v>
      </c>
      <c r="U1559" t="s">
        <v>32</v>
      </c>
      <c r="V1559" t="s">
        <v>33</v>
      </c>
      <c r="W1559">
        <v>3</v>
      </c>
    </row>
    <row r="1560" spans="1:23" x14ac:dyDescent="0.25">
      <c r="A1560" t="s">
        <v>2202</v>
      </c>
      <c r="B1560" s="1">
        <v>45848</v>
      </c>
      <c r="C1560" t="s">
        <v>2031</v>
      </c>
      <c r="D1560" t="s">
        <v>79</v>
      </c>
      <c r="E1560" t="s">
        <v>46</v>
      </c>
      <c r="F1560" t="s">
        <v>27</v>
      </c>
      <c r="G1560" t="s">
        <v>113</v>
      </c>
      <c r="H1560">
        <v>1</v>
      </c>
      <c r="I1560" s="21">
        <v>22694</v>
      </c>
      <c r="J1560">
        <v>15</v>
      </c>
      <c r="K1560" s="21">
        <v>3404.1</v>
      </c>
      <c r="L1560" s="21">
        <v>19289.900000000001</v>
      </c>
      <c r="M1560" s="21">
        <v>10822.48</v>
      </c>
      <c r="N1560" s="21">
        <v>8467.42</v>
      </c>
      <c r="O1560" t="s">
        <v>39</v>
      </c>
      <c r="P1560" s="21">
        <v>814.84</v>
      </c>
      <c r="Q1560" t="s">
        <v>30</v>
      </c>
      <c r="R1560" t="s">
        <v>41</v>
      </c>
      <c r="S1560">
        <v>2</v>
      </c>
      <c r="T1560">
        <v>4</v>
      </c>
      <c r="U1560" t="s">
        <v>56</v>
      </c>
      <c r="V1560" t="s">
        <v>33</v>
      </c>
      <c r="W1560">
        <v>5</v>
      </c>
    </row>
    <row r="1561" spans="1:23" x14ac:dyDescent="0.25">
      <c r="A1561" t="s">
        <v>2203</v>
      </c>
      <c r="B1561" s="1">
        <v>45724</v>
      </c>
      <c r="C1561" t="s">
        <v>524</v>
      </c>
      <c r="D1561" t="s">
        <v>90</v>
      </c>
      <c r="E1561" t="s">
        <v>46</v>
      </c>
      <c r="F1561" t="s">
        <v>47</v>
      </c>
      <c r="G1561" t="s">
        <v>105</v>
      </c>
      <c r="H1561">
        <v>1</v>
      </c>
      <c r="I1561" s="21">
        <v>26589</v>
      </c>
      <c r="J1561">
        <v>0</v>
      </c>
      <c r="K1561" s="21">
        <v>0</v>
      </c>
      <c r="L1561" s="21">
        <v>26589</v>
      </c>
      <c r="M1561" s="21">
        <v>19725.349999999999</v>
      </c>
      <c r="N1561" s="21">
        <v>6863.65</v>
      </c>
      <c r="O1561" t="s">
        <v>49</v>
      </c>
      <c r="P1561" s="21">
        <v>382.5</v>
      </c>
      <c r="Q1561" t="s">
        <v>68</v>
      </c>
      <c r="R1561" t="s">
        <v>41</v>
      </c>
      <c r="S1561">
        <v>2</v>
      </c>
      <c r="T1561">
        <v>1</v>
      </c>
      <c r="U1561" t="s">
        <v>32</v>
      </c>
      <c r="V1561" t="s">
        <v>33</v>
      </c>
      <c r="W1561">
        <v>4</v>
      </c>
    </row>
    <row r="1562" spans="1:23" x14ac:dyDescent="0.25">
      <c r="A1562" t="s">
        <v>2204</v>
      </c>
      <c r="B1562" s="1">
        <v>45942</v>
      </c>
      <c r="C1562" t="s">
        <v>860</v>
      </c>
      <c r="D1562" t="s">
        <v>154</v>
      </c>
      <c r="E1562" t="s">
        <v>36</v>
      </c>
      <c r="F1562" t="s">
        <v>37</v>
      </c>
      <c r="G1562" t="s">
        <v>313</v>
      </c>
      <c r="H1562">
        <v>3</v>
      </c>
      <c r="I1562" s="21">
        <v>20115</v>
      </c>
      <c r="J1562">
        <v>0</v>
      </c>
      <c r="K1562" s="21">
        <v>0</v>
      </c>
      <c r="L1562" s="21">
        <v>60345</v>
      </c>
      <c r="M1562" s="21">
        <v>44164.45</v>
      </c>
      <c r="N1562" s="21">
        <v>16180.55</v>
      </c>
      <c r="O1562" t="s">
        <v>55</v>
      </c>
      <c r="P1562" s="21">
        <v>936.06</v>
      </c>
      <c r="Q1562" t="s">
        <v>68</v>
      </c>
      <c r="R1562" t="s">
        <v>41</v>
      </c>
      <c r="S1562">
        <v>2</v>
      </c>
      <c r="T1562">
        <v>1</v>
      </c>
      <c r="U1562" t="s">
        <v>32</v>
      </c>
      <c r="V1562" t="s">
        <v>33</v>
      </c>
      <c r="W1562">
        <v>5</v>
      </c>
    </row>
    <row r="1563" spans="1:23" x14ac:dyDescent="0.25">
      <c r="A1563" t="s">
        <v>2205</v>
      </c>
      <c r="B1563" s="1">
        <v>45688</v>
      </c>
      <c r="C1563" t="s">
        <v>1518</v>
      </c>
      <c r="D1563" t="s">
        <v>154</v>
      </c>
      <c r="E1563" t="s">
        <v>46</v>
      </c>
      <c r="F1563" t="s">
        <v>53</v>
      </c>
      <c r="G1563" t="s">
        <v>268</v>
      </c>
      <c r="H1563">
        <v>3</v>
      </c>
      <c r="I1563" s="21">
        <v>57598</v>
      </c>
      <c r="J1563">
        <v>10</v>
      </c>
      <c r="K1563" s="21">
        <v>17279.400000000001</v>
      </c>
      <c r="L1563" s="21">
        <v>155514.6</v>
      </c>
      <c r="M1563" s="21">
        <v>97649.84</v>
      </c>
      <c r="N1563" s="21">
        <v>57864.76</v>
      </c>
      <c r="O1563" t="s">
        <v>60</v>
      </c>
      <c r="P1563" s="21">
        <v>1490.71</v>
      </c>
      <c r="Q1563" t="s">
        <v>83</v>
      </c>
      <c r="R1563" t="s">
        <v>31</v>
      </c>
      <c r="S1563">
        <v>5</v>
      </c>
      <c r="T1563">
        <v>3</v>
      </c>
      <c r="U1563" t="s">
        <v>32</v>
      </c>
      <c r="V1563" t="s">
        <v>33</v>
      </c>
      <c r="W1563">
        <v>4</v>
      </c>
    </row>
    <row r="1564" spans="1:23" x14ac:dyDescent="0.25">
      <c r="A1564" t="s">
        <v>2206</v>
      </c>
      <c r="B1564" s="1">
        <v>45958</v>
      </c>
      <c r="C1564" t="s">
        <v>1076</v>
      </c>
      <c r="D1564" t="s">
        <v>45</v>
      </c>
      <c r="E1564" t="s">
        <v>26</v>
      </c>
      <c r="F1564" t="s">
        <v>27</v>
      </c>
      <c r="G1564" t="s">
        <v>72</v>
      </c>
      <c r="H1564">
        <v>1</v>
      </c>
      <c r="I1564" s="21">
        <v>19335</v>
      </c>
      <c r="J1564">
        <v>10</v>
      </c>
      <c r="K1564" s="21">
        <v>1933.5</v>
      </c>
      <c r="L1564" s="21">
        <v>17401.5</v>
      </c>
      <c r="M1564" s="21">
        <v>9892.77</v>
      </c>
      <c r="N1564" s="21">
        <v>7508.73</v>
      </c>
      <c r="O1564" t="s">
        <v>49</v>
      </c>
      <c r="P1564" s="21">
        <v>93.19</v>
      </c>
      <c r="Q1564" t="s">
        <v>73</v>
      </c>
      <c r="R1564" t="s">
        <v>41</v>
      </c>
      <c r="S1564">
        <v>2</v>
      </c>
      <c r="T1564">
        <v>2</v>
      </c>
      <c r="U1564" t="s">
        <v>32</v>
      </c>
      <c r="V1564" t="s">
        <v>42</v>
      </c>
    </row>
    <row r="1565" spans="1:23" x14ac:dyDescent="0.25">
      <c r="A1565" t="s">
        <v>2207</v>
      </c>
      <c r="B1565" s="1">
        <v>45945</v>
      </c>
      <c r="C1565" t="s">
        <v>580</v>
      </c>
      <c r="D1565" t="s">
        <v>124</v>
      </c>
      <c r="E1565" t="s">
        <v>46</v>
      </c>
      <c r="F1565" t="s">
        <v>37</v>
      </c>
      <c r="G1565" t="s">
        <v>161</v>
      </c>
      <c r="H1565">
        <v>3</v>
      </c>
      <c r="I1565" s="21">
        <v>20025</v>
      </c>
      <c r="J1565">
        <v>25</v>
      </c>
      <c r="K1565" s="21">
        <v>15018.75</v>
      </c>
      <c r="L1565" s="21">
        <v>45056.25</v>
      </c>
      <c r="M1565" s="21">
        <v>34277.370000000003</v>
      </c>
      <c r="N1565" s="21">
        <v>10778.88</v>
      </c>
      <c r="O1565" t="s">
        <v>49</v>
      </c>
      <c r="P1565" s="21">
        <v>247.99</v>
      </c>
      <c r="Q1565" t="s">
        <v>30</v>
      </c>
      <c r="R1565" t="s">
        <v>41</v>
      </c>
      <c r="S1565">
        <v>2</v>
      </c>
      <c r="T1565">
        <v>3</v>
      </c>
      <c r="U1565" t="s">
        <v>56</v>
      </c>
      <c r="V1565" t="s">
        <v>33</v>
      </c>
      <c r="W1565">
        <v>3</v>
      </c>
    </row>
    <row r="1566" spans="1:23" x14ac:dyDescent="0.25">
      <c r="A1566" t="s">
        <v>2208</v>
      </c>
      <c r="B1566" s="1">
        <v>45945</v>
      </c>
      <c r="C1566" t="s">
        <v>1007</v>
      </c>
      <c r="D1566" t="s">
        <v>45</v>
      </c>
      <c r="E1566" t="s">
        <v>26</v>
      </c>
      <c r="F1566" t="s">
        <v>86</v>
      </c>
      <c r="G1566" t="s">
        <v>127</v>
      </c>
      <c r="H1566">
        <v>1</v>
      </c>
      <c r="I1566" s="21">
        <v>40514</v>
      </c>
      <c r="J1566">
        <v>10</v>
      </c>
      <c r="K1566" s="21">
        <v>4051.4</v>
      </c>
      <c r="L1566" s="21">
        <v>36462.6</v>
      </c>
      <c r="M1566" s="21">
        <v>22246.45</v>
      </c>
      <c r="N1566" s="21">
        <v>14216.15</v>
      </c>
      <c r="O1566" t="s">
        <v>55</v>
      </c>
      <c r="P1566" s="21">
        <v>1333.05</v>
      </c>
      <c r="Q1566" t="s">
        <v>73</v>
      </c>
      <c r="R1566" t="s">
        <v>41</v>
      </c>
      <c r="S1566">
        <v>2</v>
      </c>
      <c r="T1566">
        <v>3</v>
      </c>
      <c r="U1566" t="s">
        <v>56</v>
      </c>
      <c r="V1566" t="s">
        <v>33</v>
      </c>
      <c r="W1566">
        <v>5</v>
      </c>
    </row>
    <row r="1567" spans="1:23" x14ac:dyDescent="0.25">
      <c r="A1567" t="s">
        <v>2209</v>
      </c>
      <c r="B1567" s="1">
        <v>45826</v>
      </c>
      <c r="C1567" t="s">
        <v>714</v>
      </c>
      <c r="D1567" t="s">
        <v>154</v>
      </c>
      <c r="E1567" t="s">
        <v>46</v>
      </c>
      <c r="F1567" t="s">
        <v>27</v>
      </c>
      <c r="G1567" t="s">
        <v>28</v>
      </c>
      <c r="H1567">
        <v>2</v>
      </c>
      <c r="I1567" s="21">
        <v>19453</v>
      </c>
      <c r="J1567">
        <v>5</v>
      </c>
      <c r="K1567" s="21">
        <v>1945.3</v>
      </c>
      <c r="L1567" s="21">
        <v>36960.699999999997</v>
      </c>
      <c r="M1567" s="21">
        <v>23306.82</v>
      </c>
      <c r="N1567" s="21">
        <v>13653.88</v>
      </c>
      <c r="O1567" t="s">
        <v>49</v>
      </c>
      <c r="P1567" s="21">
        <v>211.97</v>
      </c>
      <c r="Q1567" t="s">
        <v>30</v>
      </c>
      <c r="R1567" t="s">
        <v>41</v>
      </c>
      <c r="S1567">
        <v>2</v>
      </c>
      <c r="T1567">
        <v>1</v>
      </c>
      <c r="U1567" t="s">
        <v>32</v>
      </c>
      <c r="V1567" t="s">
        <v>33</v>
      </c>
      <c r="W1567">
        <v>2</v>
      </c>
    </row>
    <row r="1568" spans="1:23" x14ac:dyDescent="0.25">
      <c r="A1568" t="s">
        <v>2210</v>
      </c>
      <c r="B1568" s="1">
        <v>46001</v>
      </c>
      <c r="C1568" t="s">
        <v>882</v>
      </c>
      <c r="D1568" t="s">
        <v>90</v>
      </c>
      <c r="E1568" t="s">
        <v>46</v>
      </c>
      <c r="F1568" t="s">
        <v>27</v>
      </c>
      <c r="G1568" t="s">
        <v>164</v>
      </c>
      <c r="H1568">
        <v>1</v>
      </c>
      <c r="I1568" s="21">
        <v>10994</v>
      </c>
      <c r="J1568">
        <v>10</v>
      </c>
      <c r="K1568" s="21">
        <v>1099.4000000000001</v>
      </c>
      <c r="L1568" s="21">
        <v>9894.6</v>
      </c>
      <c r="M1568" s="21">
        <v>6084.25</v>
      </c>
      <c r="N1568" s="21">
        <v>3810.35</v>
      </c>
      <c r="O1568" t="s">
        <v>55</v>
      </c>
      <c r="P1568" s="21">
        <v>1434.09</v>
      </c>
      <c r="Q1568" t="s">
        <v>68</v>
      </c>
      <c r="R1568" t="s">
        <v>41</v>
      </c>
      <c r="S1568">
        <v>2</v>
      </c>
      <c r="T1568">
        <v>2</v>
      </c>
      <c r="U1568" t="s">
        <v>32</v>
      </c>
      <c r="V1568" t="s">
        <v>33</v>
      </c>
      <c r="W1568">
        <v>5</v>
      </c>
    </row>
    <row r="1569" spans="1:23" x14ac:dyDescent="0.25">
      <c r="A1569" t="s">
        <v>2211</v>
      </c>
      <c r="B1569" s="1">
        <v>45720</v>
      </c>
      <c r="C1569" t="s">
        <v>447</v>
      </c>
      <c r="D1569" t="s">
        <v>67</v>
      </c>
      <c r="E1569" t="s">
        <v>46</v>
      </c>
      <c r="F1569" t="s">
        <v>47</v>
      </c>
      <c r="G1569" t="s">
        <v>48</v>
      </c>
      <c r="H1569">
        <v>1</v>
      </c>
      <c r="I1569" s="21">
        <v>29453</v>
      </c>
      <c r="J1569">
        <v>10</v>
      </c>
      <c r="K1569" s="21">
        <v>2945.3</v>
      </c>
      <c r="L1569" s="21">
        <v>26507.7</v>
      </c>
      <c r="M1569" s="21">
        <v>15260.81</v>
      </c>
      <c r="N1569" s="21">
        <v>11246.89</v>
      </c>
      <c r="O1569" t="s">
        <v>29</v>
      </c>
      <c r="P1569" s="21">
        <v>1060.4100000000001</v>
      </c>
      <c r="Q1569" t="s">
        <v>68</v>
      </c>
      <c r="R1569" t="s">
        <v>41</v>
      </c>
      <c r="S1569">
        <v>2</v>
      </c>
      <c r="T1569">
        <v>5</v>
      </c>
      <c r="U1569" t="s">
        <v>32</v>
      </c>
      <c r="V1569" t="s">
        <v>42</v>
      </c>
    </row>
    <row r="1570" spans="1:23" x14ac:dyDescent="0.25">
      <c r="A1570" t="s">
        <v>2212</v>
      </c>
      <c r="B1570" s="1">
        <v>45868</v>
      </c>
      <c r="C1570" t="s">
        <v>1033</v>
      </c>
      <c r="D1570" t="s">
        <v>124</v>
      </c>
      <c r="E1570" t="s">
        <v>26</v>
      </c>
      <c r="F1570" t="s">
        <v>37</v>
      </c>
      <c r="G1570" t="s">
        <v>313</v>
      </c>
      <c r="H1570">
        <v>3</v>
      </c>
      <c r="I1570" s="21">
        <v>26545</v>
      </c>
      <c r="J1570">
        <v>20</v>
      </c>
      <c r="K1570" s="21">
        <v>15927</v>
      </c>
      <c r="L1570" s="21">
        <v>63708</v>
      </c>
      <c r="M1570" s="21">
        <v>47885.87</v>
      </c>
      <c r="N1570" s="21">
        <v>15822.13</v>
      </c>
      <c r="O1570" t="s">
        <v>91</v>
      </c>
      <c r="P1570" s="21">
        <v>2334.3200000000002</v>
      </c>
      <c r="Q1570" t="s">
        <v>83</v>
      </c>
      <c r="R1570" t="s">
        <v>41</v>
      </c>
      <c r="S1570">
        <v>2</v>
      </c>
      <c r="T1570">
        <v>1</v>
      </c>
      <c r="U1570" t="s">
        <v>32</v>
      </c>
      <c r="V1570" t="s">
        <v>33</v>
      </c>
      <c r="W1570">
        <v>3</v>
      </c>
    </row>
    <row r="1571" spans="1:23" x14ac:dyDescent="0.25">
      <c r="A1571" t="s">
        <v>2213</v>
      </c>
      <c r="B1571" s="1">
        <v>45839</v>
      </c>
      <c r="C1571" t="s">
        <v>1271</v>
      </c>
      <c r="D1571" t="s">
        <v>154</v>
      </c>
      <c r="E1571" t="s">
        <v>26</v>
      </c>
      <c r="F1571" t="s">
        <v>27</v>
      </c>
      <c r="G1571" t="s">
        <v>113</v>
      </c>
      <c r="H1571">
        <v>1</v>
      </c>
      <c r="I1571" s="21">
        <v>16952</v>
      </c>
      <c r="J1571">
        <v>5</v>
      </c>
      <c r="K1571" s="21">
        <v>847.6</v>
      </c>
      <c r="L1571" s="21">
        <v>16104.4</v>
      </c>
      <c r="M1571" s="21">
        <v>9785.34</v>
      </c>
      <c r="N1571" s="21">
        <v>6319.06</v>
      </c>
      <c r="O1571" t="s">
        <v>29</v>
      </c>
      <c r="P1571" s="21">
        <v>891.34</v>
      </c>
      <c r="Q1571" t="s">
        <v>30</v>
      </c>
      <c r="R1571" t="s">
        <v>41</v>
      </c>
      <c r="S1571">
        <v>2</v>
      </c>
      <c r="T1571">
        <v>3</v>
      </c>
      <c r="U1571" t="s">
        <v>32</v>
      </c>
      <c r="V1571" t="s">
        <v>50</v>
      </c>
      <c r="W1571">
        <v>1</v>
      </c>
    </row>
    <row r="1572" spans="1:23" x14ac:dyDescent="0.25">
      <c r="A1572" t="s">
        <v>2214</v>
      </c>
      <c r="B1572" s="1">
        <v>45998</v>
      </c>
      <c r="C1572" t="s">
        <v>576</v>
      </c>
      <c r="D1572" t="s">
        <v>45</v>
      </c>
      <c r="E1572" t="s">
        <v>26</v>
      </c>
      <c r="F1572" t="s">
        <v>53</v>
      </c>
      <c r="G1572" t="s">
        <v>59</v>
      </c>
      <c r="H1572">
        <v>1</v>
      </c>
      <c r="I1572" s="21">
        <v>104621</v>
      </c>
      <c r="J1572">
        <v>10</v>
      </c>
      <c r="K1572" s="21">
        <v>10462.1</v>
      </c>
      <c r="L1572" s="21">
        <v>94158.9</v>
      </c>
      <c r="M1572" s="21">
        <v>54952.18</v>
      </c>
      <c r="N1572" s="21">
        <v>39206.720000000001</v>
      </c>
      <c r="O1572" t="s">
        <v>60</v>
      </c>
      <c r="P1572" s="21">
        <v>982.1</v>
      </c>
      <c r="Q1572" t="s">
        <v>83</v>
      </c>
      <c r="R1572" t="s">
        <v>41</v>
      </c>
      <c r="S1572">
        <v>2</v>
      </c>
      <c r="T1572">
        <v>3</v>
      </c>
      <c r="U1572" t="s">
        <v>56</v>
      </c>
      <c r="V1572" t="s">
        <v>33</v>
      </c>
      <c r="W1572">
        <v>5</v>
      </c>
    </row>
    <row r="1573" spans="1:23" x14ac:dyDescent="0.25">
      <c r="A1573" t="s">
        <v>2215</v>
      </c>
      <c r="B1573" s="1">
        <v>45874</v>
      </c>
      <c r="C1573" t="s">
        <v>1311</v>
      </c>
      <c r="D1573" t="s">
        <v>63</v>
      </c>
      <c r="E1573" t="s">
        <v>26</v>
      </c>
      <c r="F1573" t="s">
        <v>37</v>
      </c>
      <c r="G1573" t="s">
        <v>161</v>
      </c>
      <c r="H1573">
        <v>1</v>
      </c>
      <c r="I1573" s="21">
        <v>29447</v>
      </c>
      <c r="J1573">
        <v>0</v>
      </c>
      <c r="K1573" s="21">
        <v>0</v>
      </c>
      <c r="L1573" s="21">
        <v>29447</v>
      </c>
      <c r="M1573" s="21">
        <v>16349.26</v>
      </c>
      <c r="N1573" s="21">
        <v>13097.74</v>
      </c>
      <c r="O1573" t="s">
        <v>39</v>
      </c>
      <c r="P1573" s="21">
        <v>1758.95</v>
      </c>
      <c r="Q1573" t="s">
        <v>83</v>
      </c>
      <c r="R1573" t="s">
        <v>41</v>
      </c>
      <c r="S1573">
        <v>2</v>
      </c>
      <c r="T1573">
        <v>1</v>
      </c>
      <c r="U1573" t="s">
        <v>32</v>
      </c>
      <c r="V1573" t="s">
        <v>33</v>
      </c>
      <c r="W1573">
        <v>5</v>
      </c>
    </row>
    <row r="1574" spans="1:23" x14ac:dyDescent="0.25">
      <c r="A1574" t="s">
        <v>2216</v>
      </c>
      <c r="B1574" s="1">
        <v>45684</v>
      </c>
      <c r="C1574" t="s">
        <v>1449</v>
      </c>
      <c r="D1574" t="s">
        <v>71</v>
      </c>
      <c r="E1574" t="s">
        <v>26</v>
      </c>
      <c r="F1574" t="s">
        <v>53</v>
      </c>
      <c r="G1574" t="s">
        <v>54</v>
      </c>
      <c r="H1574">
        <v>2</v>
      </c>
      <c r="I1574" s="21">
        <v>84317</v>
      </c>
      <c r="J1574">
        <v>0</v>
      </c>
      <c r="K1574" s="21">
        <v>0</v>
      </c>
      <c r="L1574" s="21">
        <v>168634</v>
      </c>
      <c r="M1574" s="21">
        <v>135737.38</v>
      </c>
      <c r="N1574" s="21">
        <v>32896.620000000003</v>
      </c>
      <c r="O1574" t="s">
        <v>60</v>
      </c>
      <c r="P1574" s="21">
        <v>425.09</v>
      </c>
      <c r="Q1574" t="s">
        <v>68</v>
      </c>
      <c r="R1574" t="s">
        <v>41</v>
      </c>
      <c r="S1574">
        <v>2</v>
      </c>
      <c r="T1574">
        <v>2</v>
      </c>
      <c r="U1574" t="s">
        <v>32</v>
      </c>
      <c r="V1574" t="s">
        <v>33</v>
      </c>
      <c r="W1574">
        <v>5</v>
      </c>
    </row>
    <row r="1575" spans="1:23" x14ac:dyDescent="0.25">
      <c r="A1575" t="s">
        <v>2217</v>
      </c>
      <c r="B1575" s="1">
        <v>45805</v>
      </c>
      <c r="C1575" t="s">
        <v>766</v>
      </c>
      <c r="D1575" t="s">
        <v>124</v>
      </c>
      <c r="E1575" t="s">
        <v>26</v>
      </c>
      <c r="F1575" t="s">
        <v>53</v>
      </c>
      <c r="G1575" t="s">
        <v>59</v>
      </c>
      <c r="H1575">
        <v>2</v>
      </c>
      <c r="I1575" s="21">
        <v>85726</v>
      </c>
      <c r="J1575">
        <v>10</v>
      </c>
      <c r="K1575" s="21">
        <v>17145.2</v>
      </c>
      <c r="L1575" s="21">
        <v>154306.79999999999</v>
      </c>
      <c r="M1575" s="21">
        <v>126457.18</v>
      </c>
      <c r="N1575" s="21">
        <v>27849.62</v>
      </c>
      <c r="O1575" t="s">
        <v>49</v>
      </c>
      <c r="P1575" s="21">
        <v>215.61</v>
      </c>
      <c r="Q1575" t="s">
        <v>73</v>
      </c>
      <c r="R1575" t="s">
        <v>41</v>
      </c>
      <c r="S1575">
        <v>2</v>
      </c>
      <c r="T1575">
        <v>1</v>
      </c>
      <c r="U1575" t="s">
        <v>32</v>
      </c>
      <c r="V1575" t="s">
        <v>33</v>
      </c>
      <c r="W1575">
        <v>2</v>
      </c>
    </row>
    <row r="1576" spans="1:23" x14ac:dyDescent="0.25">
      <c r="A1576" t="s">
        <v>2218</v>
      </c>
      <c r="B1576" s="1">
        <v>45965</v>
      </c>
      <c r="C1576" t="s">
        <v>1195</v>
      </c>
      <c r="D1576" t="s">
        <v>90</v>
      </c>
      <c r="E1576" t="s">
        <v>46</v>
      </c>
      <c r="F1576" t="s">
        <v>37</v>
      </c>
      <c r="G1576" t="s">
        <v>38</v>
      </c>
      <c r="H1576">
        <v>1</v>
      </c>
      <c r="I1576" s="21">
        <v>9595</v>
      </c>
      <c r="J1576">
        <v>5</v>
      </c>
      <c r="K1576" s="21">
        <v>479.75</v>
      </c>
      <c r="L1576" s="21">
        <v>9115.25</v>
      </c>
      <c r="M1576" s="21">
        <v>5580.64</v>
      </c>
      <c r="N1576" s="21">
        <v>3534.61</v>
      </c>
      <c r="O1576" t="s">
        <v>60</v>
      </c>
      <c r="P1576" s="21">
        <v>645.85</v>
      </c>
      <c r="Q1576" t="s">
        <v>83</v>
      </c>
      <c r="R1576" t="s">
        <v>31</v>
      </c>
      <c r="S1576">
        <v>5</v>
      </c>
      <c r="T1576">
        <v>5</v>
      </c>
      <c r="U1576" t="s">
        <v>32</v>
      </c>
      <c r="V1576" t="s">
        <v>33</v>
      </c>
      <c r="W1576">
        <v>5</v>
      </c>
    </row>
    <row r="1577" spans="1:23" x14ac:dyDescent="0.25">
      <c r="A1577" t="s">
        <v>2219</v>
      </c>
      <c r="B1577" s="1">
        <v>45817</v>
      </c>
      <c r="C1577" t="s">
        <v>303</v>
      </c>
      <c r="D1577" t="s">
        <v>90</v>
      </c>
      <c r="E1577" t="s">
        <v>26</v>
      </c>
      <c r="F1577" t="s">
        <v>53</v>
      </c>
      <c r="G1577" t="s">
        <v>59</v>
      </c>
      <c r="H1577">
        <v>3</v>
      </c>
      <c r="I1577" s="21">
        <v>30622</v>
      </c>
      <c r="J1577">
        <v>15</v>
      </c>
      <c r="K1577" s="21">
        <v>13779.9</v>
      </c>
      <c r="L1577" s="21">
        <v>78086.100000000006</v>
      </c>
      <c r="M1577" s="21">
        <v>51490.05</v>
      </c>
      <c r="N1577" s="21">
        <v>26596.05</v>
      </c>
      <c r="O1577" t="s">
        <v>29</v>
      </c>
      <c r="P1577" s="21">
        <v>1838.22</v>
      </c>
      <c r="Q1577" t="s">
        <v>40</v>
      </c>
      <c r="R1577" t="s">
        <v>31</v>
      </c>
      <c r="S1577">
        <v>5</v>
      </c>
      <c r="T1577">
        <v>2</v>
      </c>
      <c r="U1577" t="s">
        <v>32</v>
      </c>
      <c r="V1577" t="s">
        <v>50</v>
      </c>
      <c r="W1577">
        <v>4</v>
      </c>
    </row>
    <row r="1578" spans="1:23" x14ac:dyDescent="0.25">
      <c r="A1578" t="s">
        <v>2220</v>
      </c>
      <c r="B1578" s="1">
        <v>45838</v>
      </c>
      <c r="C1578" t="s">
        <v>241</v>
      </c>
      <c r="D1578" t="s">
        <v>63</v>
      </c>
      <c r="E1578" t="s">
        <v>36</v>
      </c>
      <c r="F1578" t="s">
        <v>27</v>
      </c>
      <c r="G1578" t="s">
        <v>113</v>
      </c>
      <c r="H1578">
        <v>1</v>
      </c>
      <c r="I1578" s="21">
        <v>25264</v>
      </c>
      <c r="J1578">
        <v>20</v>
      </c>
      <c r="K1578" s="21">
        <v>5052.8</v>
      </c>
      <c r="L1578" s="21">
        <v>20211.2</v>
      </c>
      <c r="M1578" s="21">
        <v>14791.71</v>
      </c>
      <c r="N1578" s="21">
        <v>5419.49</v>
      </c>
      <c r="O1578" t="s">
        <v>29</v>
      </c>
      <c r="P1578" s="21">
        <v>1646.45</v>
      </c>
      <c r="Q1578" t="s">
        <v>73</v>
      </c>
      <c r="R1578" t="s">
        <v>41</v>
      </c>
      <c r="S1578">
        <v>2</v>
      </c>
      <c r="T1578">
        <v>1</v>
      </c>
      <c r="U1578" t="s">
        <v>32</v>
      </c>
      <c r="V1578" t="s">
        <v>33</v>
      </c>
      <c r="W1578">
        <v>5</v>
      </c>
    </row>
    <row r="1579" spans="1:23" x14ac:dyDescent="0.25">
      <c r="A1579" t="s">
        <v>2221</v>
      </c>
      <c r="B1579" s="1">
        <v>45711</v>
      </c>
      <c r="C1579" t="s">
        <v>668</v>
      </c>
      <c r="D1579" t="s">
        <v>90</v>
      </c>
      <c r="E1579" t="s">
        <v>46</v>
      </c>
      <c r="F1579" t="s">
        <v>37</v>
      </c>
      <c r="G1579" t="s">
        <v>161</v>
      </c>
      <c r="H1579">
        <v>2</v>
      </c>
      <c r="I1579" s="21">
        <v>34859</v>
      </c>
      <c r="J1579">
        <v>10</v>
      </c>
      <c r="K1579" s="21">
        <v>6971.8</v>
      </c>
      <c r="L1579" s="21">
        <v>62746.2</v>
      </c>
      <c r="M1579" s="21">
        <v>46497.21</v>
      </c>
      <c r="N1579" s="21">
        <v>16248.99</v>
      </c>
      <c r="O1579" t="s">
        <v>29</v>
      </c>
      <c r="P1579" s="21">
        <v>2187.16</v>
      </c>
      <c r="Q1579" t="s">
        <v>40</v>
      </c>
      <c r="R1579" t="s">
        <v>31</v>
      </c>
      <c r="S1579">
        <v>5</v>
      </c>
      <c r="T1579">
        <v>7</v>
      </c>
      <c r="U1579" t="s">
        <v>56</v>
      </c>
      <c r="V1579" t="s">
        <v>33</v>
      </c>
      <c r="W1579">
        <v>5</v>
      </c>
    </row>
    <row r="1580" spans="1:23" x14ac:dyDescent="0.25">
      <c r="A1580" t="s">
        <v>2222</v>
      </c>
      <c r="B1580" s="1">
        <v>45953</v>
      </c>
      <c r="C1580" t="s">
        <v>945</v>
      </c>
      <c r="D1580" t="s">
        <v>79</v>
      </c>
      <c r="E1580" t="s">
        <v>36</v>
      </c>
      <c r="F1580" t="s">
        <v>27</v>
      </c>
      <c r="G1580" t="s">
        <v>113</v>
      </c>
      <c r="H1580">
        <v>2</v>
      </c>
      <c r="I1580" s="21">
        <v>12145</v>
      </c>
      <c r="J1580">
        <v>10</v>
      </c>
      <c r="K1580" s="21">
        <v>2429</v>
      </c>
      <c r="L1580" s="21">
        <v>21861</v>
      </c>
      <c r="M1580" s="21">
        <v>17139.439999999999</v>
      </c>
      <c r="N1580" s="21">
        <v>4721.5600000000004</v>
      </c>
      <c r="O1580" t="s">
        <v>55</v>
      </c>
      <c r="P1580" s="21">
        <v>1546.84</v>
      </c>
      <c r="Q1580" t="s">
        <v>40</v>
      </c>
      <c r="R1580" t="s">
        <v>31</v>
      </c>
      <c r="S1580">
        <v>5</v>
      </c>
      <c r="T1580">
        <v>3</v>
      </c>
      <c r="U1580" t="s">
        <v>32</v>
      </c>
      <c r="V1580" t="s">
        <v>33</v>
      </c>
      <c r="W1580">
        <v>1</v>
      </c>
    </row>
    <row r="1581" spans="1:23" x14ac:dyDescent="0.25">
      <c r="A1581" t="s">
        <v>2223</v>
      </c>
      <c r="B1581" s="1">
        <v>45917</v>
      </c>
      <c r="C1581" t="s">
        <v>814</v>
      </c>
      <c r="D1581" t="s">
        <v>45</v>
      </c>
      <c r="E1581" t="s">
        <v>46</v>
      </c>
      <c r="F1581" t="s">
        <v>37</v>
      </c>
      <c r="G1581" t="s">
        <v>161</v>
      </c>
      <c r="H1581">
        <v>2</v>
      </c>
      <c r="I1581" s="21">
        <v>21881</v>
      </c>
      <c r="J1581">
        <v>15</v>
      </c>
      <c r="K1581" s="21">
        <v>6564.3</v>
      </c>
      <c r="L1581" s="21">
        <v>37197.699999999997</v>
      </c>
      <c r="M1581" s="21">
        <v>29645.55</v>
      </c>
      <c r="N1581" s="21">
        <v>7552.15</v>
      </c>
      <c r="O1581" t="s">
        <v>39</v>
      </c>
      <c r="P1581" s="21">
        <v>1778.81</v>
      </c>
      <c r="Q1581" t="s">
        <v>73</v>
      </c>
      <c r="R1581" t="s">
        <v>31</v>
      </c>
      <c r="S1581">
        <v>5</v>
      </c>
      <c r="T1581">
        <v>1</v>
      </c>
      <c r="U1581" t="s">
        <v>32</v>
      </c>
      <c r="V1581" t="s">
        <v>50</v>
      </c>
      <c r="W1581">
        <v>3</v>
      </c>
    </row>
    <row r="1582" spans="1:23" x14ac:dyDescent="0.25">
      <c r="A1582" t="s">
        <v>2224</v>
      </c>
      <c r="B1582" s="1">
        <v>45766</v>
      </c>
      <c r="C1582" t="s">
        <v>1663</v>
      </c>
      <c r="D1582" t="s">
        <v>79</v>
      </c>
      <c r="E1582" t="s">
        <v>46</v>
      </c>
      <c r="F1582" t="s">
        <v>86</v>
      </c>
      <c r="G1582" t="s">
        <v>94</v>
      </c>
      <c r="H1582">
        <v>2</v>
      </c>
      <c r="I1582" s="21">
        <v>50906</v>
      </c>
      <c r="J1582">
        <v>15</v>
      </c>
      <c r="K1582" s="21">
        <v>15271.8</v>
      </c>
      <c r="L1582" s="21">
        <v>86540.2</v>
      </c>
      <c r="M1582" s="21">
        <v>69125.62</v>
      </c>
      <c r="N1582" s="21">
        <v>17414.580000000002</v>
      </c>
      <c r="O1582" t="s">
        <v>29</v>
      </c>
      <c r="P1582" s="21">
        <v>977.69</v>
      </c>
      <c r="Q1582" t="s">
        <v>83</v>
      </c>
      <c r="R1582" t="s">
        <v>31</v>
      </c>
      <c r="S1582">
        <v>5</v>
      </c>
      <c r="T1582">
        <v>5</v>
      </c>
      <c r="U1582" t="s">
        <v>32</v>
      </c>
      <c r="V1582" t="s">
        <v>33</v>
      </c>
      <c r="W1582">
        <v>5</v>
      </c>
    </row>
    <row r="1583" spans="1:23" x14ac:dyDescent="0.25">
      <c r="A1583" t="s">
        <v>2225</v>
      </c>
      <c r="B1583" s="1">
        <v>45737</v>
      </c>
      <c r="C1583" t="s">
        <v>1695</v>
      </c>
      <c r="D1583" t="s">
        <v>79</v>
      </c>
      <c r="E1583" t="s">
        <v>26</v>
      </c>
      <c r="F1583" t="s">
        <v>47</v>
      </c>
      <c r="G1583" t="s">
        <v>64</v>
      </c>
      <c r="H1583">
        <v>1</v>
      </c>
      <c r="I1583" s="21">
        <v>35104</v>
      </c>
      <c r="J1583">
        <v>25</v>
      </c>
      <c r="K1583" s="21">
        <v>8776</v>
      </c>
      <c r="L1583" s="21">
        <v>26328</v>
      </c>
      <c r="M1583" s="21">
        <v>20015.080000000002</v>
      </c>
      <c r="N1583" s="21">
        <v>6312.92</v>
      </c>
      <c r="O1583" t="s">
        <v>49</v>
      </c>
      <c r="P1583" s="21">
        <v>167.08</v>
      </c>
      <c r="Q1583" t="s">
        <v>68</v>
      </c>
      <c r="R1583" t="s">
        <v>41</v>
      </c>
      <c r="S1583">
        <v>2</v>
      </c>
      <c r="T1583">
        <v>4</v>
      </c>
      <c r="U1583" t="s">
        <v>56</v>
      </c>
      <c r="V1583" t="s">
        <v>33</v>
      </c>
      <c r="W1583">
        <v>1</v>
      </c>
    </row>
    <row r="1584" spans="1:23" x14ac:dyDescent="0.25">
      <c r="A1584" t="s">
        <v>2226</v>
      </c>
      <c r="B1584" s="1">
        <v>45994</v>
      </c>
      <c r="C1584" t="s">
        <v>958</v>
      </c>
      <c r="D1584" t="s">
        <v>63</v>
      </c>
      <c r="E1584" t="s">
        <v>26</v>
      </c>
      <c r="F1584" t="s">
        <v>47</v>
      </c>
      <c r="G1584" t="s">
        <v>138</v>
      </c>
      <c r="H1584">
        <v>1</v>
      </c>
      <c r="I1584" s="21">
        <v>24495</v>
      </c>
      <c r="J1584">
        <v>0</v>
      </c>
      <c r="K1584" s="21">
        <v>0</v>
      </c>
      <c r="L1584" s="21">
        <v>24495</v>
      </c>
      <c r="M1584" s="21">
        <v>16401.54</v>
      </c>
      <c r="N1584" s="21">
        <v>8093.46</v>
      </c>
      <c r="O1584" t="s">
        <v>49</v>
      </c>
      <c r="P1584" s="21">
        <v>55.14</v>
      </c>
      <c r="Q1584" t="s">
        <v>83</v>
      </c>
      <c r="R1584" t="s">
        <v>31</v>
      </c>
      <c r="S1584">
        <v>5</v>
      </c>
      <c r="T1584">
        <v>3</v>
      </c>
      <c r="U1584" t="s">
        <v>32</v>
      </c>
      <c r="V1584" t="s">
        <v>42</v>
      </c>
    </row>
    <row r="1585" spans="1:23" x14ac:dyDescent="0.25">
      <c r="A1585" t="s">
        <v>2227</v>
      </c>
      <c r="B1585" s="1">
        <v>45904</v>
      </c>
      <c r="C1585" t="s">
        <v>702</v>
      </c>
      <c r="D1585" t="s">
        <v>63</v>
      </c>
      <c r="E1585" t="s">
        <v>36</v>
      </c>
      <c r="F1585" t="s">
        <v>37</v>
      </c>
      <c r="G1585" t="s">
        <v>100</v>
      </c>
      <c r="H1585">
        <v>1</v>
      </c>
      <c r="I1585" s="21">
        <v>35664</v>
      </c>
      <c r="J1585">
        <v>15</v>
      </c>
      <c r="K1585" s="21">
        <v>5349.6</v>
      </c>
      <c r="L1585" s="21">
        <v>30314.400000000001</v>
      </c>
      <c r="M1585" s="21">
        <v>17560.22</v>
      </c>
      <c r="N1585" s="21">
        <v>12754.18</v>
      </c>
      <c r="O1585" t="s">
        <v>60</v>
      </c>
      <c r="P1585" s="21">
        <v>1269.57</v>
      </c>
      <c r="Q1585" t="s">
        <v>68</v>
      </c>
      <c r="R1585" t="s">
        <v>31</v>
      </c>
      <c r="S1585">
        <v>5</v>
      </c>
      <c r="T1585">
        <v>6</v>
      </c>
      <c r="U1585" t="s">
        <v>32</v>
      </c>
      <c r="V1585" t="s">
        <v>42</v>
      </c>
    </row>
    <row r="1586" spans="1:23" x14ac:dyDescent="0.25">
      <c r="A1586" t="s">
        <v>2228</v>
      </c>
      <c r="B1586" s="1">
        <v>45772</v>
      </c>
      <c r="C1586" t="s">
        <v>1339</v>
      </c>
      <c r="D1586" t="s">
        <v>67</v>
      </c>
      <c r="E1586" t="s">
        <v>26</v>
      </c>
      <c r="F1586" t="s">
        <v>37</v>
      </c>
      <c r="G1586" t="s">
        <v>313</v>
      </c>
      <c r="H1586">
        <v>2</v>
      </c>
      <c r="I1586" s="21">
        <v>10147</v>
      </c>
      <c r="J1586">
        <v>20</v>
      </c>
      <c r="K1586" s="21">
        <v>4058.8</v>
      </c>
      <c r="L1586" s="21">
        <v>16235.2</v>
      </c>
      <c r="M1586" s="21">
        <v>9574.9699999999993</v>
      </c>
      <c r="N1586" s="21">
        <v>6660.23</v>
      </c>
      <c r="O1586" t="s">
        <v>60</v>
      </c>
      <c r="P1586" s="21">
        <v>313.45</v>
      </c>
      <c r="Q1586" t="s">
        <v>73</v>
      </c>
      <c r="R1586" t="s">
        <v>41</v>
      </c>
      <c r="S1586">
        <v>2</v>
      </c>
      <c r="T1586">
        <v>2</v>
      </c>
      <c r="U1586" t="s">
        <v>32</v>
      </c>
      <c r="V1586" t="s">
        <v>33</v>
      </c>
      <c r="W1586">
        <v>5</v>
      </c>
    </row>
    <row r="1587" spans="1:23" x14ac:dyDescent="0.25">
      <c r="A1587" t="s">
        <v>2229</v>
      </c>
      <c r="B1587" s="1">
        <v>45713</v>
      </c>
      <c r="C1587" t="s">
        <v>668</v>
      </c>
      <c r="D1587" t="s">
        <v>45</v>
      </c>
      <c r="E1587" t="s">
        <v>46</v>
      </c>
      <c r="F1587" t="s">
        <v>53</v>
      </c>
      <c r="G1587" t="s">
        <v>82</v>
      </c>
      <c r="H1587">
        <v>3</v>
      </c>
      <c r="I1587" s="21">
        <v>96986</v>
      </c>
      <c r="J1587">
        <v>15</v>
      </c>
      <c r="K1587" s="21">
        <v>43643.7</v>
      </c>
      <c r="L1587" s="21">
        <v>247314.3</v>
      </c>
      <c r="M1587" s="21">
        <v>153164.15</v>
      </c>
      <c r="N1587" s="21">
        <v>94150.15</v>
      </c>
      <c r="O1587" t="s">
        <v>91</v>
      </c>
      <c r="P1587" s="21">
        <v>451.13</v>
      </c>
      <c r="Q1587" t="s">
        <v>40</v>
      </c>
      <c r="R1587" t="s">
        <v>41</v>
      </c>
      <c r="S1587">
        <v>2</v>
      </c>
      <c r="T1587">
        <v>3</v>
      </c>
      <c r="U1587" t="s">
        <v>56</v>
      </c>
      <c r="V1587" t="s">
        <v>33</v>
      </c>
      <c r="W1587">
        <v>3</v>
      </c>
    </row>
    <row r="1588" spans="1:23" x14ac:dyDescent="0.25">
      <c r="A1588" t="s">
        <v>2230</v>
      </c>
      <c r="B1588" s="1">
        <v>45837</v>
      </c>
      <c r="C1588" t="s">
        <v>213</v>
      </c>
      <c r="D1588" t="s">
        <v>25</v>
      </c>
      <c r="E1588" t="s">
        <v>36</v>
      </c>
      <c r="F1588" t="s">
        <v>53</v>
      </c>
      <c r="G1588" t="s">
        <v>54</v>
      </c>
      <c r="H1588">
        <v>2</v>
      </c>
      <c r="I1588" s="21">
        <v>88852</v>
      </c>
      <c r="J1588">
        <v>0</v>
      </c>
      <c r="K1588" s="21">
        <v>0</v>
      </c>
      <c r="L1588" s="21">
        <v>177704</v>
      </c>
      <c r="M1588" s="21">
        <v>144050.26999999999</v>
      </c>
      <c r="N1588" s="21">
        <v>33653.730000000003</v>
      </c>
      <c r="O1588" t="s">
        <v>49</v>
      </c>
      <c r="P1588" s="21">
        <v>153.26</v>
      </c>
      <c r="Q1588" t="s">
        <v>68</v>
      </c>
      <c r="R1588" t="s">
        <v>41</v>
      </c>
      <c r="S1588">
        <v>2</v>
      </c>
      <c r="T1588">
        <v>5</v>
      </c>
      <c r="U1588" t="s">
        <v>32</v>
      </c>
      <c r="V1588" t="s">
        <v>50</v>
      </c>
      <c r="W1588">
        <v>1</v>
      </c>
    </row>
    <row r="1589" spans="1:23" x14ac:dyDescent="0.25">
      <c r="A1589" t="s">
        <v>2231</v>
      </c>
      <c r="B1589" s="1">
        <v>45942</v>
      </c>
      <c r="C1589" t="s">
        <v>129</v>
      </c>
      <c r="D1589" t="s">
        <v>90</v>
      </c>
      <c r="E1589" t="s">
        <v>26</v>
      </c>
      <c r="F1589" t="s">
        <v>86</v>
      </c>
      <c r="G1589" t="s">
        <v>180</v>
      </c>
      <c r="H1589">
        <v>2</v>
      </c>
      <c r="I1589" s="21">
        <v>81218</v>
      </c>
      <c r="J1589">
        <v>15</v>
      </c>
      <c r="K1589" s="21">
        <v>24365.4</v>
      </c>
      <c r="L1589" s="21">
        <v>138070.6</v>
      </c>
      <c r="M1589" s="21">
        <v>112974.46</v>
      </c>
      <c r="N1589" s="21">
        <v>25096.14</v>
      </c>
      <c r="O1589" t="s">
        <v>55</v>
      </c>
      <c r="P1589" s="21">
        <v>2395.31</v>
      </c>
      <c r="Q1589" t="s">
        <v>30</v>
      </c>
      <c r="R1589" t="s">
        <v>41</v>
      </c>
      <c r="S1589">
        <v>2</v>
      </c>
      <c r="T1589">
        <v>1</v>
      </c>
      <c r="U1589" t="s">
        <v>32</v>
      </c>
      <c r="V1589" t="s">
        <v>33</v>
      </c>
      <c r="W1589">
        <v>4</v>
      </c>
    </row>
    <row r="1590" spans="1:23" x14ac:dyDescent="0.25">
      <c r="A1590" t="s">
        <v>2232</v>
      </c>
      <c r="B1590" s="1">
        <v>45846</v>
      </c>
      <c r="C1590" t="s">
        <v>345</v>
      </c>
      <c r="D1590" t="s">
        <v>25</v>
      </c>
      <c r="E1590" t="s">
        <v>46</v>
      </c>
      <c r="F1590" t="s">
        <v>86</v>
      </c>
      <c r="G1590" t="s">
        <v>87</v>
      </c>
      <c r="H1590">
        <v>1</v>
      </c>
      <c r="I1590" s="21">
        <v>24159</v>
      </c>
      <c r="J1590">
        <v>0</v>
      </c>
      <c r="K1590" s="21">
        <v>0</v>
      </c>
      <c r="L1590" s="21">
        <v>24159</v>
      </c>
      <c r="M1590" s="21">
        <v>15906.6</v>
      </c>
      <c r="N1590" s="21">
        <v>8252.4</v>
      </c>
      <c r="O1590" t="s">
        <v>91</v>
      </c>
      <c r="P1590" s="21">
        <v>460.09</v>
      </c>
      <c r="Q1590" t="s">
        <v>40</v>
      </c>
      <c r="R1590" t="s">
        <v>31</v>
      </c>
      <c r="S1590">
        <v>5</v>
      </c>
      <c r="T1590">
        <v>3</v>
      </c>
      <c r="U1590" t="s">
        <v>32</v>
      </c>
      <c r="V1590" t="s">
        <v>33</v>
      </c>
      <c r="W1590">
        <v>2</v>
      </c>
    </row>
    <row r="1591" spans="1:23" x14ac:dyDescent="0.25">
      <c r="A1591" t="s">
        <v>2233</v>
      </c>
      <c r="B1591" s="1">
        <v>45716</v>
      </c>
      <c r="C1591" t="s">
        <v>1554</v>
      </c>
      <c r="D1591" t="s">
        <v>67</v>
      </c>
      <c r="E1591" t="s">
        <v>26</v>
      </c>
      <c r="F1591" t="s">
        <v>53</v>
      </c>
      <c r="G1591" t="s">
        <v>82</v>
      </c>
      <c r="H1591">
        <v>1</v>
      </c>
      <c r="I1591" s="21">
        <v>27555</v>
      </c>
      <c r="J1591">
        <v>25</v>
      </c>
      <c r="K1591" s="21">
        <v>6888.75</v>
      </c>
      <c r="L1591" s="21">
        <v>20666.25</v>
      </c>
      <c r="M1591" s="21">
        <v>12654.22</v>
      </c>
      <c r="N1591" s="21">
        <v>8012.03</v>
      </c>
      <c r="O1591" t="s">
        <v>39</v>
      </c>
      <c r="P1591" s="21">
        <v>1769.62</v>
      </c>
      <c r="Q1591" t="s">
        <v>40</v>
      </c>
      <c r="R1591" t="s">
        <v>41</v>
      </c>
      <c r="S1591">
        <v>2</v>
      </c>
      <c r="T1591">
        <v>1</v>
      </c>
      <c r="U1591" t="s">
        <v>32</v>
      </c>
      <c r="V1591" t="s">
        <v>42</v>
      </c>
    </row>
    <row r="1592" spans="1:23" x14ac:dyDescent="0.25">
      <c r="A1592" t="s">
        <v>2234</v>
      </c>
      <c r="B1592" s="1">
        <v>45800</v>
      </c>
      <c r="C1592" t="s">
        <v>1443</v>
      </c>
      <c r="D1592" t="s">
        <v>25</v>
      </c>
      <c r="E1592" t="s">
        <v>46</v>
      </c>
      <c r="F1592" t="s">
        <v>53</v>
      </c>
      <c r="G1592" t="s">
        <v>151</v>
      </c>
      <c r="H1592">
        <v>2</v>
      </c>
      <c r="I1592" s="21">
        <v>20070</v>
      </c>
      <c r="J1592">
        <v>15</v>
      </c>
      <c r="K1592" s="21">
        <v>6021</v>
      </c>
      <c r="L1592" s="21">
        <v>34119</v>
      </c>
      <c r="M1592" s="21">
        <v>24052.38</v>
      </c>
      <c r="N1592" s="21">
        <v>10066.620000000001</v>
      </c>
      <c r="O1592" t="s">
        <v>60</v>
      </c>
      <c r="P1592" s="21">
        <v>2214.9899999999998</v>
      </c>
      <c r="Q1592" t="s">
        <v>83</v>
      </c>
      <c r="R1592" t="s">
        <v>41</v>
      </c>
      <c r="S1592">
        <v>2</v>
      </c>
      <c r="T1592">
        <v>0</v>
      </c>
      <c r="U1592" t="s">
        <v>32</v>
      </c>
      <c r="V1592" t="s">
        <v>50</v>
      </c>
      <c r="W1592">
        <v>1</v>
      </c>
    </row>
    <row r="1593" spans="1:23" x14ac:dyDescent="0.25">
      <c r="A1593" t="s">
        <v>2235</v>
      </c>
      <c r="B1593" s="1">
        <v>45951</v>
      </c>
      <c r="C1593" t="s">
        <v>1940</v>
      </c>
      <c r="D1593" t="s">
        <v>154</v>
      </c>
      <c r="E1593" t="s">
        <v>46</v>
      </c>
      <c r="F1593" t="s">
        <v>86</v>
      </c>
      <c r="G1593" t="s">
        <v>180</v>
      </c>
      <c r="H1593">
        <v>1</v>
      </c>
      <c r="I1593" s="21">
        <v>73269</v>
      </c>
      <c r="J1593">
        <v>0</v>
      </c>
      <c r="K1593" s="21">
        <v>0</v>
      </c>
      <c r="L1593" s="21">
        <v>73269</v>
      </c>
      <c r="M1593" s="21">
        <v>58730.06</v>
      </c>
      <c r="N1593" s="21">
        <v>14538.94</v>
      </c>
      <c r="O1593" t="s">
        <v>29</v>
      </c>
      <c r="P1593" s="21">
        <v>1333.4</v>
      </c>
      <c r="Q1593" t="s">
        <v>30</v>
      </c>
      <c r="R1593" t="s">
        <v>41</v>
      </c>
      <c r="S1593">
        <v>2</v>
      </c>
      <c r="T1593">
        <v>1</v>
      </c>
      <c r="U1593" t="s">
        <v>32</v>
      </c>
      <c r="V1593" t="s">
        <v>33</v>
      </c>
      <c r="W1593">
        <v>1</v>
      </c>
    </row>
    <row r="1594" spans="1:23" x14ac:dyDescent="0.25">
      <c r="A1594" t="s">
        <v>2236</v>
      </c>
      <c r="B1594" s="1">
        <v>45773</v>
      </c>
      <c r="C1594" t="s">
        <v>70</v>
      </c>
      <c r="D1594" t="s">
        <v>124</v>
      </c>
      <c r="E1594" t="s">
        <v>46</v>
      </c>
      <c r="F1594" t="s">
        <v>53</v>
      </c>
      <c r="G1594" t="s">
        <v>54</v>
      </c>
      <c r="H1594">
        <v>1</v>
      </c>
      <c r="I1594" s="21">
        <v>16468</v>
      </c>
      <c r="J1594">
        <v>10</v>
      </c>
      <c r="K1594" s="21">
        <v>1646.8</v>
      </c>
      <c r="L1594" s="21">
        <v>14821.2</v>
      </c>
      <c r="M1594" s="21">
        <v>11793.53</v>
      </c>
      <c r="N1594" s="21">
        <v>3027.67</v>
      </c>
      <c r="O1594" t="s">
        <v>55</v>
      </c>
      <c r="P1594" s="21">
        <v>414.41</v>
      </c>
      <c r="Q1594" t="s">
        <v>30</v>
      </c>
      <c r="R1594" t="s">
        <v>41</v>
      </c>
      <c r="S1594">
        <v>2</v>
      </c>
      <c r="T1594">
        <v>0</v>
      </c>
      <c r="U1594" t="s">
        <v>32</v>
      </c>
      <c r="V1594" t="s">
        <v>50</v>
      </c>
      <c r="W1594">
        <v>3</v>
      </c>
    </row>
    <row r="1595" spans="1:23" x14ac:dyDescent="0.25">
      <c r="A1595" t="s">
        <v>2237</v>
      </c>
      <c r="B1595" s="1">
        <v>45877</v>
      </c>
      <c r="C1595" t="s">
        <v>711</v>
      </c>
      <c r="D1595" t="s">
        <v>97</v>
      </c>
      <c r="E1595" t="s">
        <v>46</v>
      </c>
      <c r="F1595" t="s">
        <v>86</v>
      </c>
      <c r="G1595" t="s">
        <v>110</v>
      </c>
      <c r="H1595">
        <v>1</v>
      </c>
      <c r="I1595" s="21">
        <v>39930</v>
      </c>
      <c r="J1595">
        <v>15</v>
      </c>
      <c r="K1595" s="21">
        <v>5989.5</v>
      </c>
      <c r="L1595" s="21">
        <v>33940.5</v>
      </c>
      <c r="M1595" s="21">
        <v>22859.82</v>
      </c>
      <c r="N1595" s="21">
        <v>11080.68</v>
      </c>
      <c r="O1595" t="s">
        <v>29</v>
      </c>
      <c r="P1595" s="21">
        <v>221.6</v>
      </c>
      <c r="Q1595" t="s">
        <v>73</v>
      </c>
      <c r="R1595" t="s">
        <v>41</v>
      </c>
      <c r="S1595">
        <v>2</v>
      </c>
      <c r="T1595">
        <v>6</v>
      </c>
      <c r="U1595" t="s">
        <v>32</v>
      </c>
      <c r="V1595" t="s">
        <v>50</v>
      </c>
      <c r="W1595">
        <v>1</v>
      </c>
    </row>
    <row r="1596" spans="1:23" x14ac:dyDescent="0.25">
      <c r="A1596" t="s">
        <v>2238</v>
      </c>
      <c r="B1596" s="1">
        <v>45945</v>
      </c>
      <c r="C1596" t="s">
        <v>1805</v>
      </c>
      <c r="D1596" t="s">
        <v>45</v>
      </c>
      <c r="E1596" t="s">
        <v>26</v>
      </c>
      <c r="F1596" t="s">
        <v>47</v>
      </c>
      <c r="G1596" t="s">
        <v>48</v>
      </c>
      <c r="H1596">
        <v>2</v>
      </c>
      <c r="I1596" s="21">
        <v>22281</v>
      </c>
      <c r="J1596">
        <v>5</v>
      </c>
      <c r="K1596" s="21">
        <v>2228.1</v>
      </c>
      <c r="L1596" s="21">
        <v>42333.9</v>
      </c>
      <c r="M1596" s="21">
        <v>23793.51</v>
      </c>
      <c r="N1596" s="21">
        <v>18540.39</v>
      </c>
      <c r="O1596" t="s">
        <v>49</v>
      </c>
      <c r="P1596" s="21">
        <v>311.06</v>
      </c>
      <c r="Q1596" t="s">
        <v>30</v>
      </c>
      <c r="R1596" t="s">
        <v>31</v>
      </c>
      <c r="S1596">
        <v>5</v>
      </c>
      <c r="T1596">
        <v>1</v>
      </c>
      <c r="U1596" t="s">
        <v>32</v>
      </c>
      <c r="V1596" t="s">
        <v>33</v>
      </c>
      <c r="W1596">
        <v>3</v>
      </c>
    </row>
    <row r="1597" spans="1:23" x14ac:dyDescent="0.25">
      <c r="A1597" t="s">
        <v>2239</v>
      </c>
      <c r="B1597" s="1">
        <v>45976</v>
      </c>
      <c r="C1597" t="s">
        <v>1311</v>
      </c>
      <c r="D1597" t="s">
        <v>63</v>
      </c>
      <c r="E1597" t="s">
        <v>46</v>
      </c>
      <c r="F1597" t="s">
        <v>27</v>
      </c>
      <c r="G1597" t="s">
        <v>72</v>
      </c>
      <c r="H1597">
        <v>1</v>
      </c>
      <c r="I1597" s="21">
        <v>4915</v>
      </c>
      <c r="J1597">
        <v>20</v>
      </c>
      <c r="K1597" s="21">
        <v>983</v>
      </c>
      <c r="L1597" s="21">
        <v>3932</v>
      </c>
      <c r="M1597" s="21">
        <v>2932.67</v>
      </c>
      <c r="N1597" s="21">
        <v>999.33</v>
      </c>
      <c r="O1597" t="s">
        <v>39</v>
      </c>
      <c r="P1597" s="21">
        <v>413.28</v>
      </c>
      <c r="Q1597" t="s">
        <v>73</v>
      </c>
      <c r="R1597" t="s">
        <v>31</v>
      </c>
      <c r="S1597">
        <v>5</v>
      </c>
      <c r="T1597">
        <v>2</v>
      </c>
      <c r="U1597" t="s">
        <v>32</v>
      </c>
      <c r="V1597" t="s">
        <v>33</v>
      </c>
      <c r="W1597">
        <v>5</v>
      </c>
    </row>
    <row r="1598" spans="1:23" x14ac:dyDescent="0.25">
      <c r="A1598" t="s">
        <v>2240</v>
      </c>
      <c r="B1598" s="1">
        <v>45972</v>
      </c>
      <c r="C1598" t="s">
        <v>1618</v>
      </c>
      <c r="D1598" t="s">
        <v>63</v>
      </c>
      <c r="E1598" t="s">
        <v>26</v>
      </c>
      <c r="F1598" t="s">
        <v>27</v>
      </c>
      <c r="G1598" t="s">
        <v>164</v>
      </c>
      <c r="H1598">
        <v>1</v>
      </c>
      <c r="I1598" s="21">
        <v>22496</v>
      </c>
      <c r="J1598">
        <v>20</v>
      </c>
      <c r="K1598" s="21">
        <v>4499.2</v>
      </c>
      <c r="L1598" s="21">
        <v>17996.8</v>
      </c>
      <c r="M1598" s="21">
        <v>11907.77</v>
      </c>
      <c r="N1598" s="21">
        <v>6089.03</v>
      </c>
      <c r="O1598" t="s">
        <v>91</v>
      </c>
      <c r="P1598" s="21">
        <v>317.82</v>
      </c>
      <c r="Q1598" t="s">
        <v>40</v>
      </c>
      <c r="R1598" t="s">
        <v>31</v>
      </c>
      <c r="S1598">
        <v>5</v>
      </c>
      <c r="T1598">
        <v>6</v>
      </c>
      <c r="U1598" t="s">
        <v>56</v>
      </c>
      <c r="V1598" t="s">
        <v>33</v>
      </c>
      <c r="W1598">
        <v>1</v>
      </c>
    </row>
    <row r="1599" spans="1:23" x14ac:dyDescent="0.25">
      <c r="A1599" t="s">
        <v>2241</v>
      </c>
      <c r="B1599" s="1">
        <v>46003</v>
      </c>
      <c r="C1599" t="s">
        <v>1769</v>
      </c>
      <c r="D1599" t="s">
        <v>67</v>
      </c>
      <c r="E1599" t="s">
        <v>46</v>
      </c>
      <c r="F1599" t="s">
        <v>27</v>
      </c>
      <c r="G1599" t="s">
        <v>113</v>
      </c>
      <c r="H1599">
        <v>2</v>
      </c>
      <c r="I1599" s="21">
        <v>8410</v>
      </c>
      <c r="J1599">
        <v>20</v>
      </c>
      <c r="K1599" s="21">
        <v>3364</v>
      </c>
      <c r="L1599" s="21">
        <v>13456</v>
      </c>
      <c r="M1599" s="21">
        <v>7951.95</v>
      </c>
      <c r="N1599" s="21">
        <v>5504.05</v>
      </c>
      <c r="O1599" t="s">
        <v>39</v>
      </c>
      <c r="P1599" s="21">
        <v>1365.89</v>
      </c>
      <c r="Q1599" t="s">
        <v>73</v>
      </c>
      <c r="R1599" t="s">
        <v>31</v>
      </c>
      <c r="S1599">
        <v>5</v>
      </c>
      <c r="T1599">
        <v>9</v>
      </c>
      <c r="U1599" t="s">
        <v>56</v>
      </c>
      <c r="V1599" t="s">
        <v>33</v>
      </c>
      <c r="W1599">
        <v>3</v>
      </c>
    </row>
    <row r="1600" spans="1:23" x14ac:dyDescent="0.25">
      <c r="A1600" t="s">
        <v>2242</v>
      </c>
      <c r="B1600" s="1">
        <v>45987</v>
      </c>
      <c r="C1600" t="s">
        <v>633</v>
      </c>
      <c r="D1600" t="s">
        <v>90</v>
      </c>
      <c r="E1600" t="s">
        <v>26</v>
      </c>
      <c r="F1600" t="s">
        <v>53</v>
      </c>
      <c r="G1600" t="s">
        <v>268</v>
      </c>
      <c r="H1600">
        <v>3</v>
      </c>
      <c r="I1600" s="21">
        <v>58836</v>
      </c>
      <c r="J1600">
        <v>0</v>
      </c>
      <c r="K1600" s="21">
        <v>0</v>
      </c>
      <c r="L1600" s="21">
        <v>176508</v>
      </c>
      <c r="M1600" s="21">
        <v>137247.28</v>
      </c>
      <c r="N1600" s="21">
        <v>39260.720000000001</v>
      </c>
      <c r="O1600" t="s">
        <v>29</v>
      </c>
      <c r="P1600" s="21">
        <v>2393.87</v>
      </c>
      <c r="Q1600" t="s">
        <v>30</v>
      </c>
      <c r="R1600" t="s">
        <v>31</v>
      </c>
      <c r="S1600">
        <v>5</v>
      </c>
      <c r="T1600">
        <v>5</v>
      </c>
      <c r="U1600" t="s">
        <v>32</v>
      </c>
      <c r="V1600" t="s">
        <v>33</v>
      </c>
      <c r="W1600">
        <v>5</v>
      </c>
    </row>
    <row r="1601" spans="1:23" x14ac:dyDescent="0.25">
      <c r="A1601" t="s">
        <v>2243</v>
      </c>
      <c r="B1601" s="1">
        <v>45943</v>
      </c>
      <c r="C1601" t="s">
        <v>506</v>
      </c>
      <c r="D1601" t="s">
        <v>154</v>
      </c>
      <c r="E1601" t="s">
        <v>26</v>
      </c>
      <c r="F1601" t="s">
        <v>53</v>
      </c>
      <c r="G1601" t="s">
        <v>268</v>
      </c>
      <c r="H1601">
        <v>1</v>
      </c>
      <c r="I1601" s="21">
        <v>90893</v>
      </c>
      <c r="J1601">
        <v>10</v>
      </c>
      <c r="K1601" s="21">
        <v>9089.2999999999993</v>
      </c>
      <c r="L1601" s="21">
        <v>81803.7</v>
      </c>
      <c r="M1601" s="21">
        <v>55337.31</v>
      </c>
      <c r="N1601" s="21">
        <v>26466.39</v>
      </c>
      <c r="O1601" t="s">
        <v>60</v>
      </c>
      <c r="P1601" s="21">
        <v>2254.08</v>
      </c>
      <c r="Q1601" t="s">
        <v>30</v>
      </c>
      <c r="R1601" t="s">
        <v>31</v>
      </c>
      <c r="S1601">
        <v>5</v>
      </c>
      <c r="T1601">
        <v>4</v>
      </c>
      <c r="U1601" t="s">
        <v>32</v>
      </c>
      <c r="V1601" t="s">
        <v>50</v>
      </c>
      <c r="W1601">
        <v>5</v>
      </c>
    </row>
    <row r="1602" spans="1:23" x14ac:dyDescent="0.25">
      <c r="A1602" t="s">
        <v>2244</v>
      </c>
      <c r="B1602" s="1">
        <v>45671</v>
      </c>
      <c r="C1602" t="s">
        <v>1148</v>
      </c>
      <c r="D1602" t="s">
        <v>67</v>
      </c>
      <c r="E1602" t="s">
        <v>26</v>
      </c>
      <c r="F1602" t="s">
        <v>47</v>
      </c>
      <c r="G1602" t="s">
        <v>105</v>
      </c>
      <c r="H1602">
        <v>3</v>
      </c>
      <c r="I1602" s="21">
        <v>36100</v>
      </c>
      <c r="J1602">
        <v>0</v>
      </c>
      <c r="K1602" s="21">
        <v>0</v>
      </c>
      <c r="L1602" s="21">
        <v>108300</v>
      </c>
      <c r="M1602" s="21">
        <v>87237.29</v>
      </c>
      <c r="N1602" s="21">
        <v>21062.71</v>
      </c>
      <c r="O1602" t="s">
        <v>60</v>
      </c>
      <c r="P1602" s="21">
        <v>499.04</v>
      </c>
      <c r="Q1602" t="s">
        <v>40</v>
      </c>
      <c r="R1602" t="s">
        <v>41</v>
      </c>
      <c r="S1602">
        <v>2</v>
      </c>
      <c r="T1602">
        <v>1</v>
      </c>
      <c r="U1602" t="s">
        <v>32</v>
      </c>
      <c r="V1602" t="s">
        <v>33</v>
      </c>
      <c r="W1602">
        <v>1</v>
      </c>
    </row>
    <row r="1603" spans="1:23" x14ac:dyDescent="0.25">
      <c r="A1603" t="s">
        <v>2245</v>
      </c>
      <c r="B1603" s="1">
        <v>45969</v>
      </c>
      <c r="C1603" t="s">
        <v>937</v>
      </c>
      <c r="D1603" t="s">
        <v>90</v>
      </c>
      <c r="E1603" t="s">
        <v>26</v>
      </c>
      <c r="F1603" t="s">
        <v>27</v>
      </c>
      <c r="G1603" t="s">
        <v>76</v>
      </c>
      <c r="H1603">
        <v>3</v>
      </c>
      <c r="I1603" s="21">
        <v>8872</v>
      </c>
      <c r="J1603">
        <v>5</v>
      </c>
      <c r="K1603" s="21">
        <v>1330.8</v>
      </c>
      <c r="L1603" s="21">
        <v>25285.200000000001</v>
      </c>
      <c r="M1603" s="21">
        <v>18579.34</v>
      </c>
      <c r="N1603" s="21">
        <v>6705.86</v>
      </c>
      <c r="O1603" t="s">
        <v>60</v>
      </c>
      <c r="P1603" s="21">
        <v>529.12</v>
      </c>
      <c r="Q1603" t="s">
        <v>40</v>
      </c>
      <c r="R1603" t="s">
        <v>31</v>
      </c>
      <c r="S1603">
        <v>5</v>
      </c>
      <c r="T1603">
        <v>7</v>
      </c>
      <c r="U1603" t="s">
        <v>56</v>
      </c>
      <c r="V1603" t="s">
        <v>33</v>
      </c>
      <c r="W1603">
        <v>5</v>
      </c>
    </row>
    <row r="1604" spans="1:23" x14ac:dyDescent="0.25">
      <c r="A1604" t="s">
        <v>2246</v>
      </c>
      <c r="B1604" s="1">
        <v>45994</v>
      </c>
      <c r="C1604" t="s">
        <v>1850</v>
      </c>
      <c r="D1604" t="s">
        <v>63</v>
      </c>
      <c r="E1604" t="s">
        <v>46</v>
      </c>
      <c r="F1604" t="s">
        <v>37</v>
      </c>
      <c r="G1604" t="s">
        <v>161</v>
      </c>
      <c r="H1604">
        <v>1</v>
      </c>
      <c r="I1604" s="21">
        <v>20946</v>
      </c>
      <c r="J1604">
        <v>5</v>
      </c>
      <c r="K1604" s="21">
        <v>1047.3</v>
      </c>
      <c r="L1604" s="21">
        <v>19898.7</v>
      </c>
      <c r="M1604" s="21">
        <v>14597.96</v>
      </c>
      <c r="N1604" s="21">
        <v>5300.74</v>
      </c>
      <c r="O1604" t="s">
        <v>60</v>
      </c>
      <c r="P1604" s="21">
        <v>990.72</v>
      </c>
      <c r="Q1604" t="s">
        <v>68</v>
      </c>
      <c r="R1604" t="s">
        <v>41</v>
      </c>
      <c r="S1604">
        <v>2</v>
      </c>
      <c r="T1604">
        <v>1</v>
      </c>
      <c r="U1604" t="s">
        <v>32</v>
      </c>
      <c r="V1604" t="s">
        <v>33</v>
      </c>
      <c r="W1604">
        <v>5</v>
      </c>
    </row>
    <row r="1605" spans="1:23" x14ac:dyDescent="0.25">
      <c r="A1605" t="s">
        <v>2247</v>
      </c>
      <c r="B1605" s="1">
        <v>46013</v>
      </c>
      <c r="C1605" t="s">
        <v>351</v>
      </c>
      <c r="D1605" t="s">
        <v>97</v>
      </c>
      <c r="E1605" t="s">
        <v>46</v>
      </c>
      <c r="F1605" t="s">
        <v>47</v>
      </c>
      <c r="G1605" t="s">
        <v>48</v>
      </c>
      <c r="H1605">
        <v>1</v>
      </c>
      <c r="I1605" s="21">
        <v>12920</v>
      </c>
      <c r="J1605">
        <v>5</v>
      </c>
      <c r="K1605" s="21">
        <v>646</v>
      </c>
      <c r="L1605" s="21">
        <v>12274</v>
      </c>
      <c r="M1605" s="21">
        <v>8349.34</v>
      </c>
      <c r="N1605" s="21">
        <v>3924.66</v>
      </c>
      <c r="O1605" t="s">
        <v>60</v>
      </c>
      <c r="P1605" s="21">
        <v>1079.8399999999999</v>
      </c>
      <c r="Q1605" t="s">
        <v>73</v>
      </c>
      <c r="R1605" t="s">
        <v>31</v>
      </c>
      <c r="S1605">
        <v>5</v>
      </c>
      <c r="T1605">
        <v>3</v>
      </c>
      <c r="U1605" t="s">
        <v>32</v>
      </c>
      <c r="V1605" t="s">
        <v>33</v>
      </c>
      <c r="W1605">
        <v>5</v>
      </c>
    </row>
    <row r="1606" spans="1:23" x14ac:dyDescent="0.25">
      <c r="A1606" t="s">
        <v>2248</v>
      </c>
      <c r="B1606" s="1">
        <v>45794</v>
      </c>
      <c r="C1606" t="s">
        <v>478</v>
      </c>
      <c r="D1606" t="s">
        <v>25</v>
      </c>
      <c r="E1606" t="s">
        <v>26</v>
      </c>
      <c r="F1606" t="s">
        <v>86</v>
      </c>
      <c r="G1606" t="s">
        <v>110</v>
      </c>
      <c r="H1606">
        <v>2</v>
      </c>
      <c r="I1606" s="21">
        <v>19976</v>
      </c>
      <c r="J1606">
        <v>0</v>
      </c>
      <c r="K1606" s="21">
        <v>0</v>
      </c>
      <c r="L1606" s="21">
        <v>39952</v>
      </c>
      <c r="M1606" s="21">
        <v>24734.27</v>
      </c>
      <c r="N1606" s="21">
        <v>15217.73</v>
      </c>
      <c r="O1606" t="s">
        <v>39</v>
      </c>
      <c r="P1606" s="21">
        <v>2280.38</v>
      </c>
      <c r="Q1606" t="s">
        <v>40</v>
      </c>
      <c r="R1606" t="s">
        <v>41</v>
      </c>
      <c r="S1606">
        <v>2</v>
      </c>
      <c r="T1606">
        <v>1</v>
      </c>
      <c r="U1606" t="s">
        <v>32</v>
      </c>
      <c r="V1606" t="s">
        <v>33</v>
      </c>
      <c r="W1606">
        <v>3</v>
      </c>
    </row>
    <row r="1607" spans="1:23" x14ac:dyDescent="0.25">
      <c r="A1607" t="s">
        <v>2249</v>
      </c>
      <c r="B1607" s="1">
        <v>45672</v>
      </c>
      <c r="C1607" t="s">
        <v>160</v>
      </c>
      <c r="D1607" t="s">
        <v>67</v>
      </c>
      <c r="E1607" t="s">
        <v>26</v>
      </c>
      <c r="F1607" t="s">
        <v>53</v>
      </c>
      <c r="G1607" t="s">
        <v>59</v>
      </c>
      <c r="H1607">
        <v>1</v>
      </c>
      <c r="I1607" s="21">
        <v>26303</v>
      </c>
      <c r="J1607">
        <v>20</v>
      </c>
      <c r="K1607" s="21">
        <v>5260.6</v>
      </c>
      <c r="L1607" s="21">
        <v>21042.400000000001</v>
      </c>
      <c r="M1607" s="21">
        <v>14738.63</v>
      </c>
      <c r="N1607" s="21">
        <v>6303.77</v>
      </c>
      <c r="P1607" s="21">
        <v>1112.8399999999999</v>
      </c>
      <c r="Q1607" t="s">
        <v>68</v>
      </c>
      <c r="R1607" t="s">
        <v>41</v>
      </c>
      <c r="S1607">
        <v>2</v>
      </c>
      <c r="T1607">
        <v>1</v>
      </c>
      <c r="U1607" t="s">
        <v>32</v>
      </c>
      <c r="V1607" t="s">
        <v>33</v>
      </c>
      <c r="W1607">
        <v>5</v>
      </c>
    </row>
    <row r="1608" spans="1:23" x14ac:dyDescent="0.25">
      <c r="A1608" t="s">
        <v>2250</v>
      </c>
      <c r="B1608" s="1">
        <v>45750</v>
      </c>
      <c r="C1608" t="s">
        <v>1972</v>
      </c>
      <c r="D1608" t="s">
        <v>154</v>
      </c>
      <c r="E1608" t="s">
        <v>46</v>
      </c>
      <c r="F1608" t="s">
        <v>53</v>
      </c>
      <c r="G1608" t="s">
        <v>268</v>
      </c>
      <c r="H1608">
        <v>1</v>
      </c>
      <c r="I1608" s="21">
        <v>71984</v>
      </c>
      <c r="J1608">
        <v>25</v>
      </c>
      <c r="K1608" s="21">
        <v>17996</v>
      </c>
      <c r="L1608" s="21">
        <v>53988</v>
      </c>
      <c r="M1608" s="21">
        <v>35542.82</v>
      </c>
      <c r="N1608" s="21">
        <v>18445.18</v>
      </c>
      <c r="O1608" t="s">
        <v>55</v>
      </c>
      <c r="P1608" s="21">
        <v>1984.08</v>
      </c>
      <c r="Q1608" t="s">
        <v>68</v>
      </c>
      <c r="R1608" t="s">
        <v>31</v>
      </c>
      <c r="S1608">
        <v>5</v>
      </c>
      <c r="T1608">
        <v>5</v>
      </c>
      <c r="U1608" t="s">
        <v>32</v>
      </c>
      <c r="V1608" t="s">
        <v>33</v>
      </c>
      <c r="W1608">
        <v>5</v>
      </c>
    </row>
    <row r="1609" spans="1:23" x14ac:dyDescent="0.25">
      <c r="A1609" t="s">
        <v>2251</v>
      </c>
      <c r="B1609" s="1">
        <v>45797</v>
      </c>
      <c r="C1609" t="s">
        <v>1177</v>
      </c>
      <c r="D1609" t="s">
        <v>97</v>
      </c>
      <c r="E1609" t="s">
        <v>46</v>
      </c>
      <c r="F1609" t="s">
        <v>37</v>
      </c>
      <c r="G1609" t="s">
        <v>100</v>
      </c>
      <c r="H1609">
        <v>3</v>
      </c>
      <c r="I1609" s="21">
        <v>14322</v>
      </c>
      <c r="J1609">
        <v>10</v>
      </c>
      <c r="K1609" s="21">
        <v>4296.6000000000004</v>
      </c>
      <c r="L1609" s="21">
        <v>38669.4</v>
      </c>
      <c r="M1609" s="21">
        <v>27192.080000000002</v>
      </c>
      <c r="N1609" s="21">
        <v>11477.32</v>
      </c>
      <c r="O1609" t="s">
        <v>60</v>
      </c>
      <c r="P1609" s="21">
        <v>2080.1</v>
      </c>
      <c r="Q1609" t="s">
        <v>30</v>
      </c>
      <c r="R1609" t="s">
        <v>31</v>
      </c>
      <c r="S1609">
        <v>5</v>
      </c>
      <c r="T1609">
        <v>8</v>
      </c>
      <c r="U1609" t="s">
        <v>56</v>
      </c>
      <c r="V1609" t="s">
        <v>33</v>
      </c>
      <c r="W1609">
        <v>5</v>
      </c>
    </row>
    <row r="1610" spans="1:23" x14ac:dyDescent="0.25">
      <c r="A1610" t="s">
        <v>2252</v>
      </c>
      <c r="B1610" s="1">
        <v>46017</v>
      </c>
      <c r="C1610" t="s">
        <v>887</v>
      </c>
      <c r="D1610" t="s">
        <v>63</v>
      </c>
      <c r="E1610" t="s">
        <v>46</v>
      </c>
      <c r="F1610" t="s">
        <v>37</v>
      </c>
      <c r="G1610" t="s">
        <v>100</v>
      </c>
      <c r="H1610">
        <v>1</v>
      </c>
      <c r="I1610" s="21">
        <v>37197</v>
      </c>
      <c r="J1610">
        <v>0</v>
      </c>
      <c r="K1610" s="21">
        <v>0</v>
      </c>
      <c r="L1610" s="21">
        <v>37197</v>
      </c>
      <c r="M1610" s="21">
        <v>25188.77</v>
      </c>
      <c r="N1610" s="21">
        <v>12008.23</v>
      </c>
      <c r="O1610" t="s">
        <v>55</v>
      </c>
      <c r="P1610" s="21">
        <v>1813.64</v>
      </c>
      <c r="Q1610" t="s">
        <v>68</v>
      </c>
      <c r="R1610" t="s">
        <v>41</v>
      </c>
      <c r="S1610">
        <v>2</v>
      </c>
      <c r="T1610">
        <v>2</v>
      </c>
      <c r="U1610" t="s">
        <v>32</v>
      </c>
      <c r="V1610" t="s">
        <v>33</v>
      </c>
      <c r="W1610">
        <v>1</v>
      </c>
    </row>
    <row r="1611" spans="1:23" x14ac:dyDescent="0.25">
      <c r="A1611" t="s">
        <v>2253</v>
      </c>
      <c r="B1611" s="1">
        <v>45816</v>
      </c>
      <c r="C1611" t="s">
        <v>555</v>
      </c>
      <c r="D1611" t="s">
        <v>25</v>
      </c>
      <c r="E1611" t="s">
        <v>46</v>
      </c>
      <c r="F1611" t="s">
        <v>37</v>
      </c>
      <c r="G1611" t="s">
        <v>100</v>
      </c>
      <c r="H1611">
        <v>3</v>
      </c>
      <c r="I1611" s="21">
        <v>4237</v>
      </c>
      <c r="J1611">
        <v>0</v>
      </c>
      <c r="K1611" s="21">
        <v>0</v>
      </c>
      <c r="L1611" s="21">
        <v>12711</v>
      </c>
      <c r="M1611" s="21">
        <v>9472.91</v>
      </c>
      <c r="N1611" s="21">
        <v>3238.09</v>
      </c>
      <c r="O1611" t="s">
        <v>49</v>
      </c>
      <c r="P1611" s="21">
        <v>214.96</v>
      </c>
      <c r="Q1611" t="s">
        <v>73</v>
      </c>
      <c r="R1611" t="s">
        <v>41</v>
      </c>
      <c r="S1611">
        <v>2</v>
      </c>
      <c r="T1611">
        <v>1</v>
      </c>
      <c r="U1611" t="s">
        <v>32</v>
      </c>
      <c r="V1611" t="s">
        <v>33</v>
      </c>
      <c r="W1611">
        <v>3</v>
      </c>
    </row>
    <row r="1612" spans="1:23" x14ac:dyDescent="0.25">
      <c r="A1612" t="s">
        <v>2254</v>
      </c>
      <c r="B1612" s="1">
        <v>45831</v>
      </c>
      <c r="C1612" t="s">
        <v>205</v>
      </c>
      <c r="D1612" t="s">
        <v>97</v>
      </c>
      <c r="E1612" t="s">
        <v>26</v>
      </c>
      <c r="F1612" t="s">
        <v>53</v>
      </c>
      <c r="G1612" t="s">
        <v>54</v>
      </c>
      <c r="H1612">
        <v>2</v>
      </c>
      <c r="I1612" s="21">
        <v>100249</v>
      </c>
      <c r="J1612">
        <v>15</v>
      </c>
      <c r="K1612" s="21">
        <v>30074.7</v>
      </c>
      <c r="L1612" s="21">
        <v>170423.3</v>
      </c>
      <c r="M1612" s="21">
        <v>99788.67</v>
      </c>
      <c r="N1612" s="21">
        <v>70634.63</v>
      </c>
      <c r="O1612" t="s">
        <v>60</v>
      </c>
      <c r="P1612" s="21">
        <v>1901.36</v>
      </c>
      <c r="Q1612" t="s">
        <v>83</v>
      </c>
      <c r="R1612" t="s">
        <v>41</v>
      </c>
      <c r="S1612">
        <v>2</v>
      </c>
      <c r="T1612">
        <v>1</v>
      </c>
      <c r="U1612" t="s">
        <v>32</v>
      </c>
      <c r="V1612" t="s">
        <v>33</v>
      </c>
      <c r="W1612">
        <v>5</v>
      </c>
    </row>
    <row r="1613" spans="1:23" x14ac:dyDescent="0.25">
      <c r="A1613" t="s">
        <v>2255</v>
      </c>
      <c r="B1613" s="1">
        <v>45837</v>
      </c>
      <c r="C1613" t="s">
        <v>119</v>
      </c>
      <c r="D1613" t="s">
        <v>45</v>
      </c>
      <c r="E1613" t="s">
        <v>46</v>
      </c>
      <c r="F1613" t="s">
        <v>86</v>
      </c>
      <c r="G1613" t="s">
        <v>87</v>
      </c>
      <c r="H1613">
        <v>1</v>
      </c>
      <c r="I1613" s="21">
        <v>58198</v>
      </c>
      <c r="J1613">
        <v>25</v>
      </c>
      <c r="K1613" s="21">
        <v>14549.5</v>
      </c>
      <c r="L1613" s="21">
        <v>43648.5</v>
      </c>
      <c r="M1613" s="21">
        <v>34714</v>
      </c>
      <c r="N1613" s="21">
        <v>8934.5</v>
      </c>
      <c r="O1613" t="s">
        <v>60</v>
      </c>
      <c r="P1613" s="21">
        <v>1448.56</v>
      </c>
      <c r="Q1613" t="s">
        <v>68</v>
      </c>
      <c r="R1613" t="s">
        <v>41</v>
      </c>
      <c r="S1613">
        <v>2</v>
      </c>
      <c r="T1613">
        <v>1</v>
      </c>
      <c r="U1613" t="s">
        <v>32</v>
      </c>
      <c r="V1613" t="s">
        <v>33</v>
      </c>
      <c r="W1613">
        <v>5</v>
      </c>
    </row>
    <row r="1614" spans="1:23" x14ac:dyDescent="0.25">
      <c r="A1614" t="s">
        <v>2256</v>
      </c>
      <c r="B1614" s="1">
        <v>45661</v>
      </c>
      <c r="C1614" t="s">
        <v>109</v>
      </c>
      <c r="D1614" t="s">
        <v>25</v>
      </c>
      <c r="E1614" t="s">
        <v>36</v>
      </c>
      <c r="F1614" t="s">
        <v>47</v>
      </c>
      <c r="G1614" t="s">
        <v>138</v>
      </c>
      <c r="H1614">
        <v>1</v>
      </c>
      <c r="I1614" s="21">
        <v>52140</v>
      </c>
      <c r="J1614">
        <v>25</v>
      </c>
      <c r="K1614" s="21">
        <v>13035</v>
      </c>
      <c r="L1614" s="21">
        <v>39105</v>
      </c>
      <c r="M1614" s="21">
        <v>28974.799999999999</v>
      </c>
      <c r="N1614" s="21">
        <v>10130.200000000001</v>
      </c>
      <c r="O1614" t="s">
        <v>29</v>
      </c>
      <c r="P1614" s="21">
        <v>2029.93</v>
      </c>
      <c r="Q1614" t="s">
        <v>73</v>
      </c>
      <c r="R1614" t="s">
        <v>41</v>
      </c>
      <c r="S1614">
        <v>2</v>
      </c>
      <c r="T1614">
        <v>3</v>
      </c>
      <c r="U1614" t="s">
        <v>56</v>
      </c>
      <c r="V1614" t="s">
        <v>33</v>
      </c>
      <c r="W1614">
        <v>1</v>
      </c>
    </row>
    <row r="1615" spans="1:23" x14ac:dyDescent="0.25">
      <c r="A1615" t="s">
        <v>2257</v>
      </c>
      <c r="B1615" s="1">
        <v>45750</v>
      </c>
      <c r="C1615" t="s">
        <v>864</v>
      </c>
      <c r="D1615" t="s">
        <v>124</v>
      </c>
      <c r="E1615" t="s">
        <v>46</v>
      </c>
      <c r="F1615" t="s">
        <v>86</v>
      </c>
      <c r="G1615" t="s">
        <v>127</v>
      </c>
      <c r="H1615">
        <v>1</v>
      </c>
      <c r="I1615" s="21">
        <v>75668</v>
      </c>
      <c r="J1615">
        <v>0</v>
      </c>
      <c r="K1615" s="21">
        <v>0</v>
      </c>
      <c r="L1615" s="21">
        <v>75668</v>
      </c>
      <c r="M1615" s="21">
        <v>54303.85</v>
      </c>
      <c r="N1615" s="21">
        <v>21364.15</v>
      </c>
      <c r="O1615" t="s">
        <v>91</v>
      </c>
      <c r="P1615" s="21">
        <v>1039.46</v>
      </c>
      <c r="Q1615" t="s">
        <v>83</v>
      </c>
      <c r="R1615" t="s">
        <v>31</v>
      </c>
      <c r="S1615">
        <v>5</v>
      </c>
      <c r="T1615">
        <v>4</v>
      </c>
      <c r="U1615" t="s">
        <v>32</v>
      </c>
      <c r="V1615" t="s">
        <v>33</v>
      </c>
      <c r="W1615">
        <v>1</v>
      </c>
    </row>
    <row r="1616" spans="1:23" x14ac:dyDescent="0.25">
      <c r="A1616" t="s">
        <v>2258</v>
      </c>
      <c r="B1616" s="1">
        <v>45731</v>
      </c>
      <c r="C1616" t="s">
        <v>1634</v>
      </c>
      <c r="D1616" t="s">
        <v>45</v>
      </c>
      <c r="E1616" t="s">
        <v>26</v>
      </c>
      <c r="F1616" t="s">
        <v>37</v>
      </c>
      <c r="G1616" t="s">
        <v>100</v>
      </c>
      <c r="H1616">
        <v>1</v>
      </c>
      <c r="I1616" s="21">
        <v>12565</v>
      </c>
      <c r="J1616">
        <v>0</v>
      </c>
      <c r="K1616" s="21">
        <v>0</v>
      </c>
      <c r="L1616" s="21">
        <v>12565</v>
      </c>
      <c r="M1616" s="21">
        <v>7315</v>
      </c>
      <c r="N1616" s="21">
        <v>5250</v>
      </c>
      <c r="O1616" t="s">
        <v>60</v>
      </c>
      <c r="P1616" s="21">
        <v>1864.79</v>
      </c>
      <c r="Q1616" t="s">
        <v>73</v>
      </c>
      <c r="R1616" t="s">
        <v>31</v>
      </c>
      <c r="S1616">
        <v>5</v>
      </c>
      <c r="T1616">
        <v>4</v>
      </c>
      <c r="U1616" t="s">
        <v>32</v>
      </c>
      <c r="V1616" t="s">
        <v>42</v>
      </c>
    </row>
    <row r="1617" spans="1:23" x14ac:dyDescent="0.25">
      <c r="A1617" t="s">
        <v>2259</v>
      </c>
      <c r="B1617" s="1">
        <v>45947</v>
      </c>
      <c r="C1617" t="s">
        <v>1324</v>
      </c>
      <c r="D1617" t="s">
        <v>154</v>
      </c>
      <c r="E1617" t="s">
        <v>46</v>
      </c>
      <c r="F1617" t="s">
        <v>47</v>
      </c>
      <c r="G1617" t="s">
        <v>146</v>
      </c>
      <c r="H1617">
        <v>1</v>
      </c>
      <c r="I1617" s="21">
        <v>44706</v>
      </c>
      <c r="J1617">
        <v>10</v>
      </c>
      <c r="K1617" s="21">
        <v>4470.6000000000004</v>
      </c>
      <c r="L1617" s="21">
        <v>40235.4</v>
      </c>
      <c r="M1617" s="21">
        <v>27621.23</v>
      </c>
      <c r="N1617" s="21">
        <v>12614.17</v>
      </c>
      <c r="O1617" t="s">
        <v>29</v>
      </c>
      <c r="P1617" s="21">
        <v>1431.71</v>
      </c>
      <c r="Q1617" t="s">
        <v>73</v>
      </c>
      <c r="R1617" t="s">
        <v>31</v>
      </c>
      <c r="S1617">
        <v>5</v>
      </c>
      <c r="T1617">
        <v>2</v>
      </c>
      <c r="U1617" t="s">
        <v>32</v>
      </c>
      <c r="V1617" t="s">
        <v>42</v>
      </c>
    </row>
    <row r="1618" spans="1:23" x14ac:dyDescent="0.25">
      <c r="A1618" t="s">
        <v>2260</v>
      </c>
      <c r="B1618" s="1">
        <v>45994</v>
      </c>
      <c r="C1618" t="s">
        <v>263</v>
      </c>
      <c r="D1618" t="s">
        <v>71</v>
      </c>
      <c r="E1618" t="s">
        <v>36</v>
      </c>
      <c r="F1618" t="s">
        <v>86</v>
      </c>
      <c r="G1618" t="s">
        <v>180</v>
      </c>
      <c r="H1618">
        <v>2</v>
      </c>
      <c r="I1618" s="21">
        <v>84845</v>
      </c>
      <c r="J1618">
        <v>20</v>
      </c>
      <c r="K1618" s="21">
        <v>33938</v>
      </c>
      <c r="L1618" s="21">
        <v>135752</v>
      </c>
      <c r="M1618" s="21">
        <v>86914.76</v>
      </c>
      <c r="N1618" s="21">
        <v>48837.24</v>
      </c>
      <c r="O1618" t="s">
        <v>91</v>
      </c>
      <c r="P1618" s="21">
        <v>2176.19</v>
      </c>
      <c r="Q1618" t="s">
        <v>73</v>
      </c>
      <c r="R1618" t="s">
        <v>41</v>
      </c>
      <c r="S1618">
        <v>2</v>
      </c>
      <c r="T1618">
        <v>2</v>
      </c>
      <c r="U1618" t="s">
        <v>32</v>
      </c>
      <c r="V1618" t="s">
        <v>33</v>
      </c>
      <c r="W1618">
        <v>5</v>
      </c>
    </row>
    <row r="1619" spans="1:23" x14ac:dyDescent="0.25">
      <c r="A1619" t="s">
        <v>2261</v>
      </c>
      <c r="B1619" s="1">
        <v>45863</v>
      </c>
      <c r="C1619" t="s">
        <v>1981</v>
      </c>
      <c r="D1619" t="s">
        <v>67</v>
      </c>
      <c r="E1619" t="s">
        <v>26</v>
      </c>
      <c r="F1619" t="s">
        <v>47</v>
      </c>
      <c r="G1619" t="s">
        <v>48</v>
      </c>
      <c r="H1619">
        <v>1</v>
      </c>
      <c r="I1619" s="21">
        <v>29664</v>
      </c>
      <c r="J1619">
        <v>25</v>
      </c>
      <c r="K1619" s="21">
        <v>7416</v>
      </c>
      <c r="L1619" s="21">
        <v>22248</v>
      </c>
      <c r="M1619" s="21">
        <v>13664.46</v>
      </c>
      <c r="N1619" s="21">
        <v>8583.5400000000009</v>
      </c>
      <c r="O1619" t="s">
        <v>91</v>
      </c>
      <c r="P1619" s="21">
        <v>1702.21</v>
      </c>
      <c r="Q1619" t="s">
        <v>30</v>
      </c>
      <c r="R1619" t="s">
        <v>31</v>
      </c>
      <c r="S1619">
        <v>5</v>
      </c>
      <c r="T1619">
        <v>3</v>
      </c>
      <c r="U1619" t="s">
        <v>32</v>
      </c>
      <c r="V1619" t="s">
        <v>33</v>
      </c>
      <c r="W1619">
        <v>3</v>
      </c>
    </row>
    <row r="1620" spans="1:23" x14ac:dyDescent="0.25">
      <c r="A1620" t="s">
        <v>2262</v>
      </c>
      <c r="B1620" s="1">
        <v>45693</v>
      </c>
      <c r="C1620" t="s">
        <v>193</v>
      </c>
      <c r="D1620" t="s">
        <v>67</v>
      </c>
      <c r="E1620" t="s">
        <v>46</v>
      </c>
      <c r="F1620" t="s">
        <v>27</v>
      </c>
      <c r="G1620" t="s">
        <v>76</v>
      </c>
      <c r="H1620">
        <v>2</v>
      </c>
      <c r="I1620" s="21">
        <v>9973</v>
      </c>
      <c r="J1620">
        <v>10</v>
      </c>
      <c r="K1620" s="21">
        <v>1994.6</v>
      </c>
      <c r="L1620" s="21">
        <v>17951.400000000001</v>
      </c>
      <c r="M1620" s="21">
        <v>12891.11</v>
      </c>
      <c r="N1620" s="21">
        <v>5060.29</v>
      </c>
      <c r="O1620" t="s">
        <v>60</v>
      </c>
      <c r="P1620" s="21">
        <v>1588.28</v>
      </c>
      <c r="Q1620" t="s">
        <v>30</v>
      </c>
      <c r="R1620" t="s">
        <v>41</v>
      </c>
      <c r="S1620">
        <v>2</v>
      </c>
      <c r="T1620">
        <v>1</v>
      </c>
      <c r="U1620" t="s">
        <v>32</v>
      </c>
      <c r="V1620" t="s">
        <v>33</v>
      </c>
      <c r="W1620">
        <v>2</v>
      </c>
    </row>
    <row r="1621" spans="1:23" x14ac:dyDescent="0.25">
      <c r="A1621" t="s">
        <v>2263</v>
      </c>
      <c r="B1621" s="1">
        <v>45730</v>
      </c>
      <c r="C1621" t="s">
        <v>2264</v>
      </c>
      <c r="D1621" t="s">
        <v>25</v>
      </c>
      <c r="E1621" t="s">
        <v>26</v>
      </c>
      <c r="F1621" t="s">
        <v>86</v>
      </c>
      <c r="G1621" t="s">
        <v>127</v>
      </c>
      <c r="H1621">
        <v>3</v>
      </c>
      <c r="I1621" s="21">
        <v>11637</v>
      </c>
      <c r="J1621">
        <v>5</v>
      </c>
      <c r="K1621" s="21">
        <v>1745.55</v>
      </c>
      <c r="L1621" s="21">
        <v>33165.449999999997</v>
      </c>
      <c r="M1621" s="21">
        <v>20660.650000000001</v>
      </c>
      <c r="N1621" s="21">
        <v>12504.8</v>
      </c>
      <c r="O1621" t="s">
        <v>60</v>
      </c>
      <c r="P1621" s="21">
        <v>882.71</v>
      </c>
      <c r="Q1621" t="s">
        <v>73</v>
      </c>
      <c r="R1621" t="s">
        <v>31</v>
      </c>
      <c r="S1621">
        <v>5</v>
      </c>
      <c r="T1621">
        <v>5</v>
      </c>
      <c r="U1621" t="s">
        <v>32</v>
      </c>
      <c r="V1621" t="s">
        <v>42</v>
      </c>
    </row>
    <row r="1622" spans="1:23" x14ac:dyDescent="0.25">
      <c r="A1622" t="s">
        <v>2265</v>
      </c>
      <c r="B1622" s="1">
        <v>45982</v>
      </c>
      <c r="C1622" t="s">
        <v>1026</v>
      </c>
      <c r="D1622" t="s">
        <v>90</v>
      </c>
      <c r="E1622" t="s">
        <v>46</v>
      </c>
      <c r="F1622" t="s">
        <v>27</v>
      </c>
      <c r="G1622" t="s">
        <v>28</v>
      </c>
      <c r="H1622">
        <v>1</v>
      </c>
      <c r="I1622" s="21">
        <v>5656</v>
      </c>
      <c r="J1622">
        <v>10</v>
      </c>
      <c r="K1622" s="21">
        <v>565.6</v>
      </c>
      <c r="L1622" s="21">
        <v>5090.3999999999996</v>
      </c>
      <c r="M1622" s="21">
        <v>3463.46</v>
      </c>
      <c r="N1622" s="21">
        <v>1626.94</v>
      </c>
      <c r="O1622" t="s">
        <v>49</v>
      </c>
      <c r="P1622" s="21">
        <v>179.59</v>
      </c>
      <c r="Q1622" t="s">
        <v>68</v>
      </c>
      <c r="R1622" t="s">
        <v>41</v>
      </c>
      <c r="S1622">
        <v>2</v>
      </c>
      <c r="T1622">
        <v>2</v>
      </c>
      <c r="U1622" t="s">
        <v>32</v>
      </c>
      <c r="V1622" t="s">
        <v>33</v>
      </c>
      <c r="W1622">
        <v>2</v>
      </c>
    </row>
    <row r="1623" spans="1:23" x14ac:dyDescent="0.25">
      <c r="A1623" t="s">
        <v>2266</v>
      </c>
      <c r="B1623" s="1">
        <v>45673</v>
      </c>
      <c r="C1623" t="s">
        <v>417</v>
      </c>
      <c r="D1623" t="s">
        <v>154</v>
      </c>
      <c r="E1623" t="s">
        <v>46</v>
      </c>
      <c r="F1623" t="s">
        <v>27</v>
      </c>
      <c r="G1623" t="s">
        <v>113</v>
      </c>
      <c r="H1623">
        <v>1</v>
      </c>
      <c r="I1623" s="21">
        <v>29120</v>
      </c>
      <c r="J1623">
        <v>0</v>
      </c>
      <c r="K1623" s="21">
        <v>0</v>
      </c>
      <c r="L1623" s="21">
        <v>29120</v>
      </c>
      <c r="M1623" s="21">
        <v>20697.53</v>
      </c>
      <c r="N1623" s="21">
        <v>8422.4699999999993</v>
      </c>
      <c r="O1623" t="s">
        <v>39</v>
      </c>
      <c r="P1623" s="21">
        <v>1647.92</v>
      </c>
      <c r="Q1623" t="s">
        <v>83</v>
      </c>
      <c r="R1623" t="s">
        <v>41</v>
      </c>
      <c r="S1623">
        <v>2</v>
      </c>
      <c r="T1623">
        <v>1</v>
      </c>
      <c r="U1623" t="s">
        <v>32</v>
      </c>
      <c r="V1623" t="s">
        <v>33</v>
      </c>
      <c r="W1623">
        <v>5</v>
      </c>
    </row>
    <row r="1624" spans="1:23" x14ac:dyDescent="0.25">
      <c r="A1624" t="s">
        <v>2267</v>
      </c>
      <c r="B1624" s="1">
        <v>45704</v>
      </c>
      <c r="C1624" t="s">
        <v>895</v>
      </c>
      <c r="D1624" t="s">
        <v>67</v>
      </c>
      <c r="E1624" t="s">
        <v>46</v>
      </c>
      <c r="F1624" t="s">
        <v>53</v>
      </c>
      <c r="G1624" t="s">
        <v>59</v>
      </c>
      <c r="H1624">
        <v>2</v>
      </c>
      <c r="I1624" s="21">
        <v>107584</v>
      </c>
      <c r="J1624">
        <v>10</v>
      </c>
      <c r="K1624" s="21">
        <v>21516.799999999999</v>
      </c>
      <c r="L1624" s="21">
        <v>193651.20000000001</v>
      </c>
      <c r="M1624" s="21">
        <v>154163.69</v>
      </c>
      <c r="N1624" s="21">
        <v>39487.51</v>
      </c>
      <c r="O1624" t="s">
        <v>91</v>
      </c>
      <c r="P1624" s="21">
        <v>955</v>
      </c>
      <c r="Q1624" t="s">
        <v>40</v>
      </c>
      <c r="R1624" t="s">
        <v>41</v>
      </c>
      <c r="S1624">
        <v>2</v>
      </c>
      <c r="T1624">
        <v>3</v>
      </c>
      <c r="U1624" t="s">
        <v>56</v>
      </c>
      <c r="V1624" t="s">
        <v>33</v>
      </c>
      <c r="W1624">
        <v>5</v>
      </c>
    </row>
    <row r="1625" spans="1:23" x14ac:dyDescent="0.25">
      <c r="A1625" t="s">
        <v>2268</v>
      </c>
      <c r="B1625" s="1">
        <v>45929</v>
      </c>
      <c r="C1625" t="s">
        <v>1160</v>
      </c>
      <c r="D1625" t="s">
        <v>97</v>
      </c>
      <c r="E1625" t="s">
        <v>46</v>
      </c>
      <c r="F1625" t="s">
        <v>53</v>
      </c>
      <c r="G1625" t="s">
        <v>151</v>
      </c>
      <c r="H1625">
        <v>2</v>
      </c>
      <c r="I1625" s="21">
        <v>38199</v>
      </c>
      <c r="J1625">
        <v>10</v>
      </c>
      <c r="K1625" s="21">
        <v>7639.8</v>
      </c>
      <c r="L1625" s="21">
        <v>68758.2</v>
      </c>
      <c r="M1625" s="21">
        <v>46140.97</v>
      </c>
      <c r="N1625" s="21">
        <v>22617.23</v>
      </c>
      <c r="O1625" t="s">
        <v>39</v>
      </c>
      <c r="P1625" s="21">
        <v>1522.98</v>
      </c>
      <c r="Q1625" t="s">
        <v>68</v>
      </c>
      <c r="R1625" t="s">
        <v>31</v>
      </c>
      <c r="S1625">
        <v>5</v>
      </c>
      <c r="T1625">
        <v>3</v>
      </c>
      <c r="U1625" t="s">
        <v>32</v>
      </c>
      <c r="V1625" t="s">
        <v>33</v>
      </c>
      <c r="W1625">
        <v>2</v>
      </c>
    </row>
    <row r="1626" spans="1:23" x14ac:dyDescent="0.25">
      <c r="A1626" t="s">
        <v>2269</v>
      </c>
      <c r="B1626" s="1">
        <v>45768</v>
      </c>
      <c r="C1626" t="s">
        <v>498</v>
      </c>
      <c r="D1626" t="s">
        <v>71</v>
      </c>
      <c r="E1626" t="s">
        <v>26</v>
      </c>
      <c r="F1626" t="s">
        <v>86</v>
      </c>
      <c r="G1626" t="s">
        <v>110</v>
      </c>
      <c r="H1626">
        <v>1</v>
      </c>
      <c r="I1626" s="21">
        <v>38662</v>
      </c>
      <c r="J1626">
        <v>0</v>
      </c>
      <c r="K1626" s="21">
        <v>0</v>
      </c>
      <c r="L1626" s="21">
        <v>38662</v>
      </c>
      <c r="M1626" s="21">
        <v>22998.639999999999</v>
      </c>
      <c r="N1626" s="21">
        <v>15663.36</v>
      </c>
      <c r="O1626" t="s">
        <v>49</v>
      </c>
      <c r="P1626" s="21">
        <v>377.87</v>
      </c>
      <c r="Q1626" t="s">
        <v>68</v>
      </c>
      <c r="R1626" t="s">
        <v>41</v>
      </c>
      <c r="S1626">
        <v>2</v>
      </c>
      <c r="T1626">
        <v>5</v>
      </c>
      <c r="U1626" t="s">
        <v>56</v>
      </c>
      <c r="V1626" t="s">
        <v>33</v>
      </c>
      <c r="W1626">
        <v>4</v>
      </c>
    </row>
    <row r="1627" spans="1:23" x14ac:dyDescent="0.25">
      <c r="A1627" t="s">
        <v>2270</v>
      </c>
      <c r="B1627" s="1">
        <v>45850</v>
      </c>
      <c r="C1627" t="s">
        <v>1209</v>
      </c>
      <c r="D1627" t="s">
        <v>90</v>
      </c>
      <c r="E1627" t="s">
        <v>46</v>
      </c>
      <c r="F1627" t="s">
        <v>27</v>
      </c>
      <c r="G1627" t="s">
        <v>72</v>
      </c>
      <c r="H1627">
        <v>2</v>
      </c>
      <c r="I1627" s="21">
        <v>26541</v>
      </c>
      <c r="J1627">
        <v>15</v>
      </c>
      <c r="K1627" s="21">
        <v>7962.3</v>
      </c>
      <c r="L1627" s="21">
        <v>45119.7</v>
      </c>
      <c r="M1627" s="21">
        <v>28478.01</v>
      </c>
      <c r="N1627" s="21">
        <v>16641.689999999999</v>
      </c>
      <c r="O1627" t="s">
        <v>49</v>
      </c>
      <c r="P1627" s="21">
        <v>439.1</v>
      </c>
      <c r="Q1627" t="s">
        <v>73</v>
      </c>
      <c r="R1627" t="s">
        <v>41</v>
      </c>
      <c r="S1627">
        <v>2</v>
      </c>
      <c r="T1627">
        <v>4</v>
      </c>
      <c r="U1627" t="s">
        <v>56</v>
      </c>
      <c r="V1627" t="s">
        <v>33</v>
      </c>
      <c r="W1627">
        <v>1</v>
      </c>
    </row>
    <row r="1628" spans="1:23" x14ac:dyDescent="0.25">
      <c r="A1628" t="s">
        <v>2271</v>
      </c>
      <c r="B1628" s="1">
        <v>45872</v>
      </c>
      <c r="C1628" t="s">
        <v>1497</v>
      </c>
      <c r="D1628" t="s">
        <v>97</v>
      </c>
      <c r="E1628" t="s">
        <v>46</v>
      </c>
      <c r="F1628" t="s">
        <v>86</v>
      </c>
      <c r="G1628" t="s">
        <v>87</v>
      </c>
      <c r="H1628">
        <v>2</v>
      </c>
      <c r="I1628" s="21">
        <v>40053</v>
      </c>
      <c r="J1628">
        <v>10</v>
      </c>
      <c r="K1628" s="21">
        <v>8010.6</v>
      </c>
      <c r="L1628" s="21">
        <v>72095.399999999994</v>
      </c>
      <c r="M1628" s="21">
        <v>43079.15</v>
      </c>
      <c r="N1628" s="21">
        <v>29016.25</v>
      </c>
      <c r="O1628" t="s">
        <v>60</v>
      </c>
      <c r="P1628" s="21">
        <v>1624.26</v>
      </c>
      <c r="Q1628" t="s">
        <v>40</v>
      </c>
      <c r="R1628" t="s">
        <v>31</v>
      </c>
      <c r="S1628">
        <v>5</v>
      </c>
      <c r="T1628">
        <v>4</v>
      </c>
      <c r="U1628" t="s">
        <v>32</v>
      </c>
      <c r="V1628" t="s">
        <v>33</v>
      </c>
      <c r="W1628">
        <v>4</v>
      </c>
    </row>
    <row r="1629" spans="1:23" x14ac:dyDescent="0.25">
      <c r="A1629" t="s">
        <v>2272</v>
      </c>
      <c r="B1629" s="1">
        <v>45890</v>
      </c>
      <c r="C1629" t="s">
        <v>2002</v>
      </c>
      <c r="D1629" t="s">
        <v>67</v>
      </c>
      <c r="E1629" t="s">
        <v>36</v>
      </c>
      <c r="F1629" t="s">
        <v>47</v>
      </c>
      <c r="G1629" t="s">
        <v>138</v>
      </c>
      <c r="H1629">
        <v>1</v>
      </c>
      <c r="I1629" s="21">
        <v>21721</v>
      </c>
      <c r="J1629">
        <v>15</v>
      </c>
      <c r="K1629" s="21">
        <v>3258.15</v>
      </c>
      <c r="L1629" s="21">
        <v>18462.849999999999</v>
      </c>
      <c r="M1629" s="21">
        <v>13083.15</v>
      </c>
      <c r="N1629" s="21">
        <v>5379.7</v>
      </c>
      <c r="O1629" t="s">
        <v>39</v>
      </c>
      <c r="P1629" s="21">
        <v>687.63</v>
      </c>
      <c r="Q1629" t="s">
        <v>40</v>
      </c>
      <c r="R1629" t="s">
        <v>41</v>
      </c>
      <c r="S1629">
        <v>2</v>
      </c>
      <c r="T1629">
        <v>4</v>
      </c>
      <c r="U1629" t="s">
        <v>56</v>
      </c>
      <c r="V1629" t="s">
        <v>33</v>
      </c>
      <c r="W1629">
        <v>5</v>
      </c>
    </row>
    <row r="1630" spans="1:23" x14ac:dyDescent="0.25">
      <c r="A1630" t="s">
        <v>2273</v>
      </c>
      <c r="B1630" s="1">
        <v>45832</v>
      </c>
      <c r="C1630" t="s">
        <v>714</v>
      </c>
      <c r="D1630" t="s">
        <v>97</v>
      </c>
      <c r="E1630" t="s">
        <v>26</v>
      </c>
      <c r="F1630" t="s">
        <v>47</v>
      </c>
      <c r="G1630" t="s">
        <v>48</v>
      </c>
      <c r="H1630">
        <v>1</v>
      </c>
      <c r="I1630" s="21">
        <v>19984</v>
      </c>
      <c r="J1630">
        <v>0</v>
      </c>
      <c r="K1630" s="21">
        <v>0</v>
      </c>
      <c r="L1630" s="21">
        <v>19984</v>
      </c>
      <c r="M1630" s="21">
        <v>15803.8</v>
      </c>
      <c r="N1630" s="21">
        <v>4180.2</v>
      </c>
      <c r="O1630" t="s">
        <v>60</v>
      </c>
      <c r="P1630" s="21">
        <v>734.62</v>
      </c>
      <c r="Q1630" t="s">
        <v>73</v>
      </c>
      <c r="R1630" t="s">
        <v>31</v>
      </c>
      <c r="S1630">
        <v>5</v>
      </c>
      <c r="T1630">
        <v>5</v>
      </c>
      <c r="U1630" t="s">
        <v>32</v>
      </c>
      <c r="V1630" t="s">
        <v>33</v>
      </c>
      <c r="W1630">
        <v>4</v>
      </c>
    </row>
    <row r="1631" spans="1:23" x14ac:dyDescent="0.25">
      <c r="A1631" t="s">
        <v>2274</v>
      </c>
      <c r="B1631" s="1">
        <v>45738</v>
      </c>
      <c r="C1631" t="s">
        <v>349</v>
      </c>
      <c r="D1631" t="s">
        <v>154</v>
      </c>
      <c r="E1631" t="s">
        <v>46</v>
      </c>
      <c r="F1631" t="s">
        <v>47</v>
      </c>
      <c r="G1631" t="s">
        <v>146</v>
      </c>
      <c r="H1631">
        <v>1</v>
      </c>
      <c r="I1631" s="21">
        <v>16996</v>
      </c>
      <c r="J1631">
        <v>10</v>
      </c>
      <c r="K1631" s="21">
        <v>1699.6</v>
      </c>
      <c r="L1631" s="21">
        <v>15296.4</v>
      </c>
      <c r="M1631" s="21">
        <v>8502.39</v>
      </c>
      <c r="N1631" s="21">
        <v>6794.01</v>
      </c>
      <c r="O1631" t="s">
        <v>91</v>
      </c>
      <c r="P1631" s="21">
        <v>1843.53</v>
      </c>
      <c r="Q1631" t="s">
        <v>30</v>
      </c>
      <c r="R1631" t="s">
        <v>41</v>
      </c>
      <c r="S1631">
        <v>2</v>
      </c>
      <c r="T1631">
        <v>1</v>
      </c>
      <c r="U1631" t="s">
        <v>32</v>
      </c>
      <c r="V1631" t="s">
        <v>42</v>
      </c>
    </row>
    <row r="1632" spans="1:23" x14ac:dyDescent="0.25">
      <c r="A1632" t="s">
        <v>2275</v>
      </c>
      <c r="B1632" s="1">
        <v>45847</v>
      </c>
      <c r="C1632" t="s">
        <v>933</v>
      </c>
      <c r="D1632" t="s">
        <v>124</v>
      </c>
      <c r="E1632" t="s">
        <v>46</v>
      </c>
      <c r="F1632" t="s">
        <v>47</v>
      </c>
      <c r="G1632" t="s">
        <v>138</v>
      </c>
      <c r="H1632">
        <v>3</v>
      </c>
      <c r="I1632" s="21">
        <v>10158</v>
      </c>
      <c r="J1632">
        <v>10</v>
      </c>
      <c r="K1632" s="21">
        <v>3047.4</v>
      </c>
      <c r="L1632" s="21">
        <v>27426.6</v>
      </c>
      <c r="M1632" s="21">
        <v>15794.32</v>
      </c>
      <c r="N1632" s="21">
        <v>11632.28</v>
      </c>
      <c r="O1632" t="s">
        <v>39</v>
      </c>
      <c r="P1632" s="21">
        <v>406.48</v>
      </c>
      <c r="Q1632" t="s">
        <v>73</v>
      </c>
      <c r="R1632" t="s">
        <v>41</v>
      </c>
      <c r="S1632">
        <v>2</v>
      </c>
      <c r="T1632">
        <v>2</v>
      </c>
      <c r="U1632" t="s">
        <v>32</v>
      </c>
      <c r="V1632" t="s">
        <v>33</v>
      </c>
      <c r="W1632">
        <v>5</v>
      </c>
    </row>
    <row r="1633" spans="1:23" x14ac:dyDescent="0.25">
      <c r="A1633" t="s">
        <v>2276</v>
      </c>
      <c r="B1633" s="1">
        <v>45817</v>
      </c>
      <c r="C1633" t="s">
        <v>807</v>
      </c>
      <c r="D1633" t="s">
        <v>90</v>
      </c>
      <c r="E1633" t="s">
        <v>36</v>
      </c>
      <c r="F1633" t="s">
        <v>86</v>
      </c>
      <c r="G1633" t="s">
        <v>110</v>
      </c>
      <c r="H1633">
        <v>1</v>
      </c>
      <c r="I1633" s="21">
        <v>41832</v>
      </c>
      <c r="J1633">
        <v>10</v>
      </c>
      <c r="K1633" s="21">
        <v>4183.2</v>
      </c>
      <c r="L1633" s="21">
        <v>37648.800000000003</v>
      </c>
      <c r="M1633" s="21">
        <v>30326.18</v>
      </c>
      <c r="N1633" s="21">
        <v>7322.62</v>
      </c>
      <c r="O1633" t="s">
        <v>29</v>
      </c>
      <c r="P1633" s="21">
        <v>381</v>
      </c>
      <c r="Q1633" t="s">
        <v>40</v>
      </c>
      <c r="R1633" t="s">
        <v>41</v>
      </c>
      <c r="S1633">
        <v>2</v>
      </c>
      <c r="T1633">
        <v>1</v>
      </c>
      <c r="U1633" t="s">
        <v>32</v>
      </c>
      <c r="V1633" t="s">
        <v>33</v>
      </c>
      <c r="W1633">
        <v>1</v>
      </c>
    </row>
    <row r="1634" spans="1:23" x14ac:dyDescent="0.25">
      <c r="A1634" t="s">
        <v>2277</v>
      </c>
      <c r="B1634" s="1">
        <v>45824</v>
      </c>
      <c r="C1634" t="s">
        <v>624</v>
      </c>
      <c r="D1634" t="s">
        <v>79</v>
      </c>
      <c r="E1634" t="s">
        <v>46</v>
      </c>
      <c r="F1634" t="s">
        <v>47</v>
      </c>
      <c r="G1634" t="s">
        <v>48</v>
      </c>
      <c r="H1634">
        <v>1</v>
      </c>
      <c r="I1634" s="21">
        <v>9332</v>
      </c>
      <c r="J1634">
        <v>0</v>
      </c>
      <c r="K1634" s="21">
        <v>0</v>
      </c>
      <c r="L1634" s="21">
        <v>9332</v>
      </c>
      <c r="M1634" s="21">
        <v>6610.07</v>
      </c>
      <c r="N1634" s="21">
        <v>2721.93</v>
      </c>
      <c r="O1634" t="s">
        <v>91</v>
      </c>
      <c r="P1634" s="21">
        <v>1003.38</v>
      </c>
      <c r="Q1634" t="s">
        <v>68</v>
      </c>
      <c r="R1634" t="s">
        <v>41</v>
      </c>
      <c r="S1634">
        <v>2</v>
      </c>
      <c r="T1634">
        <v>1</v>
      </c>
      <c r="U1634" t="s">
        <v>32</v>
      </c>
      <c r="V1634" t="s">
        <v>33</v>
      </c>
      <c r="W1634">
        <v>1</v>
      </c>
    </row>
    <row r="1635" spans="1:23" x14ac:dyDescent="0.25">
      <c r="A1635" t="s">
        <v>2278</v>
      </c>
      <c r="B1635" s="1">
        <v>45948</v>
      </c>
      <c r="C1635" t="s">
        <v>941</v>
      </c>
      <c r="D1635" t="s">
        <v>79</v>
      </c>
      <c r="E1635" t="s">
        <v>26</v>
      </c>
      <c r="F1635" t="s">
        <v>86</v>
      </c>
      <c r="G1635" t="s">
        <v>110</v>
      </c>
      <c r="H1635">
        <v>1</v>
      </c>
      <c r="I1635" s="21">
        <v>71170</v>
      </c>
      <c r="J1635">
        <v>10</v>
      </c>
      <c r="K1635" s="21">
        <v>7117</v>
      </c>
      <c r="L1635" s="21">
        <v>64053</v>
      </c>
      <c r="M1635" s="21">
        <v>43810.2</v>
      </c>
      <c r="N1635" s="21">
        <v>20242.8</v>
      </c>
      <c r="O1635" t="s">
        <v>29</v>
      </c>
      <c r="P1635" s="21">
        <v>2034.35</v>
      </c>
      <c r="Q1635" t="s">
        <v>68</v>
      </c>
      <c r="R1635" t="s">
        <v>41</v>
      </c>
      <c r="S1635">
        <v>2</v>
      </c>
      <c r="T1635">
        <v>4</v>
      </c>
      <c r="U1635" t="s">
        <v>56</v>
      </c>
      <c r="V1635" t="s">
        <v>33</v>
      </c>
      <c r="W1635">
        <v>4</v>
      </c>
    </row>
    <row r="1636" spans="1:23" x14ac:dyDescent="0.25">
      <c r="A1636" t="s">
        <v>2279</v>
      </c>
      <c r="B1636" s="1">
        <v>45963</v>
      </c>
      <c r="C1636" t="s">
        <v>1680</v>
      </c>
      <c r="D1636" t="s">
        <v>71</v>
      </c>
      <c r="E1636" t="s">
        <v>46</v>
      </c>
      <c r="F1636" t="s">
        <v>37</v>
      </c>
      <c r="G1636" t="s">
        <v>161</v>
      </c>
      <c r="H1636">
        <v>2</v>
      </c>
      <c r="I1636" s="21">
        <v>39156</v>
      </c>
      <c r="J1636">
        <v>10</v>
      </c>
      <c r="K1636" s="21">
        <v>7831.2</v>
      </c>
      <c r="L1636" s="21">
        <v>70480.800000000003</v>
      </c>
      <c r="M1636" s="21">
        <v>55734.8</v>
      </c>
      <c r="N1636" s="21">
        <v>14746</v>
      </c>
      <c r="O1636" t="s">
        <v>91</v>
      </c>
      <c r="P1636" s="21">
        <v>502.27</v>
      </c>
      <c r="Q1636" t="s">
        <v>83</v>
      </c>
      <c r="R1636" t="s">
        <v>41</v>
      </c>
      <c r="S1636">
        <v>2</v>
      </c>
      <c r="T1636">
        <v>1</v>
      </c>
      <c r="U1636" t="s">
        <v>32</v>
      </c>
      <c r="V1636" t="s">
        <v>50</v>
      </c>
      <c r="W1636">
        <v>3</v>
      </c>
    </row>
    <row r="1637" spans="1:23" x14ac:dyDescent="0.25">
      <c r="A1637" t="s">
        <v>2280</v>
      </c>
      <c r="B1637" s="1">
        <v>45701</v>
      </c>
      <c r="C1637" t="s">
        <v>386</v>
      </c>
      <c r="D1637" t="s">
        <v>25</v>
      </c>
      <c r="E1637" t="s">
        <v>46</v>
      </c>
      <c r="F1637" t="s">
        <v>27</v>
      </c>
      <c r="G1637" t="s">
        <v>113</v>
      </c>
      <c r="H1637">
        <v>1</v>
      </c>
      <c r="I1637" s="21">
        <v>19915</v>
      </c>
      <c r="J1637">
        <v>15</v>
      </c>
      <c r="K1637" s="21">
        <v>2987.25</v>
      </c>
      <c r="L1637" s="21">
        <v>16927.75</v>
      </c>
      <c r="M1637" s="21">
        <v>12032.66</v>
      </c>
      <c r="N1637" s="21">
        <v>4895.09</v>
      </c>
      <c r="O1637" t="s">
        <v>55</v>
      </c>
      <c r="P1637" s="21">
        <v>636.65</v>
      </c>
      <c r="Q1637" t="s">
        <v>68</v>
      </c>
      <c r="R1637" t="s">
        <v>31</v>
      </c>
      <c r="S1637">
        <v>5</v>
      </c>
      <c r="T1637">
        <v>4</v>
      </c>
      <c r="U1637" t="s">
        <v>32</v>
      </c>
      <c r="V1637" t="s">
        <v>33</v>
      </c>
      <c r="W1637">
        <v>3</v>
      </c>
    </row>
    <row r="1638" spans="1:23" x14ac:dyDescent="0.25">
      <c r="A1638" t="s">
        <v>2281</v>
      </c>
      <c r="B1638" s="1">
        <v>45684</v>
      </c>
      <c r="C1638" t="s">
        <v>1080</v>
      </c>
      <c r="D1638" t="s">
        <v>90</v>
      </c>
      <c r="E1638" t="s">
        <v>26</v>
      </c>
      <c r="F1638" t="s">
        <v>27</v>
      </c>
      <c r="G1638" t="s">
        <v>164</v>
      </c>
      <c r="H1638">
        <v>1</v>
      </c>
      <c r="I1638" s="21">
        <v>28577</v>
      </c>
      <c r="J1638">
        <v>0</v>
      </c>
      <c r="K1638" s="21">
        <v>0</v>
      </c>
      <c r="L1638" s="21">
        <v>28577</v>
      </c>
      <c r="M1638" s="21">
        <v>22272.52</v>
      </c>
      <c r="N1638" s="21">
        <v>6304.48</v>
      </c>
      <c r="O1638" t="s">
        <v>49</v>
      </c>
      <c r="P1638" s="21">
        <v>268.52</v>
      </c>
      <c r="Q1638" t="s">
        <v>40</v>
      </c>
      <c r="R1638" t="s">
        <v>31</v>
      </c>
      <c r="S1638">
        <v>5</v>
      </c>
      <c r="T1638">
        <v>4</v>
      </c>
      <c r="U1638" t="s">
        <v>32</v>
      </c>
      <c r="V1638" t="s">
        <v>50</v>
      </c>
      <c r="W1638">
        <v>2</v>
      </c>
    </row>
    <row r="1639" spans="1:23" x14ac:dyDescent="0.25">
      <c r="A1639" t="s">
        <v>2282</v>
      </c>
      <c r="B1639" s="1">
        <v>45737</v>
      </c>
      <c r="C1639" t="s">
        <v>1363</v>
      </c>
      <c r="D1639" t="s">
        <v>79</v>
      </c>
      <c r="E1639" t="s">
        <v>26</v>
      </c>
      <c r="F1639" t="s">
        <v>37</v>
      </c>
      <c r="G1639" t="s">
        <v>38</v>
      </c>
      <c r="H1639">
        <v>1</v>
      </c>
      <c r="I1639" s="21">
        <v>19930</v>
      </c>
      <c r="J1639">
        <v>25</v>
      </c>
      <c r="K1639" s="21">
        <v>4982.5</v>
      </c>
      <c r="L1639" s="21">
        <v>14947.5</v>
      </c>
      <c r="M1639" s="21">
        <v>10331.870000000001</v>
      </c>
      <c r="N1639" s="21">
        <v>4615.63</v>
      </c>
      <c r="O1639" t="s">
        <v>29</v>
      </c>
      <c r="P1639" s="21">
        <v>1432.01</v>
      </c>
      <c r="Q1639" t="s">
        <v>73</v>
      </c>
      <c r="R1639" t="s">
        <v>41</v>
      </c>
      <c r="S1639">
        <v>2</v>
      </c>
      <c r="T1639">
        <v>2</v>
      </c>
      <c r="U1639" t="s">
        <v>32</v>
      </c>
      <c r="V1639" t="s">
        <v>33</v>
      </c>
      <c r="W1639">
        <v>5</v>
      </c>
    </row>
    <row r="1640" spans="1:23" x14ac:dyDescent="0.25">
      <c r="A1640" t="s">
        <v>2283</v>
      </c>
      <c r="B1640" s="1">
        <v>45738</v>
      </c>
      <c r="C1640" t="s">
        <v>2284</v>
      </c>
      <c r="D1640" t="s">
        <v>71</v>
      </c>
      <c r="E1640" t="s">
        <v>46</v>
      </c>
      <c r="F1640" t="s">
        <v>53</v>
      </c>
      <c r="G1640" t="s">
        <v>82</v>
      </c>
      <c r="H1640">
        <v>1</v>
      </c>
      <c r="I1640" s="21">
        <v>13611</v>
      </c>
      <c r="J1640">
        <v>15</v>
      </c>
      <c r="K1640" s="21">
        <v>2041.65</v>
      </c>
      <c r="L1640" s="21">
        <v>11569.35</v>
      </c>
      <c r="M1640" s="21">
        <v>8733.25</v>
      </c>
      <c r="N1640" s="21">
        <v>2836.1</v>
      </c>
      <c r="O1640" t="s">
        <v>29</v>
      </c>
      <c r="P1640" s="21">
        <v>1300.8599999999999</v>
      </c>
      <c r="Q1640" t="s">
        <v>40</v>
      </c>
      <c r="R1640" t="s">
        <v>31</v>
      </c>
      <c r="S1640">
        <v>5</v>
      </c>
      <c r="T1640">
        <v>3</v>
      </c>
      <c r="U1640" t="s">
        <v>32</v>
      </c>
      <c r="V1640" t="s">
        <v>42</v>
      </c>
    </row>
    <row r="1641" spans="1:23" x14ac:dyDescent="0.25">
      <c r="A1641" t="s">
        <v>2285</v>
      </c>
      <c r="B1641" s="1">
        <v>45974</v>
      </c>
      <c r="C1641" t="s">
        <v>406</v>
      </c>
      <c r="D1641" t="s">
        <v>154</v>
      </c>
      <c r="E1641" t="s">
        <v>26</v>
      </c>
      <c r="F1641" t="s">
        <v>53</v>
      </c>
      <c r="G1641" t="s">
        <v>151</v>
      </c>
      <c r="H1641">
        <v>2</v>
      </c>
      <c r="I1641" s="21">
        <v>103896</v>
      </c>
      <c r="J1641">
        <v>20</v>
      </c>
      <c r="K1641" s="21">
        <v>41558.400000000001</v>
      </c>
      <c r="L1641" s="21">
        <v>166233.60000000001</v>
      </c>
      <c r="M1641" s="21">
        <v>98355.63</v>
      </c>
      <c r="N1641" s="21">
        <v>67877.97</v>
      </c>
      <c r="O1641" t="s">
        <v>49</v>
      </c>
      <c r="P1641" s="21">
        <v>208.27</v>
      </c>
      <c r="Q1641" t="s">
        <v>73</v>
      </c>
      <c r="R1641" t="s">
        <v>41</v>
      </c>
      <c r="S1641">
        <v>2</v>
      </c>
      <c r="T1641">
        <v>1</v>
      </c>
      <c r="U1641" t="s">
        <v>32</v>
      </c>
      <c r="V1641" t="s">
        <v>33</v>
      </c>
      <c r="W1641">
        <v>2</v>
      </c>
    </row>
    <row r="1642" spans="1:23" x14ac:dyDescent="0.25">
      <c r="A1642" t="s">
        <v>2286</v>
      </c>
      <c r="B1642" s="1">
        <v>45683</v>
      </c>
      <c r="C1642" t="s">
        <v>2051</v>
      </c>
      <c r="D1642" t="s">
        <v>124</v>
      </c>
      <c r="E1642" t="s">
        <v>26</v>
      </c>
      <c r="F1642" t="s">
        <v>53</v>
      </c>
      <c r="G1642" t="s">
        <v>54</v>
      </c>
      <c r="H1642">
        <v>2</v>
      </c>
      <c r="I1642" s="21">
        <v>78922</v>
      </c>
      <c r="J1642">
        <v>20</v>
      </c>
      <c r="K1642" s="21">
        <v>31568.799999999999</v>
      </c>
      <c r="L1642" s="21">
        <v>126275.2</v>
      </c>
      <c r="M1642" s="21">
        <v>101919.37</v>
      </c>
      <c r="N1642" s="21">
        <v>24355.83</v>
      </c>
      <c r="O1642" t="s">
        <v>49</v>
      </c>
      <c r="P1642" s="21">
        <v>338.69</v>
      </c>
      <c r="Q1642" t="s">
        <v>73</v>
      </c>
      <c r="R1642" t="s">
        <v>41</v>
      </c>
      <c r="S1642">
        <v>2</v>
      </c>
      <c r="T1642">
        <v>0</v>
      </c>
      <c r="U1642" t="s">
        <v>32</v>
      </c>
      <c r="V1642" t="s">
        <v>42</v>
      </c>
    </row>
    <row r="1643" spans="1:23" x14ac:dyDescent="0.25">
      <c r="A1643" t="s">
        <v>2287</v>
      </c>
      <c r="B1643" s="1">
        <v>46003</v>
      </c>
      <c r="C1643" t="s">
        <v>2131</v>
      </c>
      <c r="D1643" t="s">
        <v>124</v>
      </c>
      <c r="E1643" t="s">
        <v>26</v>
      </c>
      <c r="F1643" t="s">
        <v>86</v>
      </c>
      <c r="G1643" t="s">
        <v>110</v>
      </c>
      <c r="H1643">
        <v>1</v>
      </c>
      <c r="I1643" s="21">
        <v>40529</v>
      </c>
      <c r="J1643">
        <v>15</v>
      </c>
      <c r="K1643" s="21">
        <v>6079.35</v>
      </c>
      <c r="L1643" s="21">
        <v>34449.65</v>
      </c>
      <c r="M1643" s="21">
        <v>22471.78</v>
      </c>
      <c r="N1643" s="21">
        <v>11977.87</v>
      </c>
      <c r="O1643" t="s">
        <v>60</v>
      </c>
      <c r="P1643" s="21">
        <v>1056.92</v>
      </c>
      <c r="Q1643" t="s">
        <v>40</v>
      </c>
      <c r="R1643" t="s">
        <v>41</v>
      </c>
      <c r="S1643">
        <v>2</v>
      </c>
      <c r="T1643">
        <v>3</v>
      </c>
      <c r="U1643" t="s">
        <v>32</v>
      </c>
      <c r="V1643" t="s">
        <v>42</v>
      </c>
    </row>
    <row r="1644" spans="1:23" x14ac:dyDescent="0.25">
      <c r="A1644" t="s">
        <v>2288</v>
      </c>
      <c r="B1644" s="1">
        <v>45699</v>
      </c>
      <c r="C1644" t="s">
        <v>742</v>
      </c>
      <c r="D1644" t="s">
        <v>79</v>
      </c>
      <c r="E1644" t="s">
        <v>46</v>
      </c>
      <c r="F1644" t="s">
        <v>86</v>
      </c>
      <c r="G1644" t="s">
        <v>127</v>
      </c>
      <c r="H1644">
        <v>1</v>
      </c>
      <c r="I1644" s="21">
        <v>53899</v>
      </c>
      <c r="J1644">
        <v>10</v>
      </c>
      <c r="K1644" s="21">
        <v>5389.9</v>
      </c>
      <c r="L1644" s="21">
        <v>48509.1</v>
      </c>
      <c r="M1644" s="21">
        <v>29940.54</v>
      </c>
      <c r="N1644" s="21">
        <v>18568.560000000001</v>
      </c>
      <c r="O1644" t="s">
        <v>60</v>
      </c>
      <c r="P1644" s="21">
        <v>1708.39</v>
      </c>
      <c r="Q1644" t="s">
        <v>68</v>
      </c>
      <c r="R1644" t="s">
        <v>31</v>
      </c>
      <c r="S1644">
        <v>5</v>
      </c>
      <c r="T1644">
        <v>4</v>
      </c>
      <c r="U1644" t="s">
        <v>32</v>
      </c>
      <c r="V1644" t="s">
        <v>33</v>
      </c>
      <c r="W1644">
        <v>5</v>
      </c>
    </row>
    <row r="1645" spans="1:23" x14ac:dyDescent="0.25">
      <c r="A1645" t="s">
        <v>2289</v>
      </c>
      <c r="B1645" s="1">
        <v>45797</v>
      </c>
      <c r="C1645" t="s">
        <v>195</v>
      </c>
      <c r="D1645" t="s">
        <v>90</v>
      </c>
      <c r="E1645" t="s">
        <v>46</v>
      </c>
      <c r="F1645" t="s">
        <v>37</v>
      </c>
      <c r="G1645" t="s">
        <v>161</v>
      </c>
      <c r="H1645">
        <v>2</v>
      </c>
      <c r="I1645" s="21">
        <v>18019</v>
      </c>
      <c r="J1645">
        <v>5</v>
      </c>
      <c r="K1645" s="21">
        <v>1801.9</v>
      </c>
      <c r="L1645" s="21">
        <v>34236.1</v>
      </c>
      <c r="M1645" s="21">
        <v>25952.44</v>
      </c>
      <c r="N1645" s="21">
        <v>8283.66</v>
      </c>
      <c r="O1645" t="s">
        <v>91</v>
      </c>
      <c r="P1645" s="21">
        <v>756.49</v>
      </c>
      <c r="Q1645" t="s">
        <v>68</v>
      </c>
      <c r="R1645" t="s">
        <v>41</v>
      </c>
      <c r="S1645">
        <v>2</v>
      </c>
      <c r="T1645">
        <v>3</v>
      </c>
      <c r="U1645" t="s">
        <v>32</v>
      </c>
      <c r="V1645" t="s">
        <v>50</v>
      </c>
      <c r="W1645">
        <v>5</v>
      </c>
    </row>
    <row r="1646" spans="1:23" x14ac:dyDescent="0.25">
      <c r="A1646" t="s">
        <v>2290</v>
      </c>
      <c r="B1646" s="1">
        <v>45884</v>
      </c>
      <c r="C1646" t="s">
        <v>1438</v>
      </c>
      <c r="D1646" t="s">
        <v>97</v>
      </c>
      <c r="E1646" t="s">
        <v>46</v>
      </c>
      <c r="F1646" t="s">
        <v>53</v>
      </c>
      <c r="G1646" t="s">
        <v>54</v>
      </c>
      <c r="H1646">
        <v>2</v>
      </c>
      <c r="I1646" s="21">
        <v>119054</v>
      </c>
      <c r="J1646">
        <v>25</v>
      </c>
      <c r="K1646" s="21">
        <v>59527</v>
      </c>
      <c r="L1646" s="21">
        <v>178581</v>
      </c>
      <c r="M1646" s="21">
        <v>121387.11</v>
      </c>
      <c r="N1646" s="21">
        <v>57193.89</v>
      </c>
      <c r="O1646" t="s">
        <v>60</v>
      </c>
      <c r="P1646" s="21">
        <v>438.04</v>
      </c>
      <c r="Q1646" t="s">
        <v>73</v>
      </c>
      <c r="R1646" t="s">
        <v>31</v>
      </c>
      <c r="S1646">
        <v>5</v>
      </c>
      <c r="T1646">
        <v>2</v>
      </c>
      <c r="U1646" t="s">
        <v>32</v>
      </c>
      <c r="V1646" t="s">
        <v>33</v>
      </c>
      <c r="W1646">
        <v>5</v>
      </c>
    </row>
    <row r="1647" spans="1:23" x14ac:dyDescent="0.25">
      <c r="A1647" t="s">
        <v>2291</v>
      </c>
      <c r="B1647" s="1">
        <v>45996</v>
      </c>
      <c r="C1647" t="s">
        <v>1106</v>
      </c>
      <c r="D1647" t="s">
        <v>63</v>
      </c>
      <c r="E1647" t="s">
        <v>46</v>
      </c>
      <c r="F1647" t="s">
        <v>53</v>
      </c>
      <c r="G1647" t="s">
        <v>268</v>
      </c>
      <c r="H1647">
        <v>2</v>
      </c>
      <c r="I1647" s="21">
        <v>53839</v>
      </c>
      <c r="J1647">
        <v>0</v>
      </c>
      <c r="K1647" s="21">
        <v>0</v>
      </c>
      <c r="L1647" s="21">
        <v>107678</v>
      </c>
      <c r="M1647" s="21">
        <v>78579.98</v>
      </c>
      <c r="N1647" s="21">
        <v>29098.02</v>
      </c>
      <c r="O1647" t="s">
        <v>39</v>
      </c>
      <c r="P1647" s="21">
        <v>2147.2600000000002</v>
      </c>
      <c r="Q1647" t="s">
        <v>30</v>
      </c>
      <c r="R1647" t="s">
        <v>31</v>
      </c>
      <c r="S1647">
        <v>5</v>
      </c>
      <c r="T1647">
        <v>4</v>
      </c>
      <c r="U1647" t="s">
        <v>32</v>
      </c>
      <c r="V1647" t="s">
        <v>42</v>
      </c>
    </row>
    <row r="1648" spans="1:23" x14ac:dyDescent="0.25">
      <c r="A1648" t="s">
        <v>2292</v>
      </c>
      <c r="B1648" s="1">
        <v>45875</v>
      </c>
      <c r="C1648" t="s">
        <v>565</v>
      </c>
      <c r="D1648" t="s">
        <v>97</v>
      </c>
      <c r="E1648" t="s">
        <v>46</v>
      </c>
      <c r="F1648" t="s">
        <v>27</v>
      </c>
      <c r="G1648" t="s">
        <v>76</v>
      </c>
      <c r="H1648">
        <v>1</v>
      </c>
      <c r="I1648" s="21">
        <v>10125</v>
      </c>
      <c r="J1648">
        <v>5</v>
      </c>
      <c r="K1648" s="21">
        <v>506.25</v>
      </c>
      <c r="L1648" s="21">
        <v>9618.75</v>
      </c>
      <c r="M1648" s="21">
        <v>6656.76</v>
      </c>
      <c r="N1648" s="21">
        <v>2961.99</v>
      </c>
      <c r="O1648" t="s">
        <v>60</v>
      </c>
      <c r="P1648" s="21">
        <v>1534.61</v>
      </c>
      <c r="Q1648" t="s">
        <v>73</v>
      </c>
      <c r="R1648" t="s">
        <v>31</v>
      </c>
      <c r="S1648">
        <v>5</v>
      </c>
      <c r="T1648">
        <v>0</v>
      </c>
      <c r="U1648" t="s">
        <v>32</v>
      </c>
      <c r="V1648" t="s">
        <v>50</v>
      </c>
      <c r="W1648">
        <v>1</v>
      </c>
    </row>
    <row r="1649" spans="1:23" x14ac:dyDescent="0.25">
      <c r="A1649" t="s">
        <v>2293</v>
      </c>
      <c r="B1649" s="1">
        <v>45906</v>
      </c>
      <c r="C1649" t="s">
        <v>2294</v>
      </c>
      <c r="D1649" t="s">
        <v>45</v>
      </c>
      <c r="E1649" t="s">
        <v>26</v>
      </c>
      <c r="F1649" t="s">
        <v>47</v>
      </c>
      <c r="G1649" t="s">
        <v>48</v>
      </c>
      <c r="H1649">
        <v>1</v>
      </c>
      <c r="I1649" s="21">
        <v>39225</v>
      </c>
      <c r="J1649">
        <v>15</v>
      </c>
      <c r="K1649" s="21">
        <v>5883.75</v>
      </c>
      <c r="L1649" s="21">
        <v>33341.25</v>
      </c>
      <c r="M1649" s="21">
        <v>21165.19</v>
      </c>
      <c r="N1649" s="21">
        <v>12176.06</v>
      </c>
      <c r="O1649" t="s">
        <v>39</v>
      </c>
      <c r="P1649" s="21">
        <v>1091.22</v>
      </c>
      <c r="Q1649" t="s">
        <v>40</v>
      </c>
      <c r="R1649" t="s">
        <v>41</v>
      </c>
      <c r="S1649">
        <v>2</v>
      </c>
      <c r="T1649">
        <v>3</v>
      </c>
      <c r="U1649" t="s">
        <v>56</v>
      </c>
      <c r="V1649" t="s">
        <v>33</v>
      </c>
      <c r="W1649">
        <v>5</v>
      </c>
    </row>
    <row r="1650" spans="1:23" x14ac:dyDescent="0.25">
      <c r="A1650" t="s">
        <v>2295</v>
      </c>
      <c r="B1650" s="1">
        <v>45968</v>
      </c>
      <c r="C1650" t="s">
        <v>230</v>
      </c>
      <c r="D1650" t="s">
        <v>25</v>
      </c>
      <c r="E1650" t="s">
        <v>26</v>
      </c>
      <c r="F1650" t="s">
        <v>37</v>
      </c>
      <c r="G1650" t="s">
        <v>100</v>
      </c>
      <c r="H1650">
        <v>2</v>
      </c>
      <c r="I1650" s="21">
        <v>33644</v>
      </c>
      <c r="J1650">
        <v>10</v>
      </c>
      <c r="K1650" s="21">
        <v>6728.8</v>
      </c>
      <c r="L1650" s="21">
        <v>60559.199999999997</v>
      </c>
      <c r="M1650" s="21">
        <v>43638.71</v>
      </c>
      <c r="N1650" s="21">
        <v>16920.490000000002</v>
      </c>
      <c r="O1650" t="s">
        <v>55</v>
      </c>
      <c r="P1650" s="21">
        <v>493.01</v>
      </c>
      <c r="Q1650" t="s">
        <v>83</v>
      </c>
      <c r="R1650" t="s">
        <v>31</v>
      </c>
      <c r="S1650">
        <v>5</v>
      </c>
      <c r="T1650">
        <v>7</v>
      </c>
      <c r="U1650" t="s">
        <v>56</v>
      </c>
      <c r="V1650" t="s">
        <v>33</v>
      </c>
      <c r="W1650">
        <v>2</v>
      </c>
    </row>
    <row r="1651" spans="1:23" x14ac:dyDescent="0.25">
      <c r="A1651" t="s">
        <v>2296</v>
      </c>
      <c r="B1651" s="1">
        <v>45884</v>
      </c>
      <c r="C1651" t="s">
        <v>719</v>
      </c>
      <c r="D1651" t="s">
        <v>90</v>
      </c>
      <c r="E1651" t="s">
        <v>46</v>
      </c>
      <c r="F1651" t="s">
        <v>47</v>
      </c>
      <c r="G1651" t="s">
        <v>146</v>
      </c>
      <c r="H1651">
        <v>1</v>
      </c>
      <c r="I1651" s="21">
        <v>19088</v>
      </c>
      <c r="J1651">
        <v>25</v>
      </c>
      <c r="K1651" s="21">
        <v>4772</v>
      </c>
      <c r="L1651" s="21">
        <v>14316</v>
      </c>
      <c r="M1651" s="21">
        <v>10053.31</v>
      </c>
      <c r="N1651" s="21">
        <v>4262.6899999999996</v>
      </c>
      <c r="O1651" t="s">
        <v>39</v>
      </c>
      <c r="P1651" s="21">
        <v>2322.96</v>
      </c>
      <c r="Q1651" t="s">
        <v>68</v>
      </c>
      <c r="R1651" t="s">
        <v>41</v>
      </c>
      <c r="S1651">
        <v>2</v>
      </c>
      <c r="T1651">
        <v>7</v>
      </c>
      <c r="U1651" t="s">
        <v>56</v>
      </c>
      <c r="V1651" t="s">
        <v>33</v>
      </c>
      <c r="W1651">
        <v>1</v>
      </c>
    </row>
    <row r="1652" spans="1:23" x14ac:dyDescent="0.25">
      <c r="A1652" t="s">
        <v>2297</v>
      </c>
      <c r="B1652" s="1">
        <v>45870</v>
      </c>
      <c r="C1652" t="s">
        <v>133</v>
      </c>
      <c r="D1652" t="s">
        <v>79</v>
      </c>
      <c r="E1652" t="s">
        <v>46</v>
      </c>
      <c r="F1652" t="s">
        <v>37</v>
      </c>
      <c r="G1652" t="s">
        <v>224</v>
      </c>
      <c r="H1652">
        <v>1</v>
      </c>
      <c r="I1652" s="21">
        <v>12328</v>
      </c>
      <c r="J1652">
        <v>20</v>
      </c>
      <c r="K1652" s="21">
        <v>2465.6</v>
      </c>
      <c r="L1652" s="21">
        <v>9862.4</v>
      </c>
      <c r="M1652" s="21">
        <v>6828.19</v>
      </c>
      <c r="N1652" s="21">
        <v>3034.21</v>
      </c>
      <c r="O1652" t="s">
        <v>60</v>
      </c>
      <c r="P1652" s="21">
        <v>1660.24</v>
      </c>
      <c r="Q1652" t="s">
        <v>83</v>
      </c>
      <c r="R1652" t="s">
        <v>41</v>
      </c>
      <c r="S1652">
        <v>2</v>
      </c>
      <c r="T1652">
        <v>3</v>
      </c>
      <c r="U1652" t="s">
        <v>56</v>
      </c>
      <c r="V1652" t="s">
        <v>33</v>
      </c>
      <c r="W1652">
        <v>4</v>
      </c>
    </row>
    <row r="1653" spans="1:23" x14ac:dyDescent="0.25">
      <c r="A1653" t="s">
        <v>2298</v>
      </c>
      <c r="B1653" s="1">
        <v>45797</v>
      </c>
      <c r="C1653" t="s">
        <v>760</v>
      </c>
      <c r="D1653" t="s">
        <v>124</v>
      </c>
      <c r="E1653" t="s">
        <v>46</v>
      </c>
      <c r="F1653" t="s">
        <v>37</v>
      </c>
      <c r="G1653" t="s">
        <v>38</v>
      </c>
      <c r="H1653">
        <v>1</v>
      </c>
      <c r="I1653" s="21">
        <v>22471</v>
      </c>
      <c r="J1653">
        <v>10</v>
      </c>
      <c r="K1653" s="21">
        <v>2247.1</v>
      </c>
      <c r="L1653" s="21">
        <v>20223.900000000001</v>
      </c>
      <c r="M1653" s="21">
        <v>12777.29</v>
      </c>
      <c r="N1653" s="21">
        <v>7446.61</v>
      </c>
      <c r="O1653" t="s">
        <v>60</v>
      </c>
      <c r="P1653" s="21">
        <v>2038.26</v>
      </c>
      <c r="Q1653" t="s">
        <v>73</v>
      </c>
      <c r="R1653" t="s">
        <v>31</v>
      </c>
      <c r="S1653">
        <v>5</v>
      </c>
      <c r="T1653">
        <v>5</v>
      </c>
      <c r="U1653" t="s">
        <v>32</v>
      </c>
      <c r="V1653" t="s">
        <v>33</v>
      </c>
      <c r="W1653">
        <v>2</v>
      </c>
    </row>
    <row r="1654" spans="1:23" x14ac:dyDescent="0.25">
      <c r="A1654" t="s">
        <v>2299</v>
      </c>
      <c r="B1654" s="1">
        <v>45768</v>
      </c>
      <c r="C1654" t="s">
        <v>1065</v>
      </c>
      <c r="D1654" t="s">
        <v>97</v>
      </c>
      <c r="E1654" t="s">
        <v>36</v>
      </c>
      <c r="F1654" t="s">
        <v>37</v>
      </c>
      <c r="G1654" t="s">
        <v>161</v>
      </c>
      <c r="H1654">
        <v>1</v>
      </c>
      <c r="I1654" s="21">
        <v>34279</v>
      </c>
      <c r="J1654">
        <v>0</v>
      </c>
      <c r="K1654" s="21">
        <v>0</v>
      </c>
      <c r="L1654" s="21">
        <v>34279</v>
      </c>
      <c r="M1654" s="21">
        <v>21631.93</v>
      </c>
      <c r="N1654" s="21">
        <v>12647.07</v>
      </c>
      <c r="O1654" t="s">
        <v>29</v>
      </c>
      <c r="P1654" s="21">
        <v>2126.48</v>
      </c>
      <c r="Q1654" t="s">
        <v>83</v>
      </c>
      <c r="R1654" t="s">
        <v>31</v>
      </c>
      <c r="S1654">
        <v>5</v>
      </c>
      <c r="T1654">
        <v>5</v>
      </c>
      <c r="U1654" t="s">
        <v>32</v>
      </c>
      <c r="V1654" t="s">
        <v>33</v>
      </c>
      <c r="W1654">
        <v>1</v>
      </c>
    </row>
    <row r="1655" spans="1:23" x14ac:dyDescent="0.25">
      <c r="A1655" t="s">
        <v>2300</v>
      </c>
      <c r="B1655" s="1">
        <v>45920</v>
      </c>
      <c r="C1655" t="s">
        <v>255</v>
      </c>
      <c r="D1655" t="s">
        <v>71</v>
      </c>
      <c r="E1655" t="s">
        <v>46</v>
      </c>
      <c r="F1655" t="s">
        <v>37</v>
      </c>
      <c r="G1655" t="s">
        <v>224</v>
      </c>
      <c r="H1655">
        <v>2</v>
      </c>
      <c r="I1655" s="21">
        <v>20288</v>
      </c>
      <c r="J1655">
        <v>15</v>
      </c>
      <c r="K1655" s="21">
        <v>6086.4</v>
      </c>
      <c r="L1655" s="21">
        <v>34489.599999999999</v>
      </c>
      <c r="M1655" s="21">
        <v>19028.89</v>
      </c>
      <c r="N1655" s="21">
        <v>15460.71</v>
      </c>
      <c r="O1655" t="s">
        <v>49</v>
      </c>
      <c r="P1655" s="21">
        <v>254.39</v>
      </c>
      <c r="Q1655" t="s">
        <v>83</v>
      </c>
      <c r="R1655" t="s">
        <v>31</v>
      </c>
      <c r="S1655">
        <v>5</v>
      </c>
      <c r="T1655">
        <v>4</v>
      </c>
      <c r="U1655" t="s">
        <v>32</v>
      </c>
      <c r="V1655" t="s">
        <v>33</v>
      </c>
      <c r="W1655">
        <v>3</v>
      </c>
    </row>
    <row r="1656" spans="1:23" x14ac:dyDescent="0.25">
      <c r="A1656" t="s">
        <v>2301</v>
      </c>
      <c r="B1656" s="1">
        <v>45716</v>
      </c>
      <c r="C1656" t="s">
        <v>93</v>
      </c>
      <c r="D1656" t="s">
        <v>79</v>
      </c>
      <c r="E1656" t="s">
        <v>36</v>
      </c>
      <c r="F1656" t="s">
        <v>37</v>
      </c>
      <c r="G1656" t="s">
        <v>38</v>
      </c>
      <c r="H1656">
        <v>2</v>
      </c>
      <c r="I1656" s="21">
        <v>13372</v>
      </c>
      <c r="J1656">
        <v>10</v>
      </c>
      <c r="K1656" s="21">
        <v>2674.4</v>
      </c>
      <c r="L1656" s="21">
        <v>24069.599999999999</v>
      </c>
      <c r="M1656" s="21">
        <v>17958.23</v>
      </c>
      <c r="N1656" s="21">
        <v>6111.37</v>
      </c>
      <c r="O1656" t="s">
        <v>29</v>
      </c>
      <c r="P1656" s="21">
        <v>345.8</v>
      </c>
      <c r="Q1656" t="s">
        <v>83</v>
      </c>
      <c r="R1656" t="s">
        <v>31</v>
      </c>
      <c r="S1656">
        <v>5</v>
      </c>
      <c r="T1656">
        <v>5</v>
      </c>
      <c r="U1656" t="s">
        <v>32</v>
      </c>
      <c r="V1656" t="s">
        <v>33</v>
      </c>
      <c r="W1656">
        <v>3</v>
      </c>
    </row>
    <row r="1657" spans="1:23" x14ac:dyDescent="0.25">
      <c r="A1657" t="s">
        <v>2302</v>
      </c>
      <c r="B1657" s="1">
        <v>45834</v>
      </c>
      <c r="C1657" t="s">
        <v>144</v>
      </c>
      <c r="D1657" t="s">
        <v>63</v>
      </c>
      <c r="E1657" t="s">
        <v>46</v>
      </c>
      <c r="F1657" t="s">
        <v>47</v>
      </c>
      <c r="G1657" t="s">
        <v>48</v>
      </c>
      <c r="H1657">
        <v>1</v>
      </c>
      <c r="I1657" s="21">
        <v>14265</v>
      </c>
      <c r="J1657">
        <v>10</v>
      </c>
      <c r="K1657" s="21">
        <v>1426.5</v>
      </c>
      <c r="L1657" s="21">
        <v>12838.5</v>
      </c>
      <c r="M1657" s="21">
        <v>7094.82</v>
      </c>
      <c r="N1657" s="21">
        <v>5743.68</v>
      </c>
      <c r="O1657" t="s">
        <v>55</v>
      </c>
      <c r="P1657" s="21">
        <v>1818.9</v>
      </c>
      <c r="Q1657" t="s">
        <v>68</v>
      </c>
      <c r="R1657" t="s">
        <v>31</v>
      </c>
      <c r="S1657">
        <v>5</v>
      </c>
      <c r="T1657">
        <v>4</v>
      </c>
      <c r="U1657" t="s">
        <v>32</v>
      </c>
      <c r="V1657" t="s">
        <v>33</v>
      </c>
      <c r="W1657">
        <v>5</v>
      </c>
    </row>
    <row r="1658" spans="1:23" x14ac:dyDescent="0.25">
      <c r="A1658" t="s">
        <v>2303</v>
      </c>
      <c r="B1658" s="1">
        <v>45878</v>
      </c>
      <c r="C1658" t="s">
        <v>1227</v>
      </c>
      <c r="D1658" t="s">
        <v>45</v>
      </c>
      <c r="E1658" t="s">
        <v>46</v>
      </c>
      <c r="F1658" t="s">
        <v>86</v>
      </c>
      <c r="G1658" t="s">
        <v>180</v>
      </c>
      <c r="H1658">
        <v>1</v>
      </c>
      <c r="I1658" s="21">
        <v>53337</v>
      </c>
      <c r="J1658">
        <v>10</v>
      </c>
      <c r="K1658" s="21">
        <v>5333.7</v>
      </c>
      <c r="L1658" s="21">
        <v>48003.3</v>
      </c>
      <c r="M1658" s="21">
        <v>36671.83</v>
      </c>
      <c r="N1658" s="21">
        <v>11331.47</v>
      </c>
      <c r="O1658" t="s">
        <v>49</v>
      </c>
      <c r="P1658" s="21">
        <v>183.16</v>
      </c>
      <c r="Q1658" t="s">
        <v>40</v>
      </c>
      <c r="R1658" t="s">
        <v>41</v>
      </c>
      <c r="S1658">
        <v>2</v>
      </c>
      <c r="T1658">
        <v>2</v>
      </c>
      <c r="U1658" t="s">
        <v>32</v>
      </c>
      <c r="V1658" t="s">
        <v>33</v>
      </c>
      <c r="W1658">
        <v>1</v>
      </c>
    </row>
    <row r="1659" spans="1:23" x14ac:dyDescent="0.25">
      <c r="A1659" t="s">
        <v>2304</v>
      </c>
      <c r="B1659" s="1">
        <v>45714</v>
      </c>
      <c r="C1659" t="s">
        <v>691</v>
      </c>
      <c r="D1659" t="s">
        <v>79</v>
      </c>
      <c r="E1659" t="s">
        <v>46</v>
      </c>
      <c r="F1659" t="s">
        <v>27</v>
      </c>
      <c r="G1659" t="s">
        <v>28</v>
      </c>
      <c r="H1659">
        <v>1</v>
      </c>
      <c r="I1659" s="21">
        <v>12405</v>
      </c>
      <c r="J1659">
        <v>20</v>
      </c>
      <c r="K1659" s="21">
        <v>2481</v>
      </c>
      <c r="L1659" s="21">
        <v>9924</v>
      </c>
      <c r="M1659" s="21">
        <v>5793.52</v>
      </c>
      <c r="N1659" s="21">
        <v>4130.4799999999996</v>
      </c>
      <c r="O1659" t="s">
        <v>55</v>
      </c>
      <c r="P1659" s="21">
        <v>1721.2</v>
      </c>
      <c r="Q1659" t="s">
        <v>30</v>
      </c>
      <c r="R1659" t="s">
        <v>41</v>
      </c>
      <c r="S1659">
        <v>2</v>
      </c>
      <c r="T1659">
        <v>4</v>
      </c>
      <c r="U1659" t="s">
        <v>56</v>
      </c>
      <c r="V1659" t="s">
        <v>33</v>
      </c>
      <c r="W1659">
        <v>3</v>
      </c>
    </row>
    <row r="1660" spans="1:23" x14ac:dyDescent="0.25">
      <c r="A1660" t="s">
        <v>2305</v>
      </c>
      <c r="B1660" s="1">
        <v>45803</v>
      </c>
      <c r="C1660" t="s">
        <v>251</v>
      </c>
      <c r="D1660" t="s">
        <v>67</v>
      </c>
      <c r="E1660" t="s">
        <v>46</v>
      </c>
      <c r="F1660" t="s">
        <v>37</v>
      </c>
      <c r="G1660" t="s">
        <v>313</v>
      </c>
      <c r="H1660">
        <v>1</v>
      </c>
      <c r="I1660" s="21">
        <v>38423</v>
      </c>
      <c r="J1660">
        <v>20</v>
      </c>
      <c r="K1660" s="21">
        <v>7684.6</v>
      </c>
      <c r="L1660" s="21">
        <v>30738.400000000001</v>
      </c>
      <c r="M1660" s="21">
        <v>16936.91</v>
      </c>
      <c r="N1660" s="21">
        <v>13801.49</v>
      </c>
      <c r="O1660" t="s">
        <v>49</v>
      </c>
      <c r="P1660" s="21">
        <v>97.94</v>
      </c>
      <c r="Q1660" t="s">
        <v>68</v>
      </c>
      <c r="R1660" t="s">
        <v>31</v>
      </c>
      <c r="S1660">
        <v>5</v>
      </c>
      <c r="T1660">
        <v>2</v>
      </c>
      <c r="U1660" t="s">
        <v>32</v>
      </c>
      <c r="V1660" t="s">
        <v>33</v>
      </c>
      <c r="W1660">
        <v>5</v>
      </c>
    </row>
    <row r="1661" spans="1:23" x14ac:dyDescent="0.25">
      <c r="A1661" t="s">
        <v>2306</v>
      </c>
      <c r="B1661" s="1">
        <v>46005</v>
      </c>
      <c r="C1661" t="s">
        <v>973</v>
      </c>
      <c r="D1661" t="s">
        <v>79</v>
      </c>
      <c r="E1661" t="s">
        <v>36</v>
      </c>
      <c r="F1661" t="s">
        <v>27</v>
      </c>
      <c r="G1661" t="s">
        <v>28</v>
      </c>
      <c r="H1661">
        <v>1</v>
      </c>
      <c r="I1661" s="21">
        <v>16125</v>
      </c>
      <c r="J1661">
        <v>5</v>
      </c>
      <c r="K1661" s="21">
        <v>806.25</v>
      </c>
      <c r="L1661" s="21">
        <v>15318.75</v>
      </c>
      <c r="M1661" s="21">
        <v>9119.4699999999993</v>
      </c>
      <c r="N1661" s="21">
        <v>6199.28</v>
      </c>
      <c r="O1661" t="s">
        <v>91</v>
      </c>
      <c r="P1661" s="21">
        <v>2362.6999999999998</v>
      </c>
      <c r="Q1661" t="s">
        <v>40</v>
      </c>
      <c r="R1661" t="s">
        <v>41</v>
      </c>
      <c r="S1661">
        <v>2</v>
      </c>
      <c r="T1661">
        <v>4</v>
      </c>
      <c r="U1661" t="s">
        <v>56</v>
      </c>
      <c r="V1661" t="s">
        <v>33</v>
      </c>
      <c r="W1661">
        <v>2</v>
      </c>
    </row>
    <row r="1662" spans="1:23" x14ac:dyDescent="0.25">
      <c r="A1662" t="s">
        <v>2307</v>
      </c>
      <c r="B1662" s="1">
        <v>46005</v>
      </c>
      <c r="C1662" t="s">
        <v>142</v>
      </c>
      <c r="D1662" t="s">
        <v>71</v>
      </c>
      <c r="E1662" t="s">
        <v>46</v>
      </c>
      <c r="F1662" t="s">
        <v>53</v>
      </c>
      <c r="G1662" t="s">
        <v>59</v>
      </c>
      <c r="H1662">
        <v>2</v>
      </c>
      <c r="I1662" s="21">
        <v>19644</v>
      </c>
      <c r="J1662">
        <v>10</v>
      </c>
      <c r="K1662" s="21">
        <v>3928.8</v>
      </c>
      <c r="L1662" s="21">
        <v>35359.199999999997</v>
      </c>
      <c r="M1662" s="21">
        <v>22267</v>
      </c>
      <c r="N1662" s="21">
        <v>13092.2</v>
      </c>
      <c r="O1662" t="s">
        <v>91</v>
      </c>
      <c r="P1662" s="21">
        <v>719.48</v>
      </c>
      <c r="Q1662" t="s">
        <v>83</v>
      </c>
      <c r="R1662" t="s">
        <v>31</v>
      </c>
      <c r="S1662">
        <v>5</v>
      </c>
      <c r="T1662">
        <v>7</v>
      </c>
      <c r="U1662" t="s">
        <v>56</v>
      </c>
      <c r="V1662" t="s">
        <v>33</v>
      </c>
      <c r="W1662">
        <v>3</v>
      </c>
    </row>
    <row r="1663" spans="1:23" x14ac:dyDescent="0.25">
      <c r="A1663" t="s">
        <v>2308</v>
      </c>
      <c r="B1663" s="1">
        <v>45961</v>
      </c>
      <c r="C1663" t="s">
        <v>1050</v>
      </c>
      <c r="D1663" t="s">
        <v>90</v>
      </c>
      <c r="E1663" t="s">
        <v>46</v>
      </c>
      <c r="F1663" t="s">
        <v>27</v>
      </c>
      <c r="G1663" t="s">
        <v>72</v>
      </c>
      <c r="H1663">
        <v>3</v>
      </c>
      <c r="I1663" s="21">
        <v>13340</v>
      </c>
      <c r="J1663">
        <v>25</v>
      </c>
      <c r="K1663" s="21">
        <v>10005</v>
      </c>
      <c r="L1663" s="21">
        <v>30015</v>
      </c>
      <c r="M1663" s="21">
        <v>21297.27</v>
      </c>
      <c r="N1663" s="21">
        <v>8717.73</v>
      </c>
      <c r="O1663" t="s">
        <v>39</v>
      </c>
      <c r="P1663" s="21">
        <v>359.47</v>
      </c>
      <c r="Q1663" t="s">
        <v>83</v>
      </c>
      <c r="R1663" t="s">
        <v>41</v>
      </c>
      <c r="S1663">
        <v>2</v>
      </c>
      <c r="T1663">
        <v>4</v>
      </c>
      <c r="U1663" t="s">
        <v>32</v>
      </c>
      <c r="V1663" t="s">
        <v>42</v>
      </c>
    </row>
    <row r="1664" spans="1:23" x14ac:dyDescent="0.25">
      <c r="A1664" t="s">
        <v>2309</v>
      </c>
      <c r="B1664" s="1">
        <v>45907</v>
      </c>
      <c r="C1664" t="s">
        <v>364</v>
      </c>
      <c r="D1664" t="s">
        <v>90</v>
      </c>
      <c r="E1664" t="s">
        <v>36</v>
      </c>
      <c r="F1664" t="s">
        <v>47</v>
      </c>
      <c r="G1664" t="s">
        <v>105</v>
      </c>
      <c r="H1664">
        <v>1</v>
      </c>
      <c r="I1664" s="21">
        <v>7257</v>
      </c>
      <c r="J1664">
        <v>5</v>
      </c>
      <c r="K1664" s="21">
        <v>362.85</v>
      </c>
      <c r="L1664" s="21">
        <v>6894.15</v>
      </c>
      <c r="M1664" s="21">
        <v>5008.8599999999997</v>
      </c>
      <c r="N1664" s="21">
        <v>1885.29</v>
      </c>
      <c r="O1664" t="s">
        <v>55</v>
      </c>
      <c r="P1664" s="21">
        <v>653.72</v>
      </c>
      <c r="Q1664" t="s">
        <v>68</v>
      </c>
      <c r="R1664" t="s">
        <v>41</v>
      </c>
      <c r="S1664">
        <v>2</v>
      </c>
      <c r="T1664">
        <v>1</v>
      </c>
      <c r="U1664" t="s">
        <v>32</v>
      </c>
      <c r="V1664" t="s">
        <v>33</v>
      </c>
      <c r="W1664">
        <v>5</v>
      </c>
    </row>
    <row r="1665" spans="1:23" x14ac:dyDescent="0.25">
      <c r="A1665" t="s">
        <v>2310</v>
      </c>
      <c r="B1665" s="1">
        <v>45927</v>
      </c>
      <c r="C1665" t="s">
        <v>952</v>
      </c>
      <c r="D1665" t="s">
        <v>79</v>
      </c>
      <c r="E1665" t="s">
        <v>36</v>
      </c>
      <c r="F1665" t="s">
        <v>53</v>
      </c>
      <c r="G1665" t="s">
        <v>54</v>
      </c>
      <c r="H1665">
        <v>1</v>
      </c>
      <c r="I1665" s="21">
        <v>22974</v>
      </c>
      <c r="J1665">
        <v>10</v>
      </c>
      <c r="K1665" s="21">
        <v>2297.4</v>
      </c>
      <c r="L1665" s="21">
        <v>20676.599999999999</v>
      </c>
      <c r="M1665" s="21">
        <v>14811.55</v>
      </c>
      <c r="N1665" s="21">
        <v>5865.05</v>
      </c>
      <c r="O1665" t="s">
        <v>55</v>
      </c>
      <c r="P1665" s="21">
        <v>859.21</v>
      </c>
      <c r="Q1665" t="s">
        <v>83</v>
      </c>
      <c r="R1665" t="s">
        <v>31</v>
      </c>
      <c r="S1665">
        <v>5</v>
      </c>
      <c r="T1665">
        <v>3</v>
      </c>
      <c r="U1665" t="s">
        <v>32</v>
      </c>
      <c r="V1665" t="s">
        <v>33</v>
      </c>
      <c r="W1665">
        <v>3</v>
      </c>
    </row>
    <row r="1666" spans="1:23" x14ac:dyDescent="0.25">
      <c r="A1666" t="s">
        <v>2311</v>
      </c>
      <c r="B1666" s="1">
        <v>45999</v>
      </c>
      <c r="C1666" t="s">
        <v>905</v>
      </c>
      <c r="D1666" t="s">
        <v>67</v>
      </c>
      <c r="E1666" t="s">
        <v>46</v>
      </c>
      <c r="F1666" t="s">
        <v>86</v>
      </c>
      <c r="G1666" t="s">
        <v>94</v>
      </c>
      <c r="H1666">
        <v>1</v>
      </c>
      <c r="I1666" s="21">
        <v>45719</v>
      </c>
      <c r="J1666">
        <v>10</v>
      </c>
      <c r="K1666" s="21">
        <v>4571.8999999999996</v>
      </c>
      <c r="L1666" s="21">
        <v>41147.1</v>
      </c>
      <c r="M1666" s="21">
        <v>26786.22</v>
      </c>
      <c r="N1666" s="21">
        <v>14360.88</v>
      </c>
      <c r="O1666" t="s">
        <v>39</v>
      </c>
      <c r="P1666" s="21">
        <v>2466.9699999999998</v>
      </c>
      <c r="Q1666" t="s">
        <v>30</v>
      </c>
      <c r="R1666" t="s">
        <v>31</v>
      </c>
      <c r="S1666">
        <v>5</v>
      </c>
      <c r="T1666">
        <v>7</v>
      </c>
      <c r="U1666" t="s">
        <v>56</v>
      </c>
      <c r="V1666" t="s">
        <v>33</v>
      </c>
      <c r="W1666">
        <v>5</v>
      </c>
    </row>
    <row r="1667" spans="1:23" x14ac:dyDescent="0.25">
      <c r="A1667" t="s">
        <v>2312</v>
      </c>
      <c r="B1667" s="1">
        <v>45815</v>
      </c>
      <c r="C1667" t="s">
        <v>1091</v>
      </c>
      <c r="D1667" t="s">
        <v>25</v>
      </c>
      <c r="E1667" t="s">
        <v>36</v>
      </c>
      <c r="F1667" t="s">
        <v>53</v>
      </c>
      <c r="G1667" t="s">
        <v>268</v>
      </c>
      <c r="H1667">
        <v>3</v>
      </c>
      <c r="I1667" s="21">
        <v>108238</v>
      </c>
      <c r="J1667">
        <v>15</v>
      </c>
      <c r="K1667" s="21">
        <v>48707.1</v>
      </c>
      <c r="L1667" s="21">
        <v>276006.90000000002</v>
      </c>
      <c r="M1667" s="21">
        <v>198492.32</v>
      </c>
      <c r="N1667" s="21">
        <v>77514.58</v>
      </c>
      <c r="O1667" t="s">
        <v>91</v>
      </c>
      <c r="P1667" s="21">
        <v>1087.6099999999999</v>
      </c>
      <c r="Q1667" t="s">
        <v>83</v>
      </c>
      <c r="R1667" t="s">
        <v>31</v>
      </c>
      <c r="S1667">
        <v>5</v>
      </c>
      <c r="T1667">
        <v>4</v>
      </c>
      <c r="U1667" t="s">
        <v>32</v>
      </c>
      <c r="V1667" t="s">
        <v>33</v>
      </c>
      <c r="W1667">
        <v>5</v>
      </c>
    </row>
    <row r="1668" spans="1:23" x14ac:dyDescent="0.25">
      <c r="A1668" t="s">
        <v>2313</v>
      </c>
      <c r="B1668" s="1">
        <v>45681</v>
      </c>
      <c r="C1668" t="s">
        <v>792</v>
      </c>
      <c r="D1668" t="s">
        <v>124</v>
      </c>
      <c r="E1668" t="s">
        <v>36</v>
      </c>
      <c r="F1668" t="s">
        <v>37</v>
      </c>
      <c r="G1668" t="s">
        <v>100</v>
      </c>
      <c r="H1668">
        <v>1</v>
      </c>
      <c r="I1668" s="21">
        <v>14143</v>
      </c>
      <c r="J1668">
        <v>10</v>
      </c>
      <c r="K1668" s="21">
        <v>1414.3</v>
      </c>
      <c r="L1668" s="21">
        <v>12728.7</v>
      </c>
      <c r="M1668" s="21">
        <v>8741.73</v>
      </c>
      <c r="N1668" s="21">
        <v>3986.97</v>
      </c>
      <c r="O1668" t="s">
        <v>55</v>
      </c>
      <c r="P1668" s="21">
        <v>1916.37</v>
      </c>
      <c r="Q1668" t="s">
        <v>40</v>
      </c>
      <c r="R1668" t="s">
        <v>31</v>
      </c>
      <c r="S1668">
        <v>5</v>
      </c>
      <c r="T1668">
        <v>1</v>
      </c>
      <c r="U1668" t="s">
        <v>32</v>
      </c>
      <c r="V1668" t="s">
        <v>50</v>
      </c>
      <c r="W1668">
        <v>5</v>
      </c>
    </row>
    <row r="1669" spans="1:23" x14ac:dyDescent="0.25">
      <c r="A1669" t="s">
        <v>2314</v>
      </c>
      <c r="B1669" s="1">
        <v>45770</v>
      </c>
      <c r="C1669" t="s">
        <v>1549</v>
      </c>
      <c r="D1669" t="s">
        <v>25</v>
      </c>
      <c r="E1669" t="s">
        <v>46</v>
      </c>
      <c r="F1669" t="s">
        <v>86</v>
      </c>
      <c r="G1669" t="s">
        <v>110</v>
      </c>
      <c r="H1669">
        <v>2</v>
      </c>
      <c r="I1669" s="21">
        <v>56858</v>
      </c>
      <c r="J1669">
        <v>0</v>
      </c>
      <c r="K1669" s="21">
        <v>0</v>
      </c>
      <c r="L1669" s="21">
        <v>113716</v>
      </c>
      <c r="M1669" s="21">
        <v>70550.44</v>
      </c>
      <c r="N1669" s="21">
        <v>43165.56</v>
      </c>
      <c r="O1669" t="s">
        <v>49</v>
      </c>
      <c r="P1669" s="21">
        <v>309.43</v>
      </c>
      <c r="Q1669" t="s">
        <v>83</v>
      </c>
      <c r="R1669" t="s">
        <v>31</v>
      </c>
      <c r="S1669">
        <v>5</v>
      </c>
      <c r="T1669">
        <v>3</v>
      </c>
      <c r="U1669" t="s">
        <v>32</v>
      </c>
      <c r="V1669" t="s">
        <v>33</v>
      </c>
      <c r="W1669">
        <v>3</v>
      </c>
    </row>
    <row r="1670" spans="1:23" x14ac:dyDescent="0.25">
      <c r="A1670" t="s">
        <v>2315</v>
      </c>
      <c r="B1670" s="1">
        <v>45860</v>
      </c>
      <c r="C1670" t="s">
        <v>668</v>
      </c>
      <c r="D1670" t="s">
        <v>67</v>
      </c>
      <c r="E1670" t="s">
        <v>46</v>
      </c>
      <c r="F1670" t="s">
        <v>27</v>
      </c>
      <c r="G1670" t="s">
        <v>28</v>
      </c>
      <c r="H1670">
        <v>1</v>
      </c>
      <c r="I1670" s="21">
        <v>19152</v>
      </c>
      <c r="J1670">
        <v>10</v>
      </c>
      <c r="K1670" s="21">
        <v>1915.2</v>
      </c>
      <c r="L1670" s="21">
        <v>17236.8</v>
      </c>
      <c r="M1670" s="21">
        <v>11632.72</v>
      </c>
      <c r="N1670" s="21">
        <v>5604.08</v>
      </c>
      <c r="O1670" t="s">
        <v>55</v>
      </c>
      <c r="P1670" s="21">
        <v>479.3</v>
      </c>
      <c r="Q1670" t="s">
        <v>68</v>
      </c>
      <c r="R1670" t="s">
        <v>31</v>
      </c>
      <c r="S1670">
        <v>5</v>
      </c>
      <c r="T1670">
        <v>6</v>
      </c>
      <c r="U1670" t="s">
        <v>56</v>
      </c>
      <c r="V1670" t="s">
        <v>33</v>
      </c>
    </row>
    <row r="1671" spans="1:23" x14ac:dyDescent="0.25">
      <c r="A1671" t="s">
        <v>2316</v>
      </c>
      <c r="B1671" s="1">
        <v>45964</v>
      </c>
      <c r="C1671" t="s">
        <v>484</v>
      </c>
      <c r="D1671" t="s">
        <v>45</v>
      </c>
      <c r="E1671" t="s">
        <v>26</v>
      </c>
      <c r="F1671" t="s">
        <v>86</v>
      </c>
      <c r="G1671" t="s">
        <v>180</v>
      </c>
      <c r="H1671">
        <v>3</v>
      </c>
      <c r="I1671" s="21">
        <v>57530</v>
      </c>
      <c r="J1671">
        <v>5</v>
      </c>
      <c r="K1671" s="21">
        <v>8629.5</v>
      </c>
      <c r="L1671" s="21">
        <v>163960.5</v>
      </c>
      <c r="M1671" s="21">
        <v>126461.88</v>
      </c>
      <c r="N1671" s="21">
        <v>37498.620000000003</v>
      </c>
      <c r="O1671" t="s">
        <v>29</v>
      </c>
      <c r="P1671" s="21">
        <v>433.74</v>
      </c>
      <c r="Q1671" t="s">
        <v>73</v>
      </c>
      <c r="R1671" t="s">
        <v>41</v>
      </c>
      <c r="S1671">
        <v>2</v>
      </c>
      <c r="T1671">
        <v>0</v>
      </c>
      <c r="U1671" t="s">
        <v>32</v>
      </c>
      <c r="V1671" t="s">
        <v>42</v>
      </c>
    </row>
    <row r="1672" spans="1:23" x14ac:dyDescent="0.25">
      <c r="A1672" t="s">
        <v>2317</v>
      </c>
      <c r="B1672" s="1">
        <v>45686</v>
      </c>
      <c r="C1672" t="s">
        <v>2031</v>
      </c>
      <c r="D1672" t="s">
        <v>90</v>
      </c>
      <c r="E1672" t="s">
        <v>26</v>
      </c>
      <c r="F1672" t="s">
        <v>86</v>
      </c>
      <c r="G1672" t="s">
        <v>94</v>
      </c>
      <c r="H1672">
        <v>1</v>
      </c>
      <c r="I1672" s="21">
        <v>68316</v>
      </c>
      <c r="J1672">
        <v>25</v>
      </c>
      <c r="K1672" s="21">
        <v>17079</v>
      </c>
      <c r="L1672" s="21">
        <v>51237</v>
      </c>
      <c r="M1672" s="21">
        <v>41814.639999999999</v>
      </c>
      <c r="N1672" s="21">
        <v>9422.36</v>
      </c>
      <c r="O1672" t="s">
        <v>91</v>
      </c>
      <c r="P1672" s="21">
        <v>940.95</v>
      </c>
      <c r="Q1672" t="s">
        <v>40</v>
      </c>
      <c r="R1672" t="s">
        <v>31</v>
      </c>
      <c r="S1672">
        <v>5</v>
      </c>
      <c r="T1672">
        <v>4</v>
      </c>
      <c r="U1672" t="s">
        <v>32</v>
      </c>
      <c r="V1672" t="s">
        <v>33</v>
      </c>
      <c r="W1672">
        <v>3</v>
      </c>
    </row>
    <row r="1673" spans="1:23" x14ac:dyDescent="0.25">
      <c r="A1673" t="s">
        <v>2318</v>
      </c>
      <c r="B1673" s="1">
        <v>45661</v>
      </c>
      <c r="C1673" t="s">
        <v>1744</v>
      </c>
      <c r="D1673" t="s">
        <v>45</v>
      </c>
      <c r="E1673" t="s">
        <v>46</v>
      </c>
      <c r="F1673" t="s">
        <v>53</v>
      </c>
      <c r="G1673" t="s">
        <v>59</v>
      </c>
      <c r="H1673">
        <v>1</v>
      </c>
      <c r="I1673" s="21">
        <v>15279</v>
      </c>
      <c r="J1673">
        <v>0</v>
      </c>
      <c r="K1673" s="21">
        <v>0</v>
      </c>
      <c r="L1673" s="21">
        <v>15279</v>
      </c>
      <c r="M1673" s="21">
        <v>8746.5300000000007</v>
      </c>
      <c r="N1673" s="21">
        <v>6532.47</v>
      </c>
      <c r="O1673" t="s">
        <v>91</v>
      </c>
      <c r="P1673" s="21">
        <v>1155.1400000000001</v>
      </c>
      <c r="Q1673" t="s">
        <v>40</v>
      </c>
      <c r="R1673" t="s">
        <v>41</v>
      </c>
      <c r="S1673">
        <v>2</v>
      </c>
      <c r="T1673">
        <v>1</v>
      </c>
      <c r="U1673" t="s">
        <v>32</v>
      </c>
      <c r="V1673" t="s">
        <v>33</v>
      </c>
      <c r="W1673">
        <v>1</v>
      </c>
    </row>
    <row r="1674" spans="1:23" x14ac:dyDescent="0.25">
      <c r="A1674" t="s">
        <v>2319</v>
      </c>
      <c r="B1674" s="1">
        <v>45762</v>
      </c>
      <c r="C1674" t="s">
        <v>2320</v>
      </c>
      <c r="D1674" t="s">
        <v>63</v>
      </c>
      <c r="E1674" t="s">
        <v>36</v>
      </c>
      <c r="F1674" t="s">
        <v>27</v>
      </c>
      <c r="G1674" t="s">
        <v>76</v>
      </c>
      <c r="H1674">
        <v>2</v>
      </c>
      <c r="I1674" s="21">
        <v>8065</v>
      </c>
      <c r="J1674">
        <v>5</v>
      </c>
      <c r="K1674" s="21">
        <v>806.5</v>
      </c>
      <c r="L1674" s="21">
        <v>15323.5</v>
      </c>
      <c r="M1674" s="21">
        <v>8432.92</v>
      </c>
      <c r="N1674" s="21">
        <v>6890.58</v>
      </c>
      <c r="O1674" t="s">
        <v>39</v>
      </c>
      <c r="P1674" s="21">
        <v>644.4</v>
      </c>
      <c r="Q1674" t="s">
        <v>73</v>
      </c>
      <c r="R1674" t="s">
        <v>31</v>
      </c>
      <c r="S1674">
        <v>5</v>
      </c>
      <c r="T1674">
        <v>5</v>
      </c>
      <c r="U1674" t="s">
        <v>32</v>
      </c>
      <c r="V1674" t="s">
        <v>50</v>
      </c>
      <c r="W1674">
        <v>5</v>
      </c>
    </row>
    <row r="1675" spans="1:23" x14ac:dyDescent="0.25">
      <c r="A1675" t="s">
        <v>2321</v>
      </c>
      <c r="B1675" s="1">
        <v>45812</v>
      </c>
      <c r="C1675" t="s">
        <v>882</v>
      </c>
      <c r="D1675" t="s">
        <v>97</v>
      </c>
      <c r="E1675" t="s">
        <v>26</v>
      </c>
      <c r="F1675" t="s">
        <v>27</v>
      </c>
      <c r="G1675" t="s">
        <v>28</v>
      </c>
      <c r="H1675">
        <v>1</v>
      </c>
      <c r="I1675" s="21">
        <v>12140</v>
      </c>
      <c r="J1675">
        <v>25</v>
      </c>
      <c r="K1675" s="21">
        <v>3035</v>
      </c>
      <c r="L1675" s="21">
        <v>9105</v>
      </c>
      <c r="M1675" s="21">
        <v>5314.72</v>
      </c>
      <c r="N1675" s="21">
        <v>3790.28</v>
      </c>
      <c r="O1675" t="s">
        <v>60</v>
      </c>
      <c r="P1675" s="21">
        <v>1644.7</v>
      </c>
      <c r="Q1675" t="s">
        <v>30</v>
      </c>
      <c r="R1675" t="s">
        <v>41</v>
      </c>
      <c r="S1675">
        <v>2</v>
      </c>
      <c r="T1675">
        <v>5</v>
      </c>
      <c r="U1675" t="s">
        <v>32</v>
      </c>
      <c r="V1675" t="s">
        <v>50</v>
      </c>
    </row>
    <row r="1676" spans="1:23" x14ac:dyDescent="0.25">
      <c r="A1676" t="s">
        <v>2322</v>
      </c>
      <c r="B1676" s="1">
        <v>45766</v>
      </c>
      <c r="C1676" t="s">
        <v>785</v>
      </c>
      <c r="D1676" t="s">
        <v>79</v>
      </c>
      <c r="E1676" t="s">
        <v>46</v>
      </c>
      <c r="F1676" t="s">
        <v>86</v>
      </c>
      <c r="G1676" t="s">
        <v>94</v>
      </c>
      <c r="H1676">
        <v>4</v>
      </c>
      <c r="I1676" s="21">
        <v>77689</v>
      </c>
      <c r="J1676">
        <v>0</v>
      </c>
      <c r="K1676" s="21">
        <v>0</v>
      </c>
      <c r="L1676" s="21">
        <v>310756</v>
      </c>
      <c r="M1676" s="21">
        <v>205371.92</v>
      </c>
      <c r="N1676" s="21">
        <v>105384.08</v>
      </c>
      <c r="O1676" t="s">
        <v>29</v>
      </c>
      <c r="P1676" s="21">
        <v>861.08</v>
      </c>
      <c r="Q1676" t="s">
        <v>30</v>
      </c>
      <c r="R1676" t="s">
        <v>41</v>
      </c>
      <c r="S1676">
        <v>2</v>
      </c>
      <c r="T1676">
        <v>5</v>
      </c>
      <c r="U1676" t="s">
        <v>56</v>
      </c>
      <c r="V1676" t="s">
        <v>33</v>
      </c>
      <c r="W1676">
        <v>5</v>
      </c>
    </row>
    <row r="1677" spans="1:23" x14ac:dyDescent="0.25">
      <c r="A1677" t="s">
        <v>2323</v>
      </c>
      <c r="B1677" s="1">
        <v>45728</v>
      </c>
      <c r="C1677" t="s">
        <v>1148</v>
      </c>
      <c r="D1677" t="s">
        <v>90</v>
      </c>
      <c r="E1677" t="s">
        <v>46</v>
      </c>
      <c r="F1677" t="s">
        <v>27</v>
      </c>
      <c r="G1677" t="s">
        <v>164</v>
      </c>
      <c r="H1677">
        <v>1</v>
      </c>
      <c r="I1677" s="21">
        <v>23408</v>
      </c>
      <c r="J1677">
        <v>15</v>
      </c>
      <c r="K1677" s="21">
        <v>3511.2</v>
      </c>
      <c r="L1677" s="21">
        <v>19896.8</v>
      </c>
      <c r="M1677" s="21">
        <v>13665.53</v>
      </c>
      <c r="N1677" s="21">
        <v>6231.27</v>
      </c>
      <c r="O1677" t="s">
        <v>91</v>
      </c>
      <c r="P1677" s="21">
        <v>2149.52</v>
      </c>
      <c r="Q1677" t="s">
        <v>30</v>
      </c>
      <c r="R1677" t="s">
        <v>31</v>
      </c>
      <c r="S1677">
        <v>5</v>
      </c>
      <c r="T1677">
        <v>4</v>
      </c>
      <c r="U1677" t="s">
        <v>32</v>
      </c>
      <c r="V1677" t="s">
        <v>33</v>
      </c>
      <c r="W1677">
        <v>4</v>
      </c>
    </row>
    <row r="1678" spans="1:23" x14ac:dyDescent="0.25">
      <c r="A1678" t="s">
        <v>2324</v>
      </c>
      <c r="B1678" s="1">
        <v>45788</v>
      </c>
      <c r="C1678" t="s">
        <v>191</v>
      </c>
      <c r="D1678" t="s">
        <v>154</v>
      </c>
      <c r="E1678" t="s">
        <v>26</v>
      </c>
      <c r="F1678" t="s">
        <v>86</v>
      </c>
      <c r="G1678" t="s">
        <v>180</v>
      </c>
      <c r="H1678">
        <v>2</v>
      </c>
      <c r="I1678" s="21">
        <v>35899</v>
      </c>
      <c r="J1678">
        <v>10</v>
      </c>
      <c r="K1678" s="21">
        <v>7179.8</v>
      </c>
      <c r="L1678" s="21">
        <v>64618.2</v>
      </c>
      <c r="M1678" s="21">
        <v>37981.040000000001</v>
      </c>
      <c r="N1678" s="21">
        <v>26637.16</v>
      </c>
      <c r="O1678" t="s">
        <v>91</v>
      </c>
      <c r="P1678" s="21">
        <v>2051.59</v>
      </c>
      <c r="Q1678" t="s">
        <v>30</v>
      </c>
      <c r="R1678" t="s">
        <v>31</v>
      </c>
      <c r="S1678">
        <v>5</v>
      </c>
      <c r="T1678">
        <v>5</v>
      </c>
      <c r="U1678" t="s">
        <v>32</v>
      </c>
      <c r="V1678" t="s">
        <v>42</v>
      </c>
    </row>
    <row r="1679" spans="1:23" x14ac:dyDescent="0.25">
      <c r="A1679" t="s">
        <v>2325</v>
      </c>
      <c r="B1679" s="1">
        <v>45806</v>
      </c>
      <c r="C1679" t="s">
        <v>657</v>
      </c>
      <c r="D1679" t="s">
        <v>45</v>
      </c>
      <c r="E1679" t="s">
        <v>26</v>
      </c>
      <c r="F1679" t="s">
        <v>53</v>
      </c>
      <c r="G1679" t="s">
        <v>268</v>
      </c>
      <c r="H1679">
        <v>1</v>
      </c>
      <c r="I1679" s="21">
        <v>119849</v>
      </c>
      <c r="J1679">
        <v>0</v>
      </c>
      <c r="K1679" s="21">
        <v>0</v>
      </c>
      <c r="L1679" s="21">
        <v>119849</v>
      </c>
      <c r="M1679" s="21">
        <v>76046.080000000002</v>
      </c>
      <c r="N1679" s="21">
        <v>43802.92</v>
      </c>
      <c r="O1679" t="s">
        <v>91</v>
      </c>
      <c r="P1679" s="21">
        <v>791.7</v>
      </c>
      <c r="Q1679" t="s">
        <v>73</v>
      </c>
      <c r="R1679" t="s">
        <v>41</v>
      </c>
      <c r="S1679">
        <v>2</v>
      </c>
      <c r="T1679">
        <v>6</v>
      </c>
      <c r="U1679" t="s">
        <v>32</v>
      </c>
      <c r="V1679" t="s">
        <v>42</v>
      </c>
    </row>
    <row r="1680" spans="1:23" x14ac:dyDescent="0.25">
      <c r="A1680" t="s">
        <v>2326</v>
      </c>
      <c r="B1680" s="1">
        <v>45825</v>
      </c>
      <c r="C1680" t="s">
        <v>156</v>
      </c>
      <c r="D1680" t="s">
        <v>71</v>
      </c>
      <c r="E1680" t="s">
        <v>26</v>
      </c>
      <c r="F1680" t="s">
        <v>37</v>
      </c>
      <c r="G1680" t="s">
        <v>313</v>
      </c>
      <c r="H1680">
        <v>1</v>
      </c>
      <c r="I1680" s="21">
        <v>18585</v>
      </c>
      <c r="J1680">
        <v>5</v>
      </c>
      <c r="K1680" s="21">
        <v>929.25</v>
      </c>
      <c r="L1680" s="21">
        <v>17655.75</v>
      </c>
      <c r="M1680" s="21">
        <v>9931.5300000000007</v>
      </c>
      <c r="N1680" s="21">
        <v>7724.22</v>
      </c>
      <c r="O1680" t="s">
        <v>49</v>
      </c>
      <c r="P1680" s="21">
        <v>368.39</v>
      </c>
      <c r="Q1680" t="s">
        <v>83</v>
      </c>
      <c r="R1680" t="s">
        <v>31</v>
      </c>
      <c r="S1680">
        <v>5</v>
      </c>
      <c r="T1680">
        <v>6</v>
      </c>
      <c r="U1680" t="s">
        <v>56</v>
      </c>
      <c r="V1680" t="s">
        <v>33</v>
      </c>
      <c r="W1680">
        <v>5</v>
      </c>
    </row>
    <row r="1681" spans="1:23" x14ac:dyDescent="0.25">
      <c r="A1681" t="s">
        <v>2327</v>
      </c>
      <c r="B1681" s="1">
        <v>45719</v>
      </c>
      <c r="C1681" t="s">
        <v>1311</v>
      </c>
      <c r="D1681" t="s">
        <v>67</v>
      </c>
      <c r="E1681" t="s">
        <v>36</v>
      </c>
      <c r="F1681" t="s">
        <v>86</v>
      </c>
      <c r="G1681" t="s">
        <v>110</v>
      </c>
      <c r="H1681">
        <v>1</v>
      </c>
      <c r="I1681" s="21">
        <v>13312</v>
      </c>
      <c r="J1681">
        <v>0</v>
      </c>
      <c r="K1681" s="21">
        <v>0</v>
      </c>
      <c r="L1681" s="21">
        <v>13312</v>
      </c>
      <c r="M1681" s="21">
        <v>10125.1</v>
      </c>
      <c r="N1681" s="21">
        <v>3186.9</v>
      </c>
      <c r="O1681" t="s">
        <v>55</v>
      </c>
      <c r="P1681" s="21">
        <v>319.89999999999998</v>
      </c>
      <c r="Q1681" t="s">
        <v>73</v>
      </c>
      <c r="R1681" t="s">
        <v>41</v>
      </c>
      <c r="S1681">
        <v>2</v>
      </c>
      <c r="T1681">
        <v>4</v>
      </c>
      <c r="U1681" t="s">
        <v>32</v>
      </c>
      <c r="V1681" t="s">
        <v>42</v>
      </c>
    </row>
    <row r="1682" spans="1:23" x14ac:dyDescent="0.25">
      <c r="A1682" t="s">
        <v>2328</v>
      </c>
      <c r="B1682" s="1">
        <v>45661</v>
      </c>
      <c r="C1682" t="s">
        <v>1033</v>
      </c>
      <c r="D1682" t="s">
        <v>90</v>
      </c>
      <c r="E1682" t="s">
        <v>26</v>
      </c>
      <c r="F1682" t="s">
        <v>37</v>
      </c>
      <c r="G1682" t="s">
        <v>224</v>
      </c>
      <c r="H1682">
        <v>3</v>
      </c>
      <c r="I1682" s="21">
        <v>31030</v>
      </c>
      <c r="J1682">
        <v>0</v>
      </c>
      <c r="K1682" s="21">
        <v>0</v>
      </c>
      <c r="L1682" s="21">
        <v>93090</v>
      </c>
      <c r="M1682" s="21">
        <v>73476.649999999994</v>
      </c>
      <c r="N1682" s="21">
        <v>19613.349999999999</v>
      </c>
      <c r="O1682" t="s">
        <v>49</v>
      </c>
      <c r="P1682" s="21">
        <v>60.12</v>
      </c>
      <c r="Q1682" t="s">
        <v>68</v>
      </c>
      <c r="R1682" t="s">
        <v>41</v>
      </c>
      <c r="S1682">
        <v>2</v>
      </c>
      <c r="T1682">
        <v>2</v>
      </c>
      <c r="U1682" t="s">
        <v>32</v>
      </c>
      <c r="V1682" t="s">
        <v>33</v>
      </c>
      <c r="W1682">
        <v>5</v>
      </c>
    </row>
    <row r="1683" spans="1:23" x14ac:dyDescent="0.25">
      <c r="A1683" t="s">
        <v>2329</v>
      </c>
      <c r="B1683" s="1">
        <v>45912</v>
      </c>
      <c r="C1683" t="s">
        <v>52</v>
      </c>
      <c r="D1683" t="s">
        <v>63</v>
      </c>
      <c r="E1683" t="s">
        <v>26</v>
      </c>
      <c r="F1683" t="s">
        <v>47</v>
      </c>
      <c r="G1683" t="s">
        <v>48</v>
      </c>
      <c r="H1683">
        <v>1</v>
      </c>
      <c r="I1683" s="21">
        <v>27937</v>
      </c>
      <c r="J1683">
        <v>20</v>
      </c>
      <c r="K1683" s="21">
        <v>5587.4</v>
      </c>
      <c r="L1683" s="21">
        <v>22349.599999999999</v>
      </c>
      <c r="M1683" s="21">
        <v>16936.12</v>
      </c>
      <c r="N1683" s="21">
        <v>5413.48</v>
      </c>
      <c r="O1683" t="s">
        <v>55</v>
      </c>
      <c r="P1683" s="21">
        <v>649.79999999999995</v>
      </c>
      <c r="Q1683" t="s">
        <v>73</v>
      </c>
      <c r="R1683" t="s">
        <v>41</v>
      </c>
      <c r="S1683">
        <v>2</v>
      </c>
      <c r="T1683">
        <v>6</v>
      </c>
      <c r="U1683" t="s">
        <v>32</v>
      </c>
      <c r="V1683" t="s">
        <v>50</v>
      </c>
      <c r="W1683">
        <v>5</v>
      </c>
    </row>
    <row r="1684" spans="1:23" x14ac:dyDescent="0.25">
      <c r="A1684" t="s">
        <v>2330</v>
      </c>
      <c r="B1684" s="1">
        <v>45878</v>
      </c>
      <c r="C1684" t="s">
        <v>1392</v>
      </c>
      <c r="D1684" t="s">
        <v>25</v>
      </c>
      <c r="E1684" t="s">
        <v>26</v>
      </c>
      <c r="F1684" t="s">
        <v>27</v>
      </c>
      <c r="G1684" t="s">
        <v>28</v>
      </c>
      <c r="H1684">
        <v>2</v>
      </c>
      <c r="I1684" s="21">
        <v>12328</v>
      </c>
      <c r="J1684">
        <v>0</v>
      </c>
      <c r="K1684" s="21">
        <v>0</v>
      </c>
      <c r="L1684" s="21">
        <v>24656</v>
      </c>
      <c r="M1684" s="21">
        <v>13989.46</v>
      </c>
      <c r="N1684" s="21">
        <v>10666.54</v>
      </c>
      <c r="O1684" t="s">
        <v>55</v>
      </c>
      <c r="P1684" s="21">
        <v>227.25</v>
      </c>
      <c r="Q1684" t="s">
        <v>40</v>
      </c>
      <c r="R1684" t="s">
        <v>31</v>
      </c>
      <c r="S1684">
        <v>5</v>
      </c>
      <c r="T1684">
        <v>3</v>
      </c>
      <c r="U1684" t="s">
        <v>32</v>
      </c>
      <c r="V1684" t="s">
        <v>50</v>
      </c>
      <c r="W1684">
        <v>4</v>
      </c>
    </row>
    <row r="1685" spans="1:23" x14ac:dyDescent="0.25">
      <c r="A1685" t="s">
        <v>2331</v>
      </c>
      <c r="B1685" s="1">
        <v>45747</v>
      </c>
      <c r="C1685" t="s">
        <v>440</v>
      </c>
      <c r="D1685" t="s">
        <v>71</v>
      </c>
      <c r="E1685" t="s">
        <v>26</v>
      </c>
      <c r="F1685" t="s">
        <v>27</v>
      </c>
      <c r="G1685" t="s">
        <v>76</v>
      </c>
      <c r="H1685">
        <v>1</v>
      </c>
      <c r="I1685" s="21">
        <v>21706</v>
      </c>
      <c r="J1685">
        <v>0</v>
      </c>
      <c r="K1685" s="21">
        <v>0</v>
      </c>
      <c r="L1685" s="21">
        <v>21706</v>
      </c>
      <c r="M1685" s="21">
        <v>13141.4</v>
      </c>
      <c r="N1685" s="21">
        <v>8564.6</v>
      </c>
      <c r="O1685" t="s">
        <v>49</v>
      </c>
      <c r="P1685" s="21">
        <v>69.33</v>
      </c>
      <c r="Q1685" t="s">
        <v>30</v>
      </c>
      <c r="R1685" t="s">
        <v>31</v>
      </c>
      <c r="S1685">
        <v>5</v>
      </c>
      <c r="T1685">
        <v>5</v>
      </c>
      <c r="U1685" t="s">
        <v>32</v>
      </c>
      <c r="V1685" t="s">
        <v>33</v>
      </c>
      <c r="W1685">
        <v>5</v>
      </c>
    </row>
    <row r="1686" spans="1:23" x14ac:dyDescent="0.25">
      <c r="A1686" t="s">
        <v>2332</v>
      </c>
      <c r="B1686" s="1">
        <v>45724</v>
      </c>
      <c r="C1686" t="s">
        <v>52</v>
      </c>
      <c r="D1686" t="s">
        <v>154</v>
      </c>
      <c r="E1686" t="s">
        <v>36</v>
      </c>
      <c r="F1686" t="s">
        <v>47</v>
      </c>
      <c r="G1686" t="s">
        <v>138</v>
      </c>
      <c r="H1686">
        <v>2</v>
      </c>
      <c r="I1686" s="21">
        <v>43609</v>
      </c>
      <c r="J1686">
        <v>5</v>
      </c>
      <c r="K1686" s="21">
        <v>4360.8999999999996</v>
      </c>
      <c r="L1686" s="21">
        <v>82857.100000000006</v>
      </c>
      <c r="M1686" s="21">
        <v>67082.61</v>
      </c>
      <c r="N1686" s="21">
        <v>15774.49</v>
      </c>
      <c r="O1686" t="s">
        <v>29</v>
      </c>
      <c r="P1686" s="21">
        <v>2242.34</v>
      </c>
      <c r="Q1686" t="s">
        <v>40</v>
      </c>
      <c r="R1686" t="s">
        <v>31</v>
      </c>
      <c r="S1686">
        <v>5</v>
      </c>
      <c r="T1686">
        <v>2</v>
      </c>
      <c r="U1686" t="s">
        <v>32</v>
      </c>
      <c r="V1686" t="s">
        <v>33</v>
      </c>
      <c r="W1686">
        <v>1</v>
      </c>
    </row>
    <row r="1687" spans="1:23" x14ac:dyDescent="0.25">
      <c r="A1687" t="s">
        <v>2333</v>
      </c>
      <c r="B1687" s="1">
        <v>45852</v>
      </c>
      <c r="C1687" t="s">
        <v>622</v>
      </c>
      <c r="D1687" t="s">
        <v>154</v>
      </c>
      <c r="E1687" t="s">
        <v>46</v>
      </c>
      <c r="F1687" t="s">
        <v>37</v>
      </c>
      <c r="G1687" t="s">
        <v>161</v>
      </c>
      <c r="H1687">
        <v>2</v>
      </c>
      <c r="I1687" s="21">
        <v>13787</v>
      </c>
      <c r="J1687">
        <v>0</v>
      </c>
      <c r="K1687" s="21">
        <v>0</v>
      </c>
      <c r="L1687" s="21">
        <v>27574</v>
      </c>
      <c r="M1687" s="21">
        <v>15185.57</v>
      </c>
      <c r="N1687" s="21">
        <v>12388.43</v>
      </c>
      <c r="O1687" t="s">
        <v>49</v>
      </c>
      <c r="P1687" s="21">
        <v>327.73</v>
      </c>
      <c r="Q1687" t="s">
        <v>83</v>
      </c>
      <c r="R1687" t="s">
        <v>31</v>
      </c>
      <c r="S1687">
        <v>5</v>
      </c>
      <c r="T1687">
        <v>7</v>
      </c>
      <c r="U1687" t="s">
        <v>56</v>
      </c>
      <c r="V1687" t="s">
        <v>33</v>
      </c>
      <c r="W1687">
        <v>1</v>
      </c>
    </row>
    <row r="1688" spans="1:23" x14ac:dyDescent="0.25">
      <c r="A1688" t="s">
        <v>2334</v>
      </c>
      <c r="B1688" s="1">
        <v>45930</v>
      </c>
      <c r="C1688" t="s">
        <v>417</v>
      </c>
      <c r="D1688" t="s">
        <v>97</v>
      </c>
      <c r="E1688" t="s">
        <v>46</v>
      </c>
      <c r="F1688" t="s">
        <v>37</v>
      </c>
      <c r="G1688" t="s">
        <v>313</v>
      </c>
      <c r="H1688">
        <v>2</v>
      </c>
      <c r="I1688" s="21">
        <v>32172</v>
      </c>
      <c r="J1688">
        <v>5</v>
      </c>
      <c r="K1688" s="21">
        <v>3217.2</v>
      </c>
      <c r="L1688" s="21">
        <v>61126.8</v>
      </c>
      <c r="M1688" s="21">
        <v>44004.71</v>
      </c>
      <c r="N1688" s="21">
        <v>17122.09</v>
      </c>
      <c r="O1688" t="s">
        <v>60</v>
      </c>
      <c r="P1688" s="21">
        <v>1636.82</v>
      </c>
      <c r="Q1688" t="s">
        <v>73</v>
      </c>
      <c r="R1688" t="s">
        <v>31</v>
      </c>
      <c r="S1688">
        <v>5</v>
      </c>
      <c r="T1688">
        <v>4</v>
      </c>
      <c r="U1688" t="s">
        <v>32</v>
      </c>
      <c r="V1688" t="s">
        <v>33</v>
      </c>
      <c r="W1688">
        <v>2</v>
      </c>
    </row>
    <row r="1689" spans="1:23" x14ac:dyDescent="0.25">
      <c r="A1689" t="s">
        <v>2335</v>
      </c>
      <c r="B1689" s="1">
        <v>46018</v>
      </c>
      <c r="C1689" t="s">
        <v>1116</v>
      </c>
      <c r="D1689" t="s">
        <v>90</v>
      </c>
      <c r="E1689" t="s">
        <v>36</v>
      </c>
      <c r="F1689" t="s">
        <v>86</v>
      </c>
      <c r="G1689" t="s">
        <v>94</v>
      </c>
      <c r="H1689">
        <v>3</v>
      </c>
      <c r="I1689" s="21">
        <v>21050</v>
      </c>
      <c r="J1689">
        <v>25</v>
      </c>
      <c r="K1689" s="21">
        <v>15787.5</v>
      </c>
      <c r="L1689" s="21">
        <v>47362.5</v>
      </c>
      <c r="M1689" s="21">
        <v>35877.919999999998</v>
      </c>
      <c r="N1689" s="21">
        <v>11484.58</v>
      </c>
      <c r="O1689" t="s">
        <v>55</v>
      </c>
      <c r="P1689" s="21">
        <v>2217.36</v>
      </c>
      <c r="Q1689" t="s">
        <v>68</v>
      </c>
      <c r="R1689" t="s">
        <v>31</v>
      </c>
      <c r="S1689">
        <v>5</v>
      </c>
      <c r="T1689">
        <v>1</v>
      </c>
      <c r="U1689" t="s">
        <v>32</v>
      </c>
      <c r="V1689" t="s">
        <v>50</v>
      </c>
      <c r="W1689">
        <v>4</v>
      </c>
    </row>
    <row r="1690" spans="1:23" x14ac:dyDescent="0.25">
      <c r="A1690" t="s">
        <v>2336</v>
      </c>
      <c r="B1690" s="1">
        <v>45775</v>
      </c>
      <c r="C1690" t="s">
        <v>608</v>
      </c>
      <c r="D1690" t="s">
        <v>71</v>
      </c>
      <c r="E1690" t="s">
        <v>36</v>
      </c>
      <c r="F1690" t="s">
        <v>53</v>
      </c>
      <c r="G1690" t="s">
        <v>151</v>
      </c>
      <c r="H1690">
        <v>1</v>
      </c>
      <c r="I1690" s="21">
        <v>40539</v>
      </c>
      <c r="J1690">
        <v>5</v>
      </c>
      <c r="K1690" s="21">
        <v>2026.95</v>
      </c>
      <c r="L1690" s="21">
        <v>38512.050000000003</v>
      </c>
      <c r="M1690" s="21">
        <v>21210.959999999999</v>
      </c>
      <c r="N1690" s="21">
        <v>17301.09</v>
      </c>
      <c r="O1690" t="s">
        <v>55</v>
      </c>
      <c r="P1690" s="21">
        <v>527.39</v>
      </c>
      <c r="Q1690" t="s">
        <v>73</v>
      </c>
      <c r="R1690" t="s">
        <v>41</v>
      </c>
      <c r="S1690">
        <v>2</v>
      </c>
      <c r="T1690">
        <v>2</v>
      </c>
      <c r="U1690" t="s">
        <v>32</v>
      </c>
      <c r="V1690" t="s">
        <v>33</v>
      </c>
      <c r="W1690">
        <v>5</v>
      </c>
    </row>
    <row r="1691" spans="1:23" x14ac:dyDescent="0.25">
      <c r="A1691" t="s">
        <v>2337</v>
      </c>
      <c r="B1691" s="1">
        <v>45914</v>
      </c>
      <c r="C1691" t="s">
        <v>2095</v>
      </c>
      <c r="D1691" t="s">
        <v>124</v>
      </c>
      <c r="E1691" t="s">
        <v>46</v>
      </c>
      <c r="F1691" t="s">
        <v>47</v>
      </c>
      <c r="G1691" t="s">
        <v>105</v>
      </c>
      <c r="H1691">
        <v>1</v>
      </c>
      <c r="I1691" s="21">
        <v>16276</v>
      </c>
      <c r="J1691">
        <v>15</v>
      </c>
      <c r="K1691" s="21">
        <v>2441.4</v>
      </c>
      <c r="L1691" s="21">
        <v>13834.6</v>
      </c>
      <c r="M1691" s="21">
        <v>10259.120000000001</v>
      </c>
      <c r="N1691" s="21">
        <v>3575.48</v>
      </c>
      <c r="O1691" t="s">
        <v>29</v>
      </c>
      <c r="P1691" s="21">
        <v>2132.54</v>
      </c>
      <c r="Q1691" t="s">
        <v>30</v>
      </c>
      <c r="R1691" t="s">
        <v>31</v>
      </c>
      <c r="S1691">
        <v>5</v>
      </c>
      <c r="T1691">
        <v>4</v>
      </c>
      <c r="U1691" t="s">
        <v>32</v>
      </c>
      <c r="V1691" t="s">
        <v>33</v>
      </c>
      <c r="W1691">
        <v>4</v>
      </c>
    </row>
    <row r="1692" spans="1:23" x14ac:dyDescent="0.25">
      <c r="A1692" t="s">
        <v>2338</v>
      </c>
      <c r="B1692" s="1">
        <v>45944</v>
      </c>
      <c r="C1692" t="s">
        <v>472</v>
      </c>
      <c r="D1692" t="s">
        <v>67</v>
      </c>
      <c r="E1692" t="s">
        <v>26</v>
      </c>
      <c r="F1692" t="s">
        <v>37</v>
      </c>
      <c r="G1692" t="s">
        <v>100</v>
      </c>
      <c r="H1692">
        <v>1</v>
      </c>
      <c r="I1692" s="21">
        <v>22248</v>
      </c>
      <c r="J1692">
        <v>10</v>
      </c>
      <c r="K1692" s="21">
        <v>2224.8000000000002</v>
      </c>
      <c r="L1692" s="21">
        <v>20023.2</v>
      </c>
      <c r="M1692" s="21">
        <v>11360.26</v>
      </c>
      <c r="N1692" s="21">
        <v>8662.94</v>
      </c>
      <c r="O1692" t="s">
        <v>49</v>
      </c>
      <c r="P1692" s="21">
        <v>246.15</v>
      </c>
      <c r="Q1692" t="s">
        <v>73</v>
      </c>
      <c r="R1692" t="s">
        <v>41</v>
      </c>
      <c r="S1692">
        <v>2</v>
      </c>
      <c r="T1692">
        <v>3</v>
      </c>
      <c r="U1692" t="s">
        <v>56</v>
      </c>
      <c r="V1692" t="s">
        <v>33</v>
      </c>
      <c r="W1692">
        <v>1</v>
      </c>
    </row>
    <row r="1693" spans="1:23" x14ac:dyDescent="0.25">
      <c r="A1693" t="s">
        <v>2339</v>
      </c>
      <c r="B1693" s="1">
        <v>46000</v>
      </c>
      <c r="C1693" t="s">
        <v>531</v>
      </c>
      <c r="D1693" t="s">
        <v>90</v>
      </c>
      <c r="E1693" t="s">
        <v>26</v>
      </c>
      <c r="F1693" t="s">
        <v>37</v>
      </c>
      <c r="G1693" t="s">
        <v>100</v>
      </c>
      <c r="H1693">
        <v>1</v>
      </c>
      <c r="I1693" s="21">
        <v>10543</v>
      </c>
      <c r="J1693">
        <v>10</v>
      </c>
      <c r="K1693" s="21">
        <v>1054.3</v>
      </c>
      <c r="L1693" s="21">
        <v>9488.7000000000007</v>
      </c>
      <c r="M1693" s="21">
        <v>7086.11</v>
      </c>
      <c r="N1693" s="21">
        <v>2402.59</v>
      </c>
      <c r="O1693" t="s">
        <v>49</v>
      </c>
      <c r="P1693" s="21">
        <v>184.7</v>
      </c>
      <c r="Q1693" t="s">
        <v>40</v>
      </c>
      <c r="R1693" t="s">
        <v>41</v>
      </c>
      <c r="S1693">
        <v>2</v>
      </c>
      <c r="T1693">
        <v>1</v>
      </c>
      <c r="U1693" t="s">
        <v>32</v>
      </c>
      <c r="V1693" t="s">
        <v>33</v>
      </c>
      <c r="W1693">
        <v>4</v>
      </c>
    </row>
    <row r="1694" spans="1:23" x14ac:dyDescent="0.25">
      <c r="A1694" t="s">
        <v>2340</v>
      </c>
      <c r="B1694" s="1">
        <v>45839</v>
      </c>
      <c r="C1694" t="s">
        <v>2051</v>
      </c>
      <c r="D1694" t="s">
        <v>90</v>
      </c>
      <c r="E1694" t="s">
        <v>46</v>
      </c>
      <c r="F1694" t="s">
        <v>27</v>
      </c>
      <c r="G1694" t="s">
        <v>76</v>
      </c>
      <c r="H1694">
        <v>1</v>
      </c>
      <c r="I1694" s="21">
        <v>4095</v>
      </c>
      <c r="J1694">
        <v>15</v>
      </c>
      <c r="K1694" s="21">
        <v>614.25</v>
      </c>
      <c r="L1694" s="21">
        <v>3480.75</v>
      </c>
      <c r="M1694" s="21">
        <v>2007.19</v>
      </c>
      <c r="N1694" s="21">
        <v>1473.56</v>
      </c>
      <c r="O1694" t="s">
        <v>29</v>
      </c>
      <c r="P1694" s="21">
        <v>2123.85</v>
      </c>
      <c r="Q1694" t="s">
        <v>73</v>
      </c>
      <c r="R1694" t="s">
        <v>31</v>
      </c>
      <c r="S1694">
        <v>5</v>
      </c>
      <c r="T1694">
        <v>0</v>
      </c>
      <c r="U1694" t="s">
        <v>32</v>
      </c>
      <c r="V1694" t="s">
        <v>50</v>
      </c>
      <c r="W1694">
        <v>3</v>
      </c>
    </row>
    <row r="1695" spans="1:23" x14ac:dyDescent="0.25">
      <c r="A1695" t="s">
        <v>2341</v>
      </c>
      <c r="B1695" s="1">
        <v>45694</v>
      </c>
      <c r="C1695" t="s">
        <v>1094</v>
      </c>
      <c r="D1695" t="s">
        <v>154</v>
      </c>
      <c r="E1695" t="s">
        <v>26</v>
      </c>
      <c r="F1695" t="s">
        <v>86</v>
      </c>
      <c r="G1695" t="s">
        <v>87</v>
      </c>
      <c r="H1695">
        <v>4</v>
      </c>
      <c r="I1695" s="21">
        <v>71957</v>
      </c>
      <c r="J1695">
        <v>20</v>
      </c>
      <c r="K1695" s="21">
        <v>57565.599999999999</v>
      </c>
      <c r="L1695" s="21">
        <v>230262.39999999999</v>
      </c>
      <c r="M1695" s="21">
        <v>166926.16</v>
      </c>
      <c r="N1695" s="21">
        <v>63336.24</v>
      </c>
      <c r="O1695" t="s">
        <v>91</v>
      </c>
      <c r="P1695" s="21">
        <v>2318.84</v>
      </c>
      <c r="Q1695" t="s">
        <v>83</v>
      </c>
      <c r="R1695" t="s">
        <v>41</v>
      </c>
      <c r="S1695">
        <v>2</v>
      </c>
      <c r="T1695">
        <v>1</v>
      </c>
      <c r="U1695" t="s">
        <v>32</v>
      </c>
      <c r="V1695" t="s">
        <v>50</v>
      </c>
      <c r="W1695">
        <v>3</v>
      </c>
    </row>
    <row r="1696" spans="1:23" x14ac:dyDescent="0.25">
      <c r="A1696" t="s">
        <v>2342</v>
      </c>
      <c r="B1696" s="1">
        <v>45861</v>
      </c>
      <c r="C1696" t="s">
        <v>648</v>
      </c>
      <c r="D1696" t="s">
        <v>154</v>
      </c>
      <c r="E1696" t="s">
        <v>26</v>
      </c>
      <c r="F1696" t="s">
        <v>86</v>
      </c>
      <c r="G1696" t="s">
        <v>127</v>
      </c>
      <c r="H1696">
        <v>2</v>
      </c>
      <c r="I1696" s="21">
        <v>12124</v>
      </c>
      <c r="J1696">
        <v>0</v>
      </c>
      <c r="K1696" s="21">
        <v>0</v>
      </c>
      <c r="L1696" s="21">
        <v>24248</v>
      </c>
      <c r="M1696" s="21">
        <v>14094.61</v>
      </c>
      <c r="N1696" s="21">
        <v>10153.39</v>
      </c>
      <c r="O1696" t="s">
        <v>39</v>
      </c>
      <c r="P1696" s="21">
        <v>946.63</v>
      </c>
      <c r="Q1696" t="s">
        <v>40</v>
      </c>
      <c r="R1696" t="s">
        <v>31</v>
      </c>
      <c r="S1696">
        <v>5</v>
      </c>
      <c r="T1696">
        <v>5</v>
      </c>
      <c r="U1696" t="s">
        <v>32</v>
      </c>
      <c r="V1696" t="s">
        <v>33</v>
      </c>
      <c r="W1696">
        <v>5</v>
      </c>
    </row>
    <row r="1697" spans="1:23" x14ac:dyDescent="0.25">
      <c r="A1697" t="s">
        <v>2343</v>
      </c>
      <c r="B1697" s="1">
        <v>45679</v>
      </c>
      <c r="C1697" t="s">
        <v>543</v>
      </c>
      <c r="D1697" t="s">
        <v>67</v>
      </c>
      <c r="E1697" t="s">
        <v>26</v>
      </c>
      <c r="F1697" t="s">
        <v>27</v>
      </c>
      <c r="G1697" t="s">
        <v>76</v>
      </c>
      <c r="H1697">
        <v>1</v>
      </c>
      <c r="I1697" s="21">
        <v>6201</v>
      </c>
      <c r="J1697">
        <v>10</v>
      </c>
      <c r="K1697" s="21">
        <v>620.1</v>
      </c>
      <c r="L1697" s="21">
        <v>5580.9</v>
      </c>
      <c r="M1697" s="21">
        <v>3870.42</v>
      </c>
      <c r="N1697" s="21">
        <v>1710.48</v>
      </c>
      <c r="O1697" t="s">
        <v>49</v>
      </c>
      <c r="P1697" s="21">
        <v>164.63</v>
      </c>
      <c r="Q1697" t="s">
        <v>73</v>
      </c>
      <c r="R1697" t="s">
        <v>31</v>
      </c>
      <c r="S1697">
        <v>5</v>
      </c>
      <c r="T1697">
        <v>8</v>
      </c>
      <c r="U1697" t="s">
        <v>56</v>
      </c>
      <c r="V1697" t="s">
        <v>33</v>
      </c>
      <c r="W1697">
        <v>1</v>
      </c>
    </row>
    <row r="1698" spans="1:23" x14ac:dyDescent="0.25">
      <c r="A1698" t="s">
        <v>2344</v>
      </c>
      <c r="B1698" s="1">
        <v>45881</v>
      </c>
      <c r="C1698" t="s">
        <v>587</v>
      </c>
      <c r="D1698" t="s">
        <v>45</v>
      </c>
      <c r="E1698" t="s">
        <v>46</v>
      </c>
      <c r="F1698" t="s">
        <v>37</v>
      </c>
      <c r="G1698" t="s">
        <v>38</v>
      </c>
      <c r="H1698">
        <v>1</v>
      </c>
      <c r="I1698" s="21">
        <v>18430</v>
      </c>
      <c r="J1698">
        <v>10</v>
      </c>
      <c r="K1698" s="21">
        <v>1843</v>
      </c>
      <c r="L1698" s="21">
        <v>16587</v>
      </c>
      <c r="M1698" s="21">
        <v>13410.01</v>
      </c>
      <c r="N1698" s="21">
        <v>3176.99</v>
      </c>
      <c r="O1698" t="s">
        <v>60</v>
      </c>
      <c r="P1698" s="21">
        <v>1880.93</v>
      </c>
      <c r="Q1698" t="s">
        <v>40</v>
      </c>
      <c r="R1698" t="s">
        <v>41</v>
      </c>
      <c r="S1698">
        <v>2</v>
      </c>
      <c r="T1698">
        <v>1</v>
      </c>
      <c r="U1698" t="s">
        <v>32</v>
      </c>
      <c r="V1698" t="s">
        <v>33</v>
      </c>
      <c r="W1698">
        <v>5</v>
      </c>
    </row>
    <row r="1699" spans="1:23" x14ac:dyDescent="0.25">
      <c r="A1699" t="s">
        <v>2345</v>
      </c>
      <c r="B1699" s="1">
        <v>45667</v>
      </c>
      <c r="C1699" t="s">
        <v>209</v>
      </c>
      <c r="D1699" t="s">
        <v>25</v>
      </c>
      <c r="E1699" t="s">
        <v>46</v>
      </c>
      <c r="F1699" t="s">
        <v>47</v>
      </c>
      <c r="G1699" t="s">
        <v>138</v>
      </c>
      <c r="H1699">
        <v>1</v>
      </c>
      <c r="I1699" s="21">
        <v>46294</v>
      </c>
      <c r="J1699">
        <v>20</v>
      </c>
      <c r="K1699" s="21">
        <v>9258.7999999999993</v>
      </c>
      <c r="L1699" s="21">
        <v>37035.199999999997</v>
      </c>
      <c r="M1699" s="21">
        <v>30263.26</v>
      </c>
      <c r="N1699" s="21">
        <v>6771.94</v>
      </c>
      <c r="O1699" t="s">
        <v>29</v>
      </c>
      <c r="P1699" s="21">
        <v>1829.87</v>
      </c>
      <c r="Q1699" t="s">
        <v>73</v>
      </c>
      <c r="R1699" t="s">
        <v>31</v>
      </c>
      <c r="S1699">
        <v>5</v>
      </c>
      <c r="T1699">
        <v>0</v>
      </c>
      <c r="U1699" t="s">
        <v>32</v>
      </c>
      <c r="V1699" t="s">
        <v>42</v>
      </c>
    </row>
    <row r="1700" spans="1:23" x14ac:dyDescent="0.25">
      <c r="A1700" t="s">
        <v>2346</v>
      </c>
      <c r="B1700" s="1">
        <v>45893</v>
      </c>
      <c r="C1700" t="s">
        <v>2026</v>
      </c>
      <c r="D1700" t="s">
        <v>67</v>
      </c>
      <c r="E1700" t="s">
        <v>46</v>
      </c>
      <c r="F1700" t="s">
        <v>27</v>
      </c>
      <c r="G1700" t="s">
        <v>113</v>
      </c>
      <c r="H1700">
        <v>3</v>
      </c>
      <c r="I1700" s="21">
        <v>3518</v>
      </c>
      <c r="J1700">
        <v>25</v>
      </c>
      <c r="K1700" s="21">
        <v>2638.5</v>
      </c>
      <c r="L1700" s="21">
        <v>7915.5</v>
      </c>
      <c r="M1700" s="21">
        <v>5572.66</v>
      </c>
      <c r="N1700" s="21">
        <v>2342.84</v>
      </c>
      <c r="O1700" t="s">
        <v>39</v>
      </c>
      <c r="P1700" s="21">
        <v>1716.38</v>
      </c>
      <c r="Q1700" t="s">
        <v>68</v>
      </c>
      <c r="R1700" t="s">
        <v>31</v>
      </c>
      <c r="S1700">
        <v>5</v>
      </c>
      <c r="T1700">
        <v>6</v>
      </c>
      <c r="U1700" t="s">
        <v>56</v>
      </c>
      <c r="V1700" t="s">
        <v>33</v>
      </c>
      <c r="W1700">
        <v>3</v>
      </c>
    </row>
    <row r="1701" spans="1:23" x14ac:dyDescent="0.25">
      <c r="A1701" t="s">
        <v>2347</v>
      </c>
      <c r="B1701" s="1">
        <v>45697</v>
      </c>
      <c r="C1701" t="s">
        <v>163</v>
      </c>
      <c r="D1701" t="s">
        <v>124</v>
      </c>
      <c r="E1701" t="s">
        <v>26</v>
      </c>
      <c r="F1701" t="s">
        <v>47</v>
      </c>
      <c r="G1701" t="s">
        <v>138</v>
      </c>
      <c r="H1701">
        <v>2</v>
      </c>
      <c r="I1701" s="21">
        <v>10983</v>
      </c>
      <c r="J1701">
        <v>10</v>
      </c>
      <c r="K1701" s="21">
        <v>2196.6</v>
      </c>
      <c r="L1701" s="21">
        <v>19769.400000000001</v>
      </c>
      <c r="M1701" s="21">
        <v>13320.56</v>
      </c>
      <c r="N1701" s="21">
        <v>6448.84</v>
      </c>
      <c r="O1701" t="s">
        <v>60</v>
      </c>
      <c r="P1701" s="21">
        <v>1367.45</v>
      </c>
      <c r="Q1701" t="s">
        <v>40</v>
      </c>
      <c r="R1701" t="s">
        <v>31</v>
      </c>
      <c r="S1701">
        <v>5</v>
      </c>
      <c r="T1701">
        <v>1</v>
      </c>
      <c r="U1701" t="s">
        <v>32</v>
      </c>
      <c r="V1701" t="s">
        <v>50</v>
      </c>
      <c r="W1701">
        <v>5</v>
      </c>
    </row>
    <row r="1702" spans="1:23" x14ac:dyDescent="0.25">
      <c r="A1702" t="s">
        <v>2348</v>
      </c>
      <c r="B1702" s="1">
        <v>45818</v>
      </c>
      <c r="C1702" t="s">
        <v>1324</v>
      </c>
      <c r="D1702" t="s">
        <v>90</v>
      </c>
      <c r="E1702" t="s">
        <v>36</v>
      </c>
      <c r="F1702" t="s">
        <v>37</v>
      </c>
      <c r="G1702" t="s">
        <v>38</v>
      </c>
      <c r="H1702">
        <v>1</v>
      </c>
      <c r="I1702" s="21">
        <v>20149</v>
      </c>
      <c r="J1702">
        <v>20</v>
      </c>
      <c r="K1702" s="21">
        <v>4029.8</v>
      </c>
      <c r="L1702" s="21">
        <v>16119.2</v>
      </c>
      <c r="M1702" s="21">
        <v>11378.15</v>
      </c>
      <c r="N1702" s="21">
        <v>4741.05</v>
      </c>
      <c r="O1702" t="s">
        <v>49</v>
      </c>
      <c r="P1702" s="21">
        <v>97.31</v>
      </c>
      <c r="Q1702" t="s">
        <v>73</v>
      </c>
      <c r="R1702" t="s">
        <v>31</v>
      </c>
      <c r="S1702">
        <v>5</v>
      </c>
      <c r="T1702">
        <v>3</v>
      </c>
      <c r="U1702" t="s">
        <v>32</v>
      </c>
      <c r="V1702" t="s">
        <v>42</v>
      </c>
    </row>
    <row r="1703" spans="1:23" x14ac:dyDescent="0.25">
      <c r="A1703" t="s">
        <v>2349</v>
      </c>
      <c r="B1703" s="1">
        <v>45952</v>
      </c>
      <c r="C1703" t="s">
        <v>584</v>
      </c>
      <c r="D1703" t="s">
        <v>124</v>
      </c>
      <c r="E1703" t="s">
        <v>26</v>
      </c>
      <c r="F1703" t="s">
        <v>27</v>
      </c>
      <c r="G1703" t="s">
        <v>164</v>
      </c>
      <c r="H1703">
        <v>2</v>
      </c>
      <c r="I1703" s="21">
        <v>8268</v>
      </c>
      <c r="J1703">
        <v>10</v>
      </c>
      <c r="K1703" s="21">
        <v>1653.6</v>
      </c>
      <c r="L1703" s="21">
        <v>14882.4</v>
      </c>
      <c r="M1703" s="21">
        <v>11134.23</v>
      </c>
      <c r="N1703" s="21">
        <v>3748.17</v>
      </c>
      <c r="O1703" t="s">
        <v>29</v>
      </c>
      <c r="P1703" s="21">
        <v>1699.51</v>
      </c>
      <c r="Q1703" t="s">
        <v>40</v>
      </c>
      <c r="R1703" t="s">
        <v>41</v>
      </c>
      <c r="S1703">
        <v>2</v>
      </c>
      <c r="T1703">
        <v>4</v>
      </c>
      <c r="U1703" t="s">
        <v>32</v>
      </c>
      <c r="V1703" t="s">
        <v>42</v>
      </c>
    </row>
    <row r="1704" spans="1:23" x14ac:dyDescent="0.25">
      <c r="A1704" t="s">
        <v>2350</v>
      </c>
      <c r="B1704" s="1">
        <v>45877</v>
      </c>
      <c r="C1704" t="s">
        <v>1028</v>
      </c>
      <c r="D1704" t="s">
        <v>67</v>
      </c>
      <c r="E1704" t="s">
        <v>26</v>
      </c>
      <c r="F1704" t="s">
        <v>86</v>
      </c>
      <c r="G1704" t="s">
        <v>87</v>
      </c>
      <c r="H1704">
        <v>1</v>
      </c>
      <c r="I1704" s="21">
        <v>6533</v>
      </c>
      <c r="J1704">
        <v>20</v>
      </c>
      <c r="K1704" s="21">
        <v>1306.5999999999999</v>
      </c>
      <c r="L1704" s="21">
        <v>5226.3999999999996</v>
      </c>
      <c r="M1704" s="21">
        <v>3703.4</v>
      </c>
      <c r="N1704" s="21">
        <v>1523</v>
      </c>
      <c r="O1704" t="s">
        <v>60</v>
      </c>
      <c r="P1704" s="21">
        <v>836.39</v>
      </c>
      <c r="Q1704" t="s">
        <v>30</v>
      </c>
      <c r="R1704" t="s">
        <v>41</v>
      </c>
      <c r="S1704">
        <v>2</v>
      </c>
      <c r="T1704">
        <v>6</v>
      </c>
      <c r="U1704" t="s">
        <v>32</v>
      </c>
      <c r="V1704" t="s">
        <v>42</v>
      </c>
    </row>
    <row r="1705" spans="1:23" x14ac:dyDescent="0.25">
      <c r="A1705" t="s">
        <v>2351</v>
      </c>
      <c r="B1705" s="1">
        <v>45951</v>
      </c>
      <c r="C1705" t="s">
        <v>1485</v>
      </c>
      <c r="D1705" t="s">
        <v>79</v>
      </c>
      <c r="E1705" t="s">
        <v>26</v>
      </c>
      <c r="F1705" t="s">
        <v>86</v>
      </c>
      <c r="G1705" t="s">
        <v>94</v>
      </c>
      <c r="H1705">
        <v>2</v>
      </c>
      <c r="I1705" s="21">
        <v>61842</v>
      </c>
      <c r="J1705">
        <v>10</v>
      </c>
      <c r="K1705" s="21">
        <v>12368.4</v>
      </c>
      <c r="L1705" s="21">
        <v>111315.6</v>
      </c>
      <c r="M1705" s="21">
        <v>69783.58</v>
      </c>
      <c r="N1705" s="21">
        <v>41532.019999999997</v>
      </c>
      <c r="O1705" t="s">
        <v>55</v>
      </c>
      <c r="P1705" s="21">
        <v>1239.43</v>
      </c>
      <c r="Q1705" t="s">
        <v>73</v>
      </c>
      <c r="R1705" t="s">
        <v>41</v>
      </c>
      <c r="S1705">
        <v>2</v>
      </c>
      <c r="T1705">
        <v>4</v>
      </c>
      <c r="U1705" t="s">
        <v>56</v>
      </c>
      <c r="V1705" t="s">
        <v>33</v>
      </c>
      <c r="W1705">
        <v>5</v>
      </c>
    </row>
    <row r="1706" spans="1:23" x14ac:dyDescent="0.25">
      <c r="A1706" t="s">
        <v>2352</v>
      </c>
      <c r="B1706" s="1">
        <v>45865</v>
      </c>
      <c r="C1706" t="s">
        <v>655</v>
      </c>
      <c r="D1706" t="s">
        <v>90</v>
      </c>
      <c r="E1706" t="s">
        <v>46</v>
      </c>
      <c r="F1706" t="s">
        <v>37</v>
      </c>
      <c r="G1706" t="s">
        <v>224</v>
      </c>
      <c r="H1706">
        <v>1</v>
      </c>
      <c r="I1706" s="21">
        <v>37798</v>
      </c>
      <c r="J1706">
        <v>10</v>
      </c>
      <c r="K1706" s="21">
        <v>3779.8</v>
      </c>
      <c r="L1706" s="21">
        <v>34018.199999999997</v>
      </c>
      <c r="M1706" s="21">
        <v>27479.81</v>
      </c>
      <c r="N1706" s="21">
        <v>6538.39</v>
      </c>
      <c r="O1706" t="s">
        <v>49</v>
      </c>
      <c r="P1706" s="21">
        <v>322.69</v>
      </c>
      <c r="Q1706" t="s">
        <v>40</v>
      </c>
      <c r="R1706" t="s">
        <v>31</v>
      </c>
      <c r="S1706">
        <v>5</v>
      </c>
      <c r="T1706">
        <v>3</v>
      </c>
      <c r="U1706" t="s">
        <v>32</v>
      </c>
      <c r="V1706" t="s">
        <v>50</v>
      </c>
      <c r="W1706">
        <v>5</v>
      </c>
    </row>
    <row r="1707" spans="1:23" x14ac:dyDescent="0.25">
      <c r="A1707" t="s">
        <v>2353</v>
      </c>
      <c r="B1707" s="1">
        <v>46021</v>
      </c>
      <c r="C1707" t="s">
        <v>1790</v>
      </c>
      <c r="D1707" t="s">
        <v>25</v>
      </c>
      <c r="E1707" t="s">
        <v>26</v>
      </c>
      <c r="F1707" t="s">
        <v>27</v>
      </c>
      <c r="G1707" t="s">
        <v>72</v>
      </c>
      <c r="H1707">
        <v>1</v>
      </c>
      <c r="I1707" s="21">
        <v>17152</v>
      </c>
      <c r="J1707">
        <v>15</v>
      </c>
      <c r="K1707" s="21">
        <v>2572.8000000000002</v>
      </c>
      <c r="L1707" s="21">
        <v>14579.2</v>
      </c>
      <c r="M1707" s="21">
        <v>9896.02</v>
      </c>
      <c r="N1707" s="21">
        <v>4683.18</v>
      </c>
      <c r="O1707" t="s">
        <v>60</v>
      </c>
      <c r="P1707" s="21">
        <v>1757.54</v>
      </c>
      <c r="Q1707" t="s">
        <v>30</v>
      </c>
      <c r="R1707" t="s">
        <v>31</v>
      </c>
      <c r="S1707">
        <v>5</v>
      </c>
      <c r="T1707">
        <v>4</v>
      </c>
      <c r="U1707" t="s">
        <v>32</v>
      </c>
      <c r="V1707" t="s">
        <v>33</v>
      </c>
      <c r="W1707">
        <v>3</v>
      </c>
    </row>
    <row r="1708" spans="1:23" x14ac:dyDescent="0.25">
      <c r="A1708" t="s">
        <v>2354</v>
      </c>
      <c r="B1708" s="1">
        <v>45985</v>
      </c>
      <c r="C1708" t="s">
        <v>474</v>
      </c>
      <c r="D1708" t="s">
        <v>79</v>
      </c>
      <c r="E1708" t="s">
        <v>36</v>
      </c>
      <c r="F1708" t="s">
        <v>47</v>
      </c>
      <c r="G1708" t="s">
        <v>138</v>
      </c>
      <c r="H1708">
        <v>1</v>
      </c>
      <c r="I1708" s="21">
        <v>13155</v>
      </c>
      <c r="J1708">
        <v>0</v>
      </c>
      <c r="K1708" s="21">
        <v>0</v>
      </c>
      <c r="L1708" s="21">
        <v>13155</v>
      </c>
      <c r="M1708" s="21">
        <v>8982.51</v>
      </c>
      <c r="N1708" s="21">
        <v>4172.49</v>
      </c>
      <c r="O1708" t="s">
        <v>49</v>
      </c>
      <c r="P1708" s="21">
        <v>312.74</v>
      </c>
      <c r="Q1708" t="s">
        <v>68</v>
      </c>
      <c r="R1708" t="s">
        <v>31</v>
      </c>
      <c r="S1708">
        <v>5</v>
      </c>
      <c r="T1708">
        <v>3</v>
      </c>
      <c r="U1708" t="s">
        <v>32</v>
      </c>
      <c r="V1708" t="s">
        <v>42</v>
      </c>
    </row>
    <row r="1709" spans="1:23" x14ac:dyDescent="0.25">
      <c r="A1709" t="s">
        <v>2355</v>
      </c>
      <c r="B1709" s="1">
        <v>45871</v>
      </c>
      <c r="C1709" t="s">
        <v>1136</v>
      </c>
      <c r="D1709" t="s">
        <v>25</v>
      </c>
      <c r="E1709" t="s">
        <v>46</v>
      </c>
      <c r="F1709" t="s">
        <v>47</v>
      </c>
      <c r="G1709" t="s">
        <v>146</v>
      </c>
      <c r="H1709">
        <v>3</v>
      </c>
      <c r="I1709" s="21">
        <v>45118</v>
      </c>
      <c r="J1709">
        <v>0</v>
      </c>
      <c r="K1709" s="21">
        <v>0</v>
      </c>
      <c r="L1709" s="21">
        <v>135354</v>
      </c>
      <c r="M1709" s="21">
        <v>109306.82</v>
      </c>
      <c r="N1709" s="21">
        <v>26047.18</v>
      </c>
      <c r="O1709" t="s">
        <v>39</v>
      </c>
      <c r="P1709" s="21">
        <v>630.76</v>
      </c>
      <c r="Q1709" t="s">
        <v>83</v>
      </c>
      <c r="R1709" t="s">
        <v>31</v>
      </c>
      <c r="S1709">
        <v>5</v>
      </c>
      <c r="T1709">
        <v>8</v>
      </c>
      <c r="U1709" t="s">
        <v>56</v>
      </c>
      <c r="V1709" t="s">
        <v>33</v>
      </c>
      <c r="W1709">
        <v>5</v>
      </c>
    </row>
    <row r="1710" spans="1:23" x14ac:dyDescent="0.25">
      <c r="A1710" t="s">
        <v>2356</v>
      </c>
      <c r="B1710" s="1">
        <v>45806</v>
      </c>
      <c r="C1710" t="s">
        <v>1041</v>
      </c>
      <c r="D1710" t="s">
        <v>124</v>
      </c>
      <c r="E1710" t="s">
        <v>26</v>
      </c>
      <c r="F1710" t="s">
        <v>47</v>
      </c>
      <c r="G1710" t="s">
        <v>105</v>
      </c>
      <c r="H1710">
        <v>1</v>
      </c>
      <c r="I1710" s="21">
        <v>53591</v>
      </c>
      <c r="J1710">
        <v>20</v>
      </c>
      <c r="K1710" s="21">
        <v>10718.2</v>
      </c>
      <c r="L1710" s="21">
        <v>42872.800000000003</v>
      </c>
      <c r="M1710" s="21">
        <v>25384.400000000001</v>
      </c>
      <c r="N1710" s="21">
        <v>17488.400000000001</v>
      </c>
      <c r="O1710" t="s">
        <v>91</v>
      </c>
      <c r="P1710" s="21">
        <v>521.20000000000005</v>
      </c>
      <c r="Q1710" t="s">
        <v>68</v>
      </c>
      <c r="R1710" t="s">
        <v>31</v>
      </c>
      <c r="S1710">
        <v>5</v>
      </c>
      <c r="T1710">
        <v>1</v>
      </c>
      <c r="U1710" t="s">
        <v>32</v>
      </c>
      <c r="V1710" t="s">
        <v>42</v>
      </c>
    </row>
    <row r="1711" spans="1:23" x14ac:dyDescent="0.25">
      <c r="A1711" t="s">
        <v>2357</v>
      </c>
      <c r="B1711" s="1">
        <v>45716</v>
      </c>
      <c r="C1711" t="s">
        <v>943</v>
      </c>
      <c r="D1711" t="s">
        <v>67</v>
      </c>
      <c r="E1711" t="s">
        <v>46</v>
      </c>
      <c r="F1711" t="s">
        <v>47</v>
      </c>
      <c r="G1711" t="s">
        <v>48</v>
      </c>
      <c r="H1711">
        <v>2</v>
      </c>
      <c r="I1711" s="21">
        <v>9187</v>
      </c>
      <c r="J1711">
        <v>10</v>
      </c>
      <c r="K1711" s="21">
        <v>1837.4</v>
      </c>
      <c r="L1711" s="21">
        <v>16536.599999999999</v>
      </c>
      <c r="M1711" s="21">
        <v>10738.85</v>
      </c>
      <c r="N1711" s="21">
        <v>5797.75</v>
      </c>
      <c r="O1711" t="s">
        <v>55</v>
      </c>
      <c r="P1711" s="21">
        <v>284.52</v>
      </c>
      <c r="Q1711" t="s">
        <v>30</v>
      </c>
      <c r="R1711" t="s">
        <v>41</v>
      </c>
      <c r="S1711">
        <v>2</v>
      </c>
      <c r="T1711">
        <v>0</v>
      </c>
      <c r="U1711" t="s">
        <v>32</v>
      </c>
      <c r="V1711" t="s">
        <v>50</v>
      </c>
      <c r="W1711">
        <v>2</v>
      </c>
    </row>
    <row r="1712" spans="1:23" x14ac:dyDescent="0.25">
      <c r="A1712" t="s">
        <v>2358</v>
      </c>
      <c r="B1712" s="1">
        <v>45865</v>
      </c>
      <c r="C1712" t="s">
        <v>1065</v>
      </c>
      <c r="D1712" t="s">
        <v>79</v>
      </c>
      <c r="E1712" t="s">
        <v>46</v>
      </c>
      <c r="F1712" t="s">
        <v>53</v>
      </c>
      <c r="G1712" t="s">
        <v>54</v>
      </c>
      <c r="H1712">
        <v>1</v>
      </c>
      <c r="I1712" s="21">
        <v>112935</v>
      </c>
      <c r="J1712">
        <v>15</v>
      </c>
      <c r="K1712" s="21">
        <v>16940.25</v>
      </c>
      <c r="L1712" s="21">
        <v>95994.75</v>
      </c>
      <c r="M1712" s="21">
        <v>55678.15</v>
      </c>
      <c r="N1712" s="21">
        <v>40316.6</v>
      </c>
      <c r="O1712" t="s">
        <v>91</v>
      </c>
      <c r="P1712" s="21">
        <v>1496.55</v>
      </c>
      <c r="Q1712" t="s">
        <v>40</v>
      </c>
      <c r="R1712" t="s">
        <v>31</v>
      </c>
      <c r="S1712">
        <v>5</v>
      </c>
      <c r="T1712">
        <v>7</v>
      </c>
      <c r="U1712" t="s">
        <v>56</v>
      </c>
      <c r="V1712" t="s">
        <v>33</v>
      </c>
      <c r="W1712">
        <v>5</v>
      </c>
    </row>
    <row r="1713" spans="1:23" x14ac:dyDescent="0.25">
      <c r="A1713" t="s">
        <v>2359</v>
      </c>
      <c r="B1713" s="1">
        <v>45668</v>
      </c>
      <c r="C1713" t="s">
        <v>1162</v>
      </c>
      <c r="D1713" t="s">
        <v>90</v>
      </c>
      <c r="E1713" t="s">
        <v>46</v>
      </c>
      <c r="F1713" t="s">
        <v>53</v>
      </c>
      <c r="G1713" t="s">
        <v>268</v>
      </c>
      <c r="H1713">
        <v>1</v>
      </c>
      <c r="I1713" s="21">
        <v>62113</v>
      </c>
      <c r="J1713">
        <v>25</v>
      </c>
      <c r="K1713" s="21">
        <v>15528.25</v>
      </c>
      <c r="L1713" s="21">
        <v>46584.75</v>
      </c>
      <c r="M1713" s="21">
        <v>33786.01</v>
      </c>
      <c r="N1713" s="21">
        <v>12798.74</v>
      </c>
      <c r="O1713" t="s">
        <v>60</v>
      </c>
      <c r="P1713" s="21">
        <v>880.89</v>
      </c>
      <c r="Q1713" t="s">
        <v>30</v>
      </c>
      <c r="R1713" t="s">
        <v>31</v>
      </c>
      <c r="S1713">
        <v>5</v>
      </c>
      <c r="T1713">
        <v>2</v>
      </c>
      <c r="U1713" t="s">
        <v>32</v>
      </c>
      <c r="V1713" t="s">
        <v>50</v>
      </c>
      <c r="W1713">
        <v>4</v>
      </c>
    </row>
    <row r="1714" spans="1:23" x14ac:dyDescent="0.25">
      <c r="A1714" t="s">
        <v>2360</v>
      </c>
      <c r="B1714" s="1">
        <v>45824</v>
      </c>
      <c r="C1714" t="s">
        <v>156</v>
      </c>
      <c r="D1714" t="s">
        <v>90</v>
      </c>
      <c r="E1714" t="s">
        <v>46</v>
      </c>
      <c r="F1714" t="s">
        <v>37</v>
      </c>
      <c r="G1714" t="s">
        <v>313</v>
      </c>
      <c r="H1714">
        <v>1</v>
      </c>
      <c r="I1714" s="21">
        <v>12262</v>
      </c>
      <c r="J1714">
        <v>15</v>
      </c>
      <c r="K1714" s="21">
        <v>1839.3</v>
      </c>
      <c r="L1714" s="21">
        <v>10422.700000000001</v>
      </c>
      <c r="M1714" s="21">
        <v>6329.77</v>
      </c>
      <c r="N1714" s="21">
        <v>4092.93</v>
      </c>
      <c r="O1714" t="s">
        <v>39</v>
      </c>
      <c r="P1714" s="21">
        <v>1349.36</v>
      </c>
      <c r="Q1714" t="s">
        <v>30</v>
      </c>
      <c r="R1714" t="s">
        <v>41</v>
      </c>
      <c r="S1714">
        <v>2</v>
      </c>
      <c r="T1714">
        <v>1</v>
      </c>
      <c r="U1714" t="s">
        <v>32</v>
      </c>
      <c r="V1714" t="s">
        <v>33</v>
      </c>
      <c r="W1714">
        <v>1</v>
      </c>
    </row>
    <row r="1715" spans="1:23" x14ac:dyDescent="0.25">
      <c r="A1715" t="s">
        <v>2361</v>
      </c>
      <c r="B1715" s="1">
        <v>45745</v>
      </c>
      <c r="C1715" t="s">
        <v>555</v>
      </c>
      <c r="D1715" t="s">
        <v>124</v>
      </c>
      <c r="E1715" t="s">
        <v>26</v>
      </c>
      <c r="F1715" t="s">
        <v>37</v>
      </c>
      <c r="G1715" t="s">
        <v>38</v>
      </c>
      <c r="H1715">
        <v>1</v>
      </c>
      <c r="I1715" s="21">
        <v>21226</v>
      </c>
      <c r="J1715">
        <v>15</v>
      </c>
      <c r="K1715" s="21">
        <v>3183.9</v>
      </c>
      <c r="L1715" s="21">
        <v>18042.099999999999</v>
      </c>
      <c r="M1715" s="21">
        <v>10095.43</v>
      </c>
      <c r="N1715" s="21">
        <v>7946.67</v>
      </c>
      <c r="O1715" t="s">
        <v>91</v>
      </c>
      <c r="P1715" s="21">
        <v>1906.21</v>
      </c>
      <c r="Q1715" t="s">
        <v>68</v>
      </c>
      <c r="R1715" t="s">
        <v>31</v>
      </c>
      <c r="S1715">
        <v>5</v>
      </c>
      <c r="T1715">
        <v>5</v>
      </c>
      <c r="U1715" t="s">
        <v>32</v>
      </c>
      <c r="V1715" t="s">
        <v>42</v>
      </c>
    </row>
    <row r="1716" spans="1:23" x14ac:dyDescent="0.25">
      <c r="A1716" t="s">
        <v>2362</v>
      </c>
      <c r="B1716" s="1">
        <v>45974</v>
      </c>
      <c r="C1716" t="s">
        <v>427</v>
      </c>
      <c r="D1716" t="s">
        <v>154</v>
      </c>
      <c r="E1716" t="s">
        <v>36</v>
      </c>
      <c r="F1716" t="s">
        <v>27</v>
      </c>
      <c r="G1716" t="s">
        <v>28</v>
      </c>
      <c r="H1716">
        <v>2</v>
      </c>
      <c r="I1716" s="21">
        <v>8404</v>
      </c>
      <c r="J1716">
        <v>20</v>
      </c>
      <c r="K1716" s="21">
        <v>3361.6</v>
      </c>
      <c r="L1716" s="21">
        <v>13446.4</v>
      </c>
      <c r="M1716" s="21">
        <v>8755.24</v>
      </c>
      <c r="N1716" s="21">
        <v>4691.16</v>
      </c>
      <c r="O1716" t="s">
        <v>60</v>
      </c>
      <c r="P1716" s="21">
        <v>439.62</v>
      </c>
      <c r="Q1716" t="s">
        <v>40</v>
      </c>
      <c r="R1716" t="s">
        <v>31</v>
      </c>
      <c r="S1716">
        <v>5</v>
      </c>
      <c r="T1716">
        <v>3</v>
      </c>
      <c r="U1716" t="s">
        <v>32</v>
      </c>
      <c r="V1716" t="s">
        <v>33</v>
      </c>
      <c r="W1716">
        <v>4</v>
      </c>
    </row>
    <row r="1717" spans="1:23" x14ac:dyDescent="0.25">
      <c r="A1717" t="s">
        <v>2363</v>
      </c>
      <c r="B1717" s="1">
        <v>45893</v>
      </c>
      <c r="C1717" t="s">
        <v>2057</v>
      </c>
      <c r="D1717" t="s">
        <v>90</v>
      </c>
      <c r="E1717" t="s">
        <v>46</v>
      </c>
      <c r="F1717" t="s">
        <v>53</v>
      </c>
      <c r="G1717" t="s">
        <v>54</v>
      </c>
      <c r="H1717">
        <v>1</v>
      </c>
      <c r="I1717" s="21">
        <v>23131</v>
      </c>
      <c r="J1717">
        <v>5</v>
      </c>
      <c r="K1717" s="21">
        <v>1156.55</v>
      </c>
      <c r="L1717" s="21">
        <v>21974.45</v>
      </c>
      <c r="M1717" s="21">
        <v>13586.14</v>
      </c>
      <c r="N1717" s="21">
        <v>8388.31</v>
      </c>
      <c r="O1717" t="s">
        <v>49</v>
      </c>
      <c r="P1717" s="21">
        <v>246.39</v>
      </c>
      <c r="Q1717" t="s">
        <v>30</v>
      </c>
      <c r="R1717" t="s">
        <v>31</v>
      </c>
      <c r="S1717">
        <v>5</v>
      </c>
      <c r="T1717">
        <v>3</v>
      </c>
      <c r="U1717" t="s">
        <v>32</v>
      </c>
      <c r="V1717" t="s">
        <v>42</v>
      </c>
    </row>
    <row r="1718" spans="1:23" x14ac:dyDescent="0.25">
      <c r="A1718" t="s">
        <v>2364</v>
      </c>
      <c r="B1718" s="1">
        <v>46011</v>
      </c>
      <c r="C1718" t="s">
        <v>779</v>
      </c>
      <c r="D1718" t="s">
        <v>154</v>
      </c>
      <c r="E1718" t="s">
        <v>46</v>
      </c>
      <c r="F1718" t="s">
        <v>47</v>
      </c>
      <c r="G1718" t="s">
        <v>138</v>
      </c>
      <c r="H1718">
        <v>2</v>
      </c>
      <c r="I1718" s="21">
        <v>22575</v>
      </c>
      <c r="J1718">
        <v>0</v>
      </c>
      <c r="K1718" s="21">
        <v>0</v>
      </c>
      <c r="L1718" s="21">
        <v>45150</v>
      </c>
      <c r="M1718" s="21">
        <v>31878.5</v>
      </c>
      <c r="N1718" s="21">
        <v>13271.5</v>
      </c>
      <c r="O1718" t="s">
        <v>49</v>
      </c>
      <c r="P1718" s="21">
        <v>51.1</v>
      </c>
      <c r="Q1718" t="s">
        <v>73</v>
      </c>
      <c r="R1718" t="s">
        <v>31</v>
      </c>
      <c r="S1718">
        <v>5</v>
      </c>
      <c r="T1718">
        <v>5</v>
      </c>
      <c r="U1718" t="s">
        <v>32</v>
      </c>
      <c r="V1718" t="s">
        <v>33</v>
      </c>
      <c r="W1718">
        <v>1</v>
      </c>
    </row>
    <row r="1719" spans="1:23" x14ac:dyDescent="0.25">
      <c r="A1719" t="s">
        <v>2365</v>
      </c>
      <c r="B1719" s="1">
        <v>45843</v>
      </c>
      <c r="C1719" t="s">
        <v>1202</v>
      </c>
      <c r="D1719" t="s">
        <v>79</v>
      </c>
      <c r="E1719" t="s">
        <v>46</v>
      </c>
      <c r="F1719" t="s">
        <v>47</v>
      </c>
      <c r="G1719" t="s">
        <v>138</v>
      </c>
      <c r="H1719">
        <v>1</v>
      </c>
      <c r="I1719" s="21">
        <v>43649</v>
      </c>
      <c r="J1719">
        <v>5</v>
      </c>
      <c r="K1719" s="21">
        <v>2182.4499999999998</v>
      </c>
      <c r="L1719" s="21">
        <v>41466.550000000003</v>
      </c>
      <c r="M1719" s="21">
        <v>30110.49</v>
      </c>
      <c r="N1719" s="21">
        <v>11356.06</v>
      </c>
      <c r="O1719" t="s">
        <v>91</v>
      </c>
      <c r="P1719" s="21">
        <v>1244.27</v>
      </c>
      <c r="Q1719" t="s">
        <v>83</v>
      </c>
      <c r="R1719" t="s">
        <v>41</v>
      </c>
      <c r="S1719">
        <v>2</v>
      </c>
      <c r="T1719">
        <v>2</v>
      </c>
      <c r="U1719" t="s">
        <v>32</v>
      </c>
      <c r="V1719" t="s">
        <v>33</v>
      </c>
      <c r="W1719">
        <v>2</v>
      </c>
    </row>
    <row r="1720" spans="1:23" x14ac:dyDescent="0.25">
      <c r="A1720" t="s">
        <v>2366</v>
      </c>
      <c r="B1720" s="1">
        <v>45703</v>
      </c>
      <c r="C1720" t="s">
        <v>1183</v>
      </c>
      <c r="D1720" t="s">
        <v>25</v>
      </c>
      <c r="E1720" t="s">
        <v>26</v>
      </c>
      <c r="F1720" t="s">
        <v>86</v>
      </c>
      <c r="G1720" t="s">
        <v>94</v>
      </c>
      <c r="H1720">
        <v>1</v>
      </c>
      <c r="I1720" s="21">
        <v>77762</v>
      </c>
      <c r="J1720">
        <v>15</v>
      </c>
      <c r="K1720" s="21">
        <v>11664.3</v>
      </c>
      <c r="L1720" s="21">
        <v>66097.7</v>
      </c>
      <c r="M1720" s="21">
        <v>39807.29</v>
      </c>
      <c r="N1720" s="21">
        <v>26290.41</v>
      </c>
      <c r="O1720" t="s">
        <v>60</v>
      </c>
      <c r="P1720" s="21">
        <v>2455.96</v>
      </c>
      <c r="Q1720" t="s">
        <v>68</v>
      </c>
      <c r="R1720" t="s">
        <v>31</v>
      </c>
      <c r="S1720">
        <v>5</v>
      </c>
      <c r="T1720">
        <v>6</v>
      </c>
      <c r="U1720" t="s">
        <v>56</v>
      </c>
      <c r="V1720" t="s">
        <v>33</v>
      </c>
      <c r="W1720">
        <v>1</v>
      </c>
    </row>
    <row r="1721" spans="1:23" x14ac:dyDescent="0.25">
      <c r="A1721" t="s">
        <v>2367</v>
      </c>
      <c r="B1721" s="1">
        <v>45881</v>
      </c>
      <c r="C1721" t="s">
        <v>265</v>
      </c>
      <c r="D1721" t="s">
        <v>90</v>
      </c>
      <c r="E1721" t="s">
        <v>46</v>
      </c>
      <c r="F1721" t="s">
        <v>27</v>
      </c>
      <c r="G1721" t="s">
        <v>28</v>
      </c>
      <c r="H1721">
        <v>2</v>
      </c>
      <c r="I1721" s="21">
        <v>14118</v>
      </c>
      <c r="J1721">
        <v>10</v>
      </c>
      <c r="K1721" s="21">
        <v>2823.6</v>
      </c>
      <c r="L1721" s="21">
        <v>25412.400000000001</v>
      </c>
      <c r="M1721" s="21">
        <v>17346.22</v>
      </c>
      <c r="N1721" s="21">
        <v>8066.18</v>
      </c>
      <c r="O1721" t="s">
        <v>39</v>
      </c>
      <c r="P1721" s="21">
        <v>1793</v>
      </c>
      <c r="Q1721" t="s">
        <v>83</v>
      </c>
      <c r="R1721" t="s">
        <v>41</v>
      </c>
      <c r="S1721">
        <v>2</v>
      </c>
      <c r="T1721">
        <v>1</v>
      </c>
      <c r="U1721" t="s">
        <v>32</v>
      </c>
      <c r="V1721" t="s">
        <v>33</v>
      </c>
      <c r="W1721">
        <v>5</v>
      </c>
    </row>
    <row r="1722" spans="1:23" x14ac:dyDescent="0.25">
      <c r="A1722" t="s">
        <v>2368</v>
      </c>
      <c r="B1722" s="1">
        <v>45712</v>
      </c>
      <c r="C1722" t="s">
        <v>207</v>
      </c>
      <c r="D1722" t="s">
        <v>154</v>
      </c>
      <c r="E1722" t="s">
        <v>26</v>
      </c>
      <c r="F1722" t="s">
        <v>27</v>
      </c>
      <c r="G1722" t="s">
        <v>72</v>
      </c>
      <c r="H1722">
        <v>3</v>
      </c>
      <c r="I1722" s="21">
        <v>18607</v>
      </c>
      <c r="J1722">
        <v>20</v>
      </c>
      <c r="K1722" s="21">
        <v>11164.2</v>
      </c>
      <c r="L1722" s="21">
        <v>44656.800000000003</v>
      </c>
      <c r="M1722" s="21">
        <v>31194.13</v>
      </c>
      <c r="N1722" s="21">
        <v>13462.67</v>
      </c>
      <c r="O1722" t="s">
        <v>49</v>
      </c>
      <c r="P1722" s="21">
        <v>296.35000000000002</v>
      </c>
      <c r="Q1722" t="s">
        <v>40</v>
      </c>
      <c r="R1722" t="s">
        <v>41</v>
      </c>
      <c r="S1722">
        <v>2</v>
      </c>
      <c r="T1722">
        <v>3</v>
      </c>
      <c r="U1722" t="s">
        <v>32</v>
      </c>
      <c r="V1722" t="s">
        <v>50</v>
      </c>
      <c r="W1722">
        <v>4</v>
      </c>
    </row>
    <row r="1723" spans="1:23" x14ac:dyDescent="0.25">
      <c r="A1723" t="s">
        <v>2369</v>
      </c>
      <c r="B1723" s="1">
        <v>45782</v>
      </c>
      <c r="C1723" t="s">
        <v>514</v>
      </c>
      <c r="D1723" t="s">
        <v>90</v>
      </c>
      <c r="E1723" t="s">
        <v>26</v>
      </c>
      <c r="F1723" t="s">
        <v>86</v>
      </c>
      <c r="G1723" t="s">
        <v>180</v>
      </c>
      <c r="H1723">
        <v>1</v>
      </c>
      <c r="I1723" s="21">
        <v>67355</v>
      </c>
      <c r="J1723">
        <v>15</v>
      </c>
      <c r="K1723" s="21">
        <v>10103.25</v>
      </c>
      <c r="L1723" s="21">
        <v>57251.75</v>
      </c>
      <c r="M1723" s="21">
        <v>32824.199999999997</v>
      </c>
      <c r="N1723" s="21">
        <v>24427.55</v>
      </c>
      <c r="O1723" t="s">
        <v>49</v>
      </c>
      <c r="P1723" s="21">
        <v>295.58999999999997</v>
      </c>
      <c r="Q1723" t="s">
        <v>68</v>
      </c>
      <c r="R1723" t="s">
        <v>41</v>
      </c>
      <c r="S1723">
        <v>2</v>
      </c>
      <c r="T1723">
        <v>1</v>
      </c>
      <c r="U1723" t="s">
        <v>32</v>
      </c>
      <c r="V1723" t="s">
        <v>42</v>
      </c>
    </row>
    <row r="1724" spans="1:23" x14ac:dyDescent="0.25">
      <c r="A1724" t="s">
        <v>2370</v>
      </c>
      <c r="B1724" s="1">
        <v>45881</v>
      </c>
      <c r="C1724" t="s">
        <v>1238</v>
      </c>
      <c r="D1724" t="s">
        <v>45</v>
      </c>
      <c r="E1724" t="s">
        <v>26</v>
      </c>
      <c r="F1724" t="s">
        <v>27</v>
      </c>
      <c r="G1724" t="s">
        <v>28</v>
      </c>
      <c r="H1724">
        <v>4</v>
      </c>
      <c r="I1724" s="21">
        <v>26681</v>
      </c>
      <c r="J1724">
        <v>10</v>
      </c>
      <c r="K1724" s="21">
        <v>10672.4</v>
      </c>
      <c r="L1724" s="21">
        <v>96051.6</v>
      </c>
      <c r="M1724" s="21">
        <v>55928.17</v>
      </c>
      <c r="N1724" s="21">
        <v>40123.43</v>
      </c>
      <c r="O1724" t="s">
        <v>91</v>
      </c>
      <c r="P1724" s="21">
        <v>650.51</v>
      </c>
      <c r="Q1724" t="s">
        <v>30</v>
      </c>
      <c r="R1724" t="s">
        <v>31</v>
      </c>
      <c r="S1724">
        <v>5</v>
      </c>
      <c r="T1724">
        <v>6</v>
      </c>
      <c r="U1724" t="s">
        <v>56</v>
      </c>
      <c r="V1724" t="s">
        <v>33</v>
      </c>
      <c r="W1724">
        <v>3</v>
      </c>
    </row>
    <row r="1725" spans="1:23" x14ac:dyDescent="0.25">
      <c r="A1725" t="s">
        <v>2371</v>
      </c>
      <c r="B1725" s="1">
        <v>45959</v>
      </c>
      <c r="C1725" t="s">
        <v>817</v>
      </c>
      <c r="D1725" t="s">
        <v>90</v>
      </c>
      <c r="E1725" t="s">
        <v>46</v>
      </c>
      <c r="F1725" t="s">
        <v>53</v>
      </c>
      <c r="G1725" t="s">
        <v>82</v>
      </c>
      <c r="H1725">
        <v>2</v>
      </c>
      <c r="I1725" s="21">
        <v>80139</v>
      </c>
      <c r="J1725">
        <v>0</v>
      </c>
      <c r="K1725" s="21">
        <v>0</v>
      </c>
      <c r="L1725" s="21">
        <v>160278</v>
      </c>
      <c r="M1725" s="21">
        <v>118011.55</v>
      </c>
      <c r="N1725" s="21">
        <v>42266.45</v>
      </c>
      <c r="O1725" t="s">
        <v>39</v>
      </c>
      <c r="P1725" s="21">
        <v>2498.75</v>
      </c>
      <c r="Q1725" t="s">
        <v>40</v>
      </c>
      <c r="R1725" t="s">
        <v>41</v>
      </c>
      <c r="S1725">
        <v>2</v>
      </c>
      <c r="T1725">
        <v>3</v>
      </c>
      <c r="U1725" t="s">
        <v>32</v>
      </c>
      <c r="V1725" t="s">
        <v>50</v>
      </c>
      <c r="W1725">
        <v>3</v>
      </c>
    </row>
    <row r="1726" spans="1:23" x14ac:dyDescent="0.25">
      <c r="A1726" t="s">
        <v>2372</v>
      </c>
      <c r="B1726" s="1">
        <v>45863</v>
      </c>
      <c r="C1726" t="s">
        <v>2036</v>
      </c>
      <c r="D1726" t="s">
        <v>67</v>
      </c>
      <c r="E1726" t="s">
        <v>26</v>
      </c>
      <c r="F1726" t="s">
        <v>86</v>
      </c>
      <c r="G1726" t="s">
        <v>180</v>
      </c>
      <c r="H1726">
        <v>3</v>
      </c>
      <c r="I1726" s="21">
        <v>23502</v>
      </c>
      <c r="J1726">
        <v>5</v>
      </c>
      <c r="K1726" s="21">
        <v>3525.3</v>
      </c>
      <c r="L1726" s="21">
        <v>66980.7</v>
      </c>
      <c r="M1726" s="21">
        <v>54616.4</v>
      </c>
      <c r="N1726" s="21">
        <v>12364.3</v>
      </c>
      <c r="O1726" t="s">
        <v>29</v>
      </c>
      <c r="P1726" s="21">
        <v>1117.49</v>
      </c>
      <c r="Q1726" t="s">
        <v>83</v>
      </c>
      <c r="R1726" t="s">
        <v>41</v>
      </c>
      <c r="S1726">
        <v>2</v>
      </c>
      <c r="T1726">
        <v>0</v>
      </c>
      <c r="U1726" t="s">
        <v>32</v>
      </c>
      <c r="V1726" t="s">
        <v>50</v>
      </c>
      <c r="W1726">
        <v>5</v>
      </c>
    </row>
    <row r="1727" spans="1:23" x14ac:dyDescent="0.25">
      <c r="A1727" t="s">
        <v>2373</v>
      </c>
      <c r="B1727" s="1">
        <v>45926</v>
      </c>
      <c r="C1727" t="s">
        <v>758</v>
      </c>
      <c r="D1727" t="s">
        <v>45</v>
      </c>
      <c r="E1727" t="s">
        <v>26</v>
      </c>
      <c r="F1727" t="s">
        <v>53</v>
      </c>
      <c r="G1727" t="s">
        <v>82</v>
      </c>
      <c r="H1727">
        <v>2</v>
      </c>
      <c r="I1727" s="21">
        <v>77458</v>
      </c>
      <c r="J1727">
        <v>20</v>
      </c>
      <c r="K1727" s="21">
        <v>30983.200000000001</v>
      </c>
      <c r="L1727" s="21">
        <v>123932.8</v>
      </c>
      <c r="M1727" s="21">
        <v>68202.350000000006</v>
      </c>
      <c r="N1727" s="21">
        <v>55730.45</v>
      </c>
      <c r="O1727" t="s">
        <v>29</v>
      </c>
      <c r="P1727" s="21">
        <v>2206.11</v>
      </c>
      <c r="Q1727" t="s">
        <v>83</v>
      </c>
      <c r="R1727" t="s">
        <v>41</v>
      </c>
      <c r="S1727">
        <v>2</v>
      </c>
      <c r="T1727">
        <v>3</v>
      </c>
      <c r="U1727" t="s">
        <v>32</v>
      </c>
      <c r="V1727" t="s">
        <v>42</v>
      </c>
    </row>
    <row r="1728" spans="1:23" x14ac:dyDescent="0.25">
      <c r="A1728" t="s">
        <v>2374</v>
      </c>
      <c r="B1728" s="1">
        <v>45698</v>
      </c>
      <c r="C1728" t="s">
        <v>1037</v>
      </c>
      <c r="D1728" t="s">
        <v>67</v>
      </c>
      <c r="E1728" t="s">
        <v>26</v>
      </c>
      <c r="F1728" t="s">
        <v>86</v>
      </c>
      <c r="G1728" t="s">
        <v>87</v>
      </c>
      <c r="H1728">
        <v>2</v>
      </c>
      <c r="I1728" s="21">
        <v>43385</v>
      </c>
      <c r="J1728">
        <v>5</v>
      </c>
      <c r="K1728" s="21">
        <v>4338.5</v>
      </c>
      <c r="L1728" s="21">
        <v>82431.5</v>
      </c>
      <c r="M1728" s="21">
        <v>50343.6</v>
      </c>
      <c r="N1728" s="21">
        <v>32087.9</v>
      </c>
      <c r="O1728" t="s">
        <v>60</v>
      </c>
      <c r="P1728" s="21">
        <v>1218.06</v>
      </c>
      <c r="Q1728" t="s">
        <v>30</v>
      </c>
      <c r="R1728" t="s">
        <v>41</v>
      </c>
      <c r="S1728">
        <v>2</v>
      </c>
      <c r="T1728">
        <v>5</v>
      </c>
      <c r="U1728" t="s">
        <v>32</v>
      </c>
      <c r="V1728" t="s">
        <v>42</v>
      </c>
    </row>
    <row r="1729" spans="1:23" x14ac:dyDescent="0.25">
      <c r="A1729" t="s">
        <v>2375</v>
      </c>
      <c r="B1729" s="1">
        <v>45860</v>
      </c>
      <c r="C1729" t="s">
        <v>612</v>
      </c>
      <c r="D1729" t="s">
        <v>71</v>
      </c>
      <c r="E1729" t="s">
        <v>26</v>
      </c>
      <c r="F1729" t="s">
        <v>27</v>
      </c>
      <c r="G1729" t="s">
        <v>76</v>
      </c>
      <c r="H1729">
        <v>1</v>
      </c>
      <c r="I1729" s="21">
        <v>22199</v>
      </c>
      <c r="J1729">
        <v>0</v>
      </c>
      <c r="K1729" s="21">
        <v>0</v>
      </c>
      <c r="L1729" s="21">
        <v>22199</v>
      </c>
      <c r="M1729" s="21">
        <v>16262.92</v>
      </c>
      <c r="N1729" s="21">
        <v>5936.08</v>
      </c>
      <c r="P1729" s="21">
        <v>1477.11</v>
      </c>
      <c r="Q1729" t="s">
        <v>73</v>
      </c>
      <c r="R1729" t="s">
        <v>31</v>
      </c>
      <c r="S1729">
        <v>5</v>
      </c>
      <c r="T1729">
        <v>6</v>
      </c>
      <c r="U1729" t="s">
        <v>56</v>
      </c>
      <c r="V1729" t="s">
        <v>33</v>
      </c>
      <c r="W1729">
        <v>4</v>
      </c>
    </row>
    <row r="1730" spans="1:23" x14ac:dyDescent="0.25">
      <c r="A1730" t="s">
        <v>2376</v>
      </c>
      <c r="B1730" s="1">
        <v>45816</v>
      </c>
      <c r="C1730" t="s">
        <v>203</v>
      </c>
      <c r="D1730" t="s">
        <v>25</v>
      </c>
      <c r="E1730" t="s">
        <v>46</v>
      </c>
      <c r="F1730" t="s">
        <v>53</v>
      </c>
      <c r="G1730" t="s">
        <v>268</v>
      </c>
      <c r="H1730">
        <v>2</v>
      </c>
      <c r="I1730" s="21">
        <v>83101</v>
      </c>
      <c r="J1730">
        <v>0</v>
      </c>
      <c r="K1730" s="21">
        <v>0</v>
      </c>
      <c r="L1730" s="21">
        <v>166202</v>
      </c>
      <c r="M1730" s="21">
        <v>92881.73</v>
      </c>
      <c r="N1730" s="21">
        <v>73320.27</v>
      </c>
      <c r="O1730" t="s">
        <v>55</v>
      </c>
      <c r="P1730" s="21">
        <v>2272.81</v>
      </c>
      <c r="Q1730" t="s">
        <v>30</v>
      </c>
      <c r="R1730" t="s">
        <v>31</v>
      </c>
      <c r="S1730">
        <v>5</v>
      </c>
      <c r="T1730">
        <v>5</v>
      </c>
      <c r="U1730" t="s">
        <v>32</v>
      </c>
      <c r="V1730" t="s">
        <v>33</v>
      </c>
      <c r="W1730">
        <v>5</v>
      </c>
    </row>
    <row r="1731" spans="1:23" x14ac:dyDescent="0.25">
      <c r="A1731" t="s">
        <v>2377</v>
      </c>
      <c r="B1731" s="1">
        <v>45831</v>
      </c>
      <c r="C1731" t="s">
        <v>362</v>
      </c>
      <c r="D1731" t="s">
        <v>63</v>
      </c>
      <c r="E1731" t="s">
        <v>26</v>
      </c>
      <c r="F1731" t="s">
        <v>86</v>
      </c>
      <c r="G1731" t="s">
        <v>110</v>
      </c>
      <c r="H1731">
        <v>2</v>
      </c>
      <c r="I1731" s="21">
        <v>36155</v>
      </c>
      <c r="J1731">
        <v>10</v>
      </c>
      <c r="K1731" s="21">
        <v>7231</v>
      </c>
      <c r="L1731" s="21">
        <v>65079</v>
      </c>
      <c r="M1731" s="21">
        <v>46248.44</v>
      </c>
      <c r="N1731" s="21">
        <v>18830.560000000001</v>
      </c>
      <c r="O1731" t="s">
        <v>49</v>
      </c>
      <c r="P1731" s="21">
        <v>164.48</v>
      </c>
      <c r="Q1731" t="s">
        <v>68</v>
      </c>
      <c r="R1731" t="s">
        <v>41</v>
      </c>
      <c r="S1731">
        <v>2</v>
      </c>
      <c r="T1731">
        <v>5</v>
      </c>
      <c r="U1731" t="s">
        <v>32</v>
      </c>
      <c r="V1731" t="s">
        <v>50</v>
      </c>
      <c r="W1731">
        <v>3</v>
      </c>
    </row>
    <row r="1732" spans="1:23" x14ac:dyDescent="0.25">
      <c r="A1732" t="s">
        <v>2378</v>
      </c>
      <c r="B1732" s="1">
        <v>45771</v>
      </c>
      <c r="C1732" t="s">
        <v>606</v>
      </c>
      <c r="D1732" t="s">
        <v>45</v>
      </c>
      <c r="E1732" t="s">
        <v>46</v>
      </c>
      <c r="F1732" t="s">
        <v>86</v>
      </c>
      <c r="G1732" t="s">
        <v>87</v>
      </c>
      <c r="H1732">
        <v>2</v>
      </c>
      <c r="I1732" s="21">
        <v>16928</v>
      </c>
      <c r="J1732">
        <v>0</v>
      </c>
      <c r="K1732" s="21">
        <v>0</v>
      </c>
      <c r="L1732" s="21">
        <v>33856</v>
      </c>
      <c r="M1732" s="21">
        <v>21813.08</v>
      </c>
      <c r="N1732" s="21">
        <v>12042.92</v>
      </c>
      <c r="O1732" t="s">
        <v>49</v>
      </c>
      <c r="P1732" s="21">
        <v>67.709999999999994</v>
      </c>
      <c r="Q1732" t="s">
        <v>73</v>
      </c>
      <c r="R1732" t="s">
        <v>31</v>
      </c>
      <c r="S1732">
        <v>5</v>
      </c>
      <c r="T1732">
        <v>3</v>
      </c>
      <c r="U1732" t="s">
        <v>32</v>
      </c>
      <c r="V1732" t="s">
        <v>50</v>
      </c>
      <c r="W1732">
        <v>3</v>
      </c>
    </row>
    <row r="1733" spans="1:23" x14ac:dyDescent="0.25">
      <c r="A1733" t="s">
        <v>2379</v>
      </c>
      <c r="B1733" s="1">
        <v>45828</v>
      </c>
      <c r="C1733" t="s">
        <v>62</v>
      </c>
      <c r="D1733" t="s">
        <v>67</v>
      </c>
      <c r="E1733" t="s">
        <v>26</v>
      </c>
      <c r="F1733" t="s">
        <v>53</v>
      </c>
      <c r="G1733" t="s">
        <v>268</v>
      </c>
      <c r="H1733">
        <v>3</v>
      </c>
      <c r="I1733" s="21">
        <v>112470</v>
      </c>
      <c r="J1733">
        <v>15</v>
      </c>
      <c r="K1733" s="21">
        <v>50611.5</v>
      </c>
      <c r="L1733" s="21">
        <v>286798.5</v>
      </c>
      <c r="M1733" s="21">
        <v>199056.73</v>
      </c>
      <c r="N1733" s="21">
        <v>87741.77</v>
      </c>
      <c r="O1733" t="s">
        <v>29</v>
      </c>
      <c r="P1733" s="21">
        <v>2126.21</v>
      </c>
      <c r="Q1733" t="s">
        <v>73</v>
      </c>
      <c r="R1733" t="s">
        <v>41</v>
      </c>
      <c r="S1733">
        <v>2</v>
      </c>
      <c r="T1733">
        <v>6</v>
      </c>
      <c r="U1733" t="s">
        <v>32</v>
      </c>
      <c r="V1733" t="s">
        <v>50</v>
      </c>
      <c r="W1733">
        <v>1</v>
      </c>
    </row>
    <row r="1734" spans="1:23" x14ac:dyDescent="0.25">
      <c r="A1734" t="s">
        <v>2380</v>
      </c>
      <c r="B1734" s="1">
        <v>45744</v>
      </c>
      <c r="C1734" t="s">
        <v>1940</v>
      </c>
      <c r="D1734" t="s">
        <v>67</v>
      </c>
      <c r="E1734" t="s">
        <v>26</v>
      </c>
      <c r="F1734" t="s">
        <v>86</v>
      </c>
      <c r="G1734" t="s">
        <v>127</v>
      </c>
      <c r="H1734">
        <v>1</v>
      </c>
      <c r="I1734" s="21">
        <v>45095</v>
      </c>
      <c r="J1734">
        <v>25</v>
      </c>
      <c r="K1734" s="21">
        <v>11273.75</v>
      </c>
      <c r="L1734" s="21">
        <v>33821.25</v>
      </c>
      <c r="M1734" s="21">
        <v>23251.02</v>
      </c>
      <c r="N1734" s="21">
        <v>10570.23</v>
      </c>
      <c r="O1734" t="s">
        <v>39</v>
      </c>
      <c r="P1734" s="21">
        <v>1608.23</v>
      </c>
      <c r="Q1734" t="s">
        <v>40</v>
      </c>
      <c r="R1734" t="s">
        <v>41</v>
      </c>
      <c r="S1734">
        <v>2</v>
      </c>
      <c r="T1734">
        <v>1</v>
      </c>
      <c r="U1734" t="s">
        <v>32</v>
      </c>
      <c r="V1734" t="s">
        <v>33</v>
      </c>
      <c r="W1734">
        <v>5</v>
      </c>
    </row>
    <row r="1735" spans="1:23" x14ac:dyDescent="0.25">
      <c r="A1735" t="s">
        <v>2381</v>
      </c>
      <c r="B1735" s="1">
        <v>45697</v>
      </c>
      <c r="C1735" t="s">
        <v>117</v>
      </c>
      <c r="D1735" t="s">
        <v>97</v>
      </c>
      <c r="E1735" t="s">
        <v>46</v>
      </c>
      <c r="F1735" t="s">
        <v>53</v>
      </c>
      <c r="G1735" t="s">
        <v>268</v>
      </c>
      <c r="H1735">
        <v>2</v>
      </c>
      <c r="I1735" s="21">
        <v>97321</v>
      </c>
      <c r="J1735">
        <v>10</v>
      </c>
      <c r="K1735" s="21">
        <v>19464.2</v>
      </c>
      <c r="L1735" s="21">
        <v>175177.8</v>
      </c>
      <c r="M1735" s="21">
        <v>97615.81</v>
      </c>
      <c r="N1735" s="21">
        <v>77561.990000000005</v>
      </c>
      <c r="O1735" t="s">
        <v>60</v>
      </c>
      <c r="P1735" s="21">
        <v>620.11</v>
      </c>
      <c r="Q1735" t="s">
        <v>73</v>
      </c>
      <c r="R1735" t="s">
        <v>41</v>
      </c>
      <c r="S1735">
        <v>2</v>
      </c>
      <c r="T1735">
        <v>1</v>
      </c>
      <c r="U1735" t="s">
        <v>32</v>
      </c>
      <c r="V1735" t="s">
        <v>42</v>
      </c>
    </row>
    <row r="1736" spans="1:23" x14ac:dyDescent="0.25">
      <c r="A1736" t="s">
        <v>2382</v>
      </c>
      <c r="B1736" s="1">
        <v>45919</v>
      </c>
      <c r="C1736" t="s">
        <v>500</v>
      </c>
      <c r="D1736" t="s">
        <v>67</v>
      </c>
      <c r="E1736" t="s">
        <v>26</v>
      </c>
      <c r="F1736" t="s">
        <v>47</v>
      </c>
      <c r="G1736" t="s">
        <v>48</v>
      </c>
      <c r="H1736">
        <v>1</v>
      </c>
      <c r="I1736" s="21">
        <v>12932</v>
      </c>
      <c r="J1736">
        <v>10</v>
      </c>
      <c r="K1736" s="21">
        <v>1293.2</v>
      </c>
      <c r="L1736" s="21">
        <v>11638.8</v>
      </c>
      <c r="M1736" s="21">
        <v>8917.4599999999991</v>
      </c>
      <c r="N1736" s="21">
        <v>2721.34</v>
      </c>
      <c r="O1736" t="s">
        <v>49</v>
      </c>
      <c r="P1736" s="21">
        <v>354.84</v>
      </c>
      <c r="Q1736" t="s">
        <v>40</v>
      </c>
      <c r="R1736" t="s">
        <v>41</v>
      </c>
      <c r="S1736">
        <v>2</v>
      </c>
      <c r="T1736">
        <v>3</v>
      </c>
      <c r="U1736" t="s">
        <v>56</v>
      </c>
      <c r="V1736" t="s">
        <v>33</v>
      </c>
      <c r="W1736">
        <v>4</v>
      </c>
    </row>
    <row r="1737" spans="1:23" x14ac:dyDescent="0.25">
      <c r="A1737" t="s">
        <v>2383</v>
      </c>
      <c r="B1737" s="1">
        <v>45982</v>
      </c>
      <c r="C1737" t="s">
        <v>337</v>
      </c>
      <c r="D1737" t="s">
        <v>45</v>
      </c>
      <c r="E1737" t="s">
        <v>36</v>
      </c>
      <c r="F1737" t="s">
        <v>37</v>
      </c>
      <c r="G1737" t="s">
        <v>38</v>
      </c>
      <c r="H1737">
        <v>1</v>
      </c>
      <c r="I1737" s="21">
        <v>36773</v>
      </c>
      <c r="J1737">
        <v>5</v>
      </c>
      <c r="K1737" s="21">
        <v>1838.65</v>
      </c>
      <c r="L1737" s="21">
        <v>34934.35</v>
      </c>
      <c r="M1737" s="21">
        <v>19707.34</v>
      </c>
      <c r="N1737" s="21">
        <v>15227.01</v>
      </c>
      <c r="O1737" t="s">
        <v>91</v>
      </c>
      <c r="P1737" s="21">
        <v>656.69</v>
      </c>
      <c r="Q1737" t="s">
        <v>73</v>
      </c>
      <c r="R1737" t="s">
        <v>41</v>
      </c>
      <c r="S1737">
        <v>2</v>
      </c>
      <c r="T1737">
        <v>5</v>
      </c>
      <c r="U1737" t="s">
        <v>32</v>
      </c>
      <c r="V1737" t="s">
        <v>50</v>
      </c>
      <c r="W1737">
        <v>5</v>
      </c>
    </row>
    <row r="1738" spans="1:23" x14ac:dyDescent="0.25">
      <c r="A1738" t="s">
        <v>2384</v>
      </c>
      <c r="B1738" s="1">
        <v>45716</v>
      </c>
      <c r="C1738" t="s">
        <v>1037</v>
      </c>
      <c r="D1738" t="s">
        <v>154</v>
      </c>
      <c r="E1738" t="s">
        <v>26</v>
      </c>
      <c r="F1738" t="s">
        <v>37</v>
      </c>
      <c r="G1738" t="s">
        <v>224</v>
      </c>
      <c r="H1738">
        <v>1</v>
      </c>
      <c r="I1738" s="21">
        <v>12798</v>
      </c>
      <c r="J1738">
        <v>0</v>
      </c>
      <c r="K1738" s="21">
        <v>0</v>
      </c>
      <c r="L1738" s="21">
        <v>12798</v>
      </c>
      <c r="M1738" s="21">
        <v>8196.2900000000009</v>
      </c>
      <c r="N1738" s="21">
        <v>4601.71</v>
      </c>
      <c r="O1738" t="s">
        <v>91</v>
      </c>
      <c r="P1738" s="21">
        <v>2100.34</v>
      </c>
      <c r="Q1738" t="s">
        <v>40</v>
      </c>
      <c r="R1738" t="s">
        <v>41</v>
      </c>
      <c r="S1738">
        <v>2</v>
      </c>
      <c r="T1738">
        <v>1</v>
      </c>
      <c r="U1738" t="s">
        <v>32</v>
      </c>
      <c r="V1738" t="s">
        <v>33</v>
      </c>
      <c r="W1738">
        <v>5</v>
      </c>
    </row>
    <row r="1739" spans="1:23" x14ac:dyDescent="0.25">
      <c r="A1739" t="s">
        <v>2385</v>
      </c>
      <c r="B1739" s="1">
        <v>45929</v>
      </c>
      <c r="C1739" t="s">
        <v>2131</v>
      </c>
      <c r="D1739" t="s">
        <v>79</v>
      </c>
      <c r="E1739" t="s">
        <v>26</v>
      </c>
      <c r="F1739" t="s">
        <v>37</v>
      </c>
      <c r="G1739" t="s">
        <v>100</v>
      </c>
      <c r="H1739">
        <v>3</v>
      </c>
      <c r="I1739" s="21">
        <v>20736</v>
      </c>
      <c r="J1739">
        <v>25</v>
      </c>
      <c r="K1739" s="21">
        <v>15552</v>
      </c>
      <c r="L1739" s="21">
        <v>46656</v>
      </c>
      <c r="M1739" s="21">
        <v>29188.51</v>
      </c>
      <c r="N1739" s="21">
        <v>17467.490000000002</v>
      </c>
      <c r="O1739" t="s">
        <v>49</v>
      </c>
      <c r="P1739" s="21">
        <v>182.61</v>
      </c>
      <c r="Q1739" t="s">
        <v>40</v>
      </c>
      <c r="R1739" t="s">
        <v>41</v>
      </c>
      <c r="S1739">
        <v>2</v>
      </c>
      <c r="T1739">
        <v>1</v>
      </c>
      <c r="U1739" t="s">
        <v>32</v>
      </c>
      <c r="V1739" t="s">
        <v>33</v>
      </c>
      <c r="W1739">
        <v>1</v>
      </c>
    </row>
    <row r="1740" spans="1:23" x14ac:dyDescent="0.25">
      <c r="A1740" t="s">
        <v>2386</v>
      </c>
      <c r="B1740" s="1">
        <v>45919</v>
      </c>
      <c r="C1740" t="s">
        <v>85</v>
      </c>
      <c r="D1740" t="s">
        <v>67</v>
      </c>
      <c r="E1740" t="s">
        <v>26</v>
      </c>
      <c r="F1740" t="s">
        <v>47</v>
      </c>
      <c r="G1740" t="s">
        <v>105</v>
      </c>
      <c r="H1740">
        <v>1</v>
      </c>
      <c r="I1740" s="21">
        <v>18812</v>
      </c>
      <c r="J1740">
        <v>0</v>
      </c>
      <c r="K1740" s="21">
        <v>0</v>
      </c>
      <c r="L1740" s="21">
        <v>18812</v>
      </c>
      <c r="M1740" s="21">
        <v>12672.95</v>
      </c>
      <c r="N1740" s="21">
        <v>6139.05</v>
      </c>
      <c r="O1740" t="s">
        <v>49</v>
      </c>
      <c r="P1740" s="21">
        <v>71.34</v>
      </c>
      <c r="Q1740" t="s">
        <v>73</v>
      </c>
      <c r="R1740" t="s">
        <v>41</v>
      </c>
      <c r="S1740">
        <v>2</v>
      </c>
      <c r="T1740">
        <v>3</v>
      </c>
      <c r="U1740" t="s">
        <v>56</v>
      </c>
      <c r="V1740" t="s">
        <v>33</v>
      </c>
      <c r="W1740">
        <v>5</v>
      </c>
    </row>
    <row r="1741" spans="1:23" x14ac:dyDescent="0.25">
      <c r="A1741" t="s">
        <v>2387</v>
      </c>
      <c r="B1741" s="1">
        <v>45757</v>
      </c>
      <c r="C1741" t="s">
        <v>1488</v>
      </c>
      <c r="D1741" t="s">
        <v>71</v>
      </c>
      <c r="E1741" t="s">
        <v>36</v>
      </c>
      <c r="F1741" t="s">
        <v>86</v>
      </c>
      <c r="G1741" t="s">
        <v>87</v>
      </c>
      <c r="H1741">
        <v>2</v>
      </c>
      <c r="I1741" s="21">
        <v>73956</v>
      </c>
      <c r="J1741">
        <v>25</v>
      </c>
      <c r="K1741" s="21">
        <v>36978</v>
      </c>
      <c r="L1741" s="21">
        <v>110934</v>
      </c>
      <c r="M1741" s="21">
        <v>76730.710000000006</v>
      </c>
      <c r="N1741" s="21">
        <v>34203.29</v>
      </c>
      <c r="O1741" t="s">
        <v>60</v>
      </c>
      <c r="P1741" s="21">
        <v>841.2</v>
      </c>
      <c r="Q1741" t="s">
        <v>40</v>
      </c>
      <c r="R1741" t="s">
        <v>41</v>
      </c>
      <c r="S1741">
        <v>2</v>
      </c>
      <c r="T1741">
        <v>5</v>
      </c>
      <c r="U1741" t="s">
        <v>56</v>
      </c>
      <c r="V1741" t="s">
        <v>33</v>
      </c>
      <c r="W1741">
        <v>3</v>
      </c>
    </row>
    <row r="1742" spans="1:23" x14ac:dyDescent="0.25">
      <c r="A1742" t="s">
        <v>2388</v>
      </c>
      <c r="B1742" s="1">
        <v>45836</v>
      </c>
      <c r="C1742" t="s">
        <v>305</v>
      </c>
      <c r="D1742" t="s">
        <v>79</v>
      </c>
      <c r="E1742" t="s">
        <v>46</v>
      </c>
      <c r="F1742" t="s">
        <v>86</v>
      </c>
      <c r="G1742" t="s">
        <v>127</v>
      </c>
      <c r="H1742">
        <v>1</v>
      </c>
      <c r="I1742" s="21">
        <v>82184</v>
      </c>
      <c r="J1742">
        <v>15</v>
      </c>
      <c r="K1742" s="21">
        <v>12327.6</v>
      </c>
      <c r="L1742" s="21">
        <v>69856.399999999994</v>
      </c>
      <c r="M1742" s="21">
        <v>57182.68</v>
      </c>
      <c r="N1742" s="21">
        <v>12673.72</v>
      </c>
      <c r="O1742" t="s">
        <v>91</v>
      </c>
      <c r="P1742" s="21">
        <v>1200.42</v>
      </c>
      <c r="Q1742" t="s">
        <v>30</v>
      </c>
      <c r="R1742" t="s">
        <v>41</v>
      </c>
      <c r="S1742">
        <v>2</v>
      </c>
      <c r="T1742">
        <v>1</v>
      </c>
      <c r="U1742" t="s">
        <v>32</v>
      </c>
      <c r="V1742" t="s">
        <v>33</v>
      </c>
      <c r="W1742">
        <v>5</v>
      </c>
    </row>
    <row r="1743" spans="1:23" x14ac:dyDescent="0.25">
      <c r="A1743" t="s">
        <v>2389</v>
      </c>
      <c r="B1743" s="1">
        <v>45837</v>
      </c>
      <c r="C1743" t="s">
        <v>460</v>
      </c>
      <c r="D1743" t="s">
        <v>124</v>
      </c>
      <c r="E1743" t="s">
        <v>46</v>
      </c>
      <c r="F1743" t="s">
        <v>86</v>
      </c>
      <c r="G1743" t="s">
        <v>180</v>
      </c>
      <c r="H1743">
        <v>1</v>
      </c>
      <c r="I1743" s="21">
        <v>20533</v>
      </c>
      <c r="J1743">
        <v>25</v>
      </c>
      <c r="K1743" s="21">
        <v>5133.25</v>
      </c>
      <c r="L1743" s="21">
        <v>15399.75</v>
      </c>
      <c r="M1743" s="21">
        <v>9660.4599999999991</v>
      </c>
      <c r="N1743" s="21">
        <v>5739.29</v>
      </c>
      <c r="O1743" t="s">
        <v>39</v>
      </c>
      <c r="P1743" s="21">
        <v>757.52</v>
      </c>
      <c r="Q1743" t="s">
        <v>73</v>
      </c>
      <c r="R1743" t="s">
        <v>41</v>
      </c>
      <c r="S1743">
        <v>2</v>
      </c>
      <c r="T1743">
        <v>1</v>
      </c>
      <c r="U1743" t="s">
        <v>32</v>
      </c>
      <c r="V1743" t="s">
        <v>33</v>
      </c>
      <c r="W1743">
        <v>5</v>
      </c>
    </row>
    <row r="1744" spans="1:23" x14ac:dyDescent="0.25">
      <c r="A1744" t="s">
        <v>2390</v>
      </c>
      <c r="B1744" s="1">
        <v>45988</v>
      </c>
      <c r="C1744" t="s">
        <v>1119</v>
      </c>
      <c r="D1744" t="s">
        <v>25</v>
      </c>
      <c r="E1744" t="s">
        <v>26</v>
      </c>
      <c r="F1744" t="s">
        <v>27</v>
      </c>
      <c r="G1744" t="s">
        <v>164</v>
      </c>
      <c r="H1744">
        <v>1</v>
      </c>
      <c r="I1744" s="21">
        <v>5534</v>
      </c>
      <c r="J1744">
        <v>0</v>
      </c>
      <c r="K1744" s="21">
        <v>0</v>
      </c>
      <c r="L1744" s="21">
        <v>5534</v>
      </c>
      <c r="M1744" s="21">
        <v>4025.72</v>
      </c>
      <c r="N1744" s="21">
        <v>1508.28</v>
      </c>
      <c r="O1744" t="s">
        <v>60</v>
      </c>
      <c r="P1744" s="21">
        <v>269.58999999999997</v>
      </c>
      <c r="Q1744" t="s">
        <v>73</v>
      </c>
      <c r="R1744" t="s">
        <v>41</v>
      </c>
      <c r="S1744">
        <v>2</v>
      </c>
      <c r="T1744">
        <v>2</v>
      </c>
      <c r="U1744" t="s">
        <v>32</v>
      </c>
      <c r="V1744" t="s">
        <v>33</v>
      </c>
      <c r="W1744">
        <v>5</v>
      </c>
    </row>
    <row r="1745" spans="1:23" x14ac:dyDescent="0.25">
      <c r="A1745" t="s">
        <v>2391</v>
      </c>
      <c r="B1745" s="1">
        <v>45733</v>
      </c>
      <c r="C1745" t="s">
        <v>511</v>
      </c>
      <c r="D1745" t="s">
        <v>90</v>
      </c>
      <c r="E1745" t="s">
        <v>26</v>
      </c>
      <c r="F1745" t="s">
        <v>47</v>
      </c>
      <c r="G1745" t="s">
        <v>138</v>
      </c>
      <c r="H1745">
        <v>1</v>
      </c>
      <c r="I1745" s="21">
        <v>22812</v>
      </c>
      <c r="J1745">
        <v>20</v>
      </c>
      <c r="K1745" s="21">
        <v>4562.3999999999996</v>
      </c>
      <c r="L1745" s="21">
        <v>18249.599999999999</v>
      </c>
      <c r="M1745" s="21">
        <v>14768.67</v>
      </c>
      <c r="N1745" s="21">
        <v>3480.93</v>
      </c>
      <c r="O1745" t="s">
        <v>91</v>
      </c>
      <c r="P1745" s="21">
        <v>1434.86</v>
      </c>
      <c r="Q1745" t="s">
        <v>68</v>
      </c>
      <c r="R1745" t="s">
        <v>41</v>
      </c>
      <c r="S1745">
        <v>2</v>
      </c>
      <c r="T1745">
        <v>4</v>
      </c>
      <c r="U1745" t="s">
        <v>56</v>
      </c>
      <c r="V1745" t="s">
        <v>33</v>
      </c>
      <c r="W1745">
        <v>1</v>
      </c>
    </row>
    <row r="1746" spans="1:23" x14ac:dyDescent="0.25">
      <c r="A1746" t="s">
        <v>2392</v>
      </c>
      <c r="B1746" s="1">
        <v>45778</v>
      </c>
      <c r="C1746" t="s">
        <v>792</v>
      </c>
      <c r="D1746" t="s">
        <v>25</v>
      </c>
      <c r="E1746" t="s">
        <v>46</v>
      </c>
      <c r="F1746" t="s">
        <v>86</v>
      </c>
      <c r="G1746" t="s">
        <v>94</v>
      </c>
      <c r="H1746">
        <v>1</v>
      </c>
      <c r="I1746" s="21">
        <v>23047</v>
      </c>
      <c r="J1746">
        <v>5</v>
      </c>
      <c r="K1746" s="21">
        <v>1152.3499999999999</v>
      </c>
      <c r="L1746" s="21">
        <v>21894.65</v>
      </c>
      <c r="M1746" s="21">
        <v>15255.62</v>
      </c>
      <c r="N1746" s="21">
        <v>6639.03</v>
      </c>
      <c r="O1746" t="s">
        <v>60</v>
      </c>
      <c r="P1746" s="21">
        <v>2149.1</v>
      </c>
      <c r="Q1746" t="s">
        <v>40</v>
      </c>
      <c r="R1746" t="s">
        <v>41</v>
      </c>
      <c r="S1746">
        <v>2</v>
      </c>
      <c r="T1746">
        <v>1</v>
      </c>
      <c r="U1746" t="s">
        <v>32</v>
      </c>
      <c r="V1746" t="s">
        <v>33</v>
      </c>
      <c r="W1746">
        <v>5</v>
      </c>
    </row>
    <row r="1747" spans="1:23" x14ac:dyDescent="0.25">
      <c r="A1747" t="s">
        <v>2393</v>
      </c>
      <c r="B1747" s="1">
        <v>45710</v>
      </c>
      <c r="C1747" t="s">
        <v>615</v>
      </c>
      <c r="D1747" t="s">
        <v>71</v>
      </c>
      <c r="E1747" t="s">
        <v>46</v>
      </c>
      <c r="F1747" t="s">
        <v>27</v>
      </c>
      <c r="G1747" t="s">
        <v>28</v>
      </c>
      <c r="H1747">
        <v>2</v>
      </c>
      <c r="I1747" s="21">
        <v>14356</v>
      </c>
      <c r="J1747">
        <v>15</v>
      </c>
      <c r="K1747" s="21">
        <v>4306.8</v>
      </c>
      <c r="L1747" s="21">
        <v>24405.200000000001</v>
      </c>
      <c r="M1747" s="21">
        <v>15905.15</v>
      </c>
      <c r="N1747" s="21">
        <v>8500.0499999999993</v>
      </c>
      <c r="O1747" t="s">
        <v>60</v>
      </c>
      <c r="P1747" s="21">
        <v>1829.9</v>
      </c>
      <c r="Q1747" t="s">
        <v>73</v>
      </c>
      <c r="R1747" t="s">
        <v>41</v>
      </c>
      <c r="S1747">
        <v>2</v>
      </c>
      <c r="T1747">
        <v>2</v>
      </c>
      <c r="U1747" t="s">
        <v>32</v>
      </c>
      <c r="V1747" t="s">
        <v>33</v>
      </c>
      <c r="W1747">
        <v>3</v>
      </c>
    </row>
    <row r="1748" spans="1:23" x14ac:dyDescent="0.25">
      <c r="A1748" t="s">
        <v>2394</v>
      </c>
      <c r="B1748" s="1">
        <v>45732</v>
      </c>
      <c r="C1748" t="s">
        <v>1158</v>
      </c>
      <c r="D1748" t="s">
        <v>154</v>
      </c>
      <c r="E1748" t="s">
        <v>36</v>
      </c>
      <c r="F1748" t="s">
        <v>53</v>
      </c>
      <c r="G1748" t="s">
        <v>82</v>
      </c>
      <c r="H1748">
        <v>2</v>
      </c>
      <c r="I1748" s="21">
        <v>32071</v>
      </c>
      <c r="J1748">
        <v>25</v>
      </c>
      <c r="K1748" s="21">
        <v>16035.5</v>
      </c>
      <c r="L1748" s="21">
        <v>48106.5</v>
      </c>
      <c r="M1748" s="21">
        <v>35614.26</v>
      </c>
      <c r="N1748" s="21">
        <v>12492.24</v>
      </c>
      <c r="O1748" t="s">
        <v>49</v>
      </c>
      <c r="P1748" s="21">
        <v>68.680000000000007</v>
      </c>
      <c r="Q1748" t="s">
        <v>73</v>
      </c>
      <c r="R1748" t="s">
        <v>41</v>
      </c>
      <c r="S1748">
        <v>2</v>
      </c>
      <c r="T1748">
        <v>3</v>
      </c>
      <c r="U1748" t="s">
        <v>56</v>
      </c>
      <c r="V1748" t="s">
        <v>33</v>
      </c>
      <c r="W1748">
        <v>5</v>
      </c>
    </row>
    <row r="1749" spans="1:23" x14ac:dyDescent="0.25">
      <c r="A1749" t="s">
        <v>2395</v>
      </c>
      <c r="B1749" s="1">
        <v>45789</v>
      </c>
      <c r="C1749" t="s">
        <v>668</v>
      </c>
      <c r="D1749" t="s">
        <v>45</v>
      </c>
      <c r="E1749" t="s">
        <v>26</v>
      </c>
      <c r="F1749" t="s">
        <v>37</v>
      </c>
      <c r="G1749" t="s">
        <v>313</v>
      </c>
      <c r="H1749">
        <v>2</v>
      </c>
      <c r="I1749" s="21">
        <v>38905</v>
      </c>
      <c r="J1749">
        <v>10</v>
      </c>
      <c r="K1749" s="21">
        <v>7781</v>
      </c>
      <c r="L1749" s="21">
        <v>70029</v>
      </c>
      <c r="M1749" s="21">
        <v>47005.71</v>
      </c>
      <c r="N1749" s="21">
        <v>23023.29</v>
      </c>
      <c r="O1749" t="s">
        <v>49</v>
      </c>
      <c r="P1749" s="21">
        <v>70.010000000000005</v>
      </c>
      <c r="Q1749" t="s">
        <v>83</v>
      </c>
      <c r="R1749" t="s">
        <v>41</v>
      </c>
      <c r="S1749">
        <v>2</v>
      </c>
      <c r="T1749">
        <v>3</v>
      </c>
      <c r="U1749" t="s">
        <v>56</v>
      </c>
      <c r="V1749" t="s">
        <v>33</v>
      </c>
      <c r="W1749">
        <v>2</v>
      </c>
    </row>
    <row r="1750" spans="1:23" x14ac:dyDescent="0.25">
      <c r="A1750" t="s">
        <v>2396</v>
      </c>
      <c r="B1750" s="1">
        <v>45759</v>
      </c>
      <c r="C1750" t="s">
        <v>1019</v>
      </c>
      <c r="D1750" t="s">
        <v>97</v>
      </c>
      <c r="E1750" t="s">
        <v>46</v>
      </c>
      <c r="F1750" t="s">
        <v>47</v>
      </c>
      <c r="G1750" t="s">
        <v>146</v>
      </c>
      <c r="H1750">
        <v>2</v>
      </c>
      <c r="I1750" s="21">
        <v>20736</v>
      </c>
      <c r="J1750">
        <v>15</v>
      </c>
      <c r="K1750" s="21">
        <v>6220.8</v>
      </c>
      <c r="L1750" s="21">
        <v>35251.199999999997</v>
      </c>
      <c r="M1750" s="21">
        <v>28379.13</v>
      </c>
      <c r="N1750" s="21">
        <v>6872.07</v>
      </c>
      <c r="O1750" t="s">
        <v>60</v>
      </c>
      <c r="P1750" s="21">
        <v>491.58</v>
      </c>
      <c r="Q1750" t="s">
        <v>30</v>
      </c>
      <c r="R1750" t="s">
        <v>41</v>
      </c>
      <c r="S1750">
        <v>2</v>
      </c>
      <c r="T1750">
        <v>2</v>
      </c>
      <c r="U1750" t="s">
        <v>32</v>
      </c>
      <c r="V1750" t="s">
        <v>42</v>
      </c>
    </row>
    <row r="1751" spans="1:23" x14ac:dyDescent="0.25">
      <c r="A1751" t="s">
        <v>2397</v>
      </c>
      <c r="B1751" s="1">
        <v>45746</v>
      </c>
      <c r="C1751" t="s">
        <v>1896</v>
      </c>
      <c r="D1751" t="s">
        <v>154</v>
      </c>
      <c r="E1751" t="s">
        <v>36</v>
      </c>
      <c r="F1751" t="s">
        <v>27</v>
      </c>
      <c r="G1751" t="s">
        <v>28</v>
      </c>
      <c r="H1751">
        <v>2</v>
      </c>
      <c r="I1751" s="21">
        <v>18940</v>
      </c>
      <c r="J1751">
        <v>25</v>
      </c>
      <c r="K1751" s="21">
        <v>9470</v>
      </c>
      <c r="L1751" s="21">
        <v>28410</v>
      </c>
      <c r="M1751" s="21">
        <v>19175.259999999998</v>
      </c>
      <c r="N1751" s="21">
        <v>9234.74</v>
      </c>
      <c r="O1751" t="s">
        <v>60</v>
      </c>
      <c r="P1751" s="21">
        <v>759.36</v>
      </c>
      <c r="Q1751" t="s">
        <v>83</v>
      </c>
      <c r="R1751" t="s">
        <v>31</v>
      </c>
      <c r="S1751">
        <v>5</v>
      </c>
      <c r="T1751">
        <v>7</v>
      </c>
      <c r="U1751" t="s">
        <v>56</v>
      </c>
      <c r="V1751" t="s">
        <v>33</v>
      </c>
      <c r="W1751">
        <v>5</v>
      </c>
    </row>
    <row r="1752" spans="1:23" x14ac:dyDescent="0.25">
      <c r="A1752" t="s">
        <v>2398</v>
      </c>
      <c r="B1752" s="1">
        <v>45966</v>
      </c>
      <c r="C1752" t="s">
        <v>168</v>
      </c>
      <c r="D1752" t="s">
        <v>97</v>
      </c>
      <c r="E1752" t="s">
        <v>36</v>
      </c>
      <c r="F1752" t="s">
        <v>37</v>
      </c>
      <c r="G1752" t="s">
        <v>100</v>
      </c>
      <c r="H1752">
        <v>1</v>
      </c>
      <c r="I1752" s="21">
        <v>39189</v>
      </c>
      <c r="J1752">
        <v>5</v>
      </c>
      <c r="K1752" s="21">
        <v>1959.45</v>
      </c>
      <c r="L1752" s="21">
        <v>37229.550000000003</v>
      </c>
      <c r="M1752" s="21">
        <v>28757.87</v>
      </c>
      <c r="N1752" s="21">
        <v>8471.68</v>
      </c>
      <c r="O1752" t="s">
        <v>91</v>
      </c>
      <c r="P1752" s="21">
        <v>2201.1999999999998</v>
      </c>
      <c r="Q1752" t="s">
        <v>73</v>
      </c>
      <c r="R1752" t="s">
        <v>41</v>
      </c>
      <c r="S1752">
        <v>2</v>
      </c>
      <c r="T1752">
        <v>1</v>
      </c>
      <c r="U1752" t="s">
        <v>32</v>
      </c>
      <c r="V1752" t="s">
        <v>33</v>
      </c>
      <c r="W1752">
        <v>5</v>
      </c>
    </row>
    <row r="1753" spans="1:23" x14ac:dyDescent="0.25">
      <c r="A1753" t="s">
        <v>2399</v>
      </c>
      <c r="B1753" s="1">
        <v>45736</v>
      </c>
      <c r="C1753" t="s">
        <v>2098</v>
      </c>
      <c r="D1753" t="s">
        <v>71</v>
      </c>
      <c r="E1753" t="s">
        <v>46</v>
      </c>
      <c r="F1753" t="s">
        <v>27</v>
      </c>
      <c r="G1753" t="s">
        <v>76</v>
      </c>
      <c r="H1753">
        <v>2</v>
      </c>
      <c r="I1753" s="21">
        <v>24612</v>
      </c>
      <c r="J1753">
        <v>0</v>
      </c>
      <c r="K1753" s="21">
        <v>0</v>
      </c>
      <c r="L1753" s="21">
        <v>49224</v>
      </c>
      <c r="M1753" s="21">
        <v>30458.15</v>
      </c>
      <c r="N1753" s="21">
        <v>18765.849999999999</v>
      </c>
      <c r="O1753" t="s">
        <v>91</v>
      </c>
      <c r="P1753" s="21">
        <v>1019.84</v>
      </c>
      <c r="Q1753" t="s">
        <v>40</v>
      </c>
      <c r="R1753" t="s">
        <v>41</v>
      </c>
      <c r="S1753">
        <v>2</v>
      </c>
      <c r="T1753">
        <v>3</v>
      </c>
      <c r="U1753" t="s">
        <v>56</v>
      </c>
      <c r="V1753" t="s">
        <v>33</v>
      </c>
      <c r="W1753">
        <v>5</v>
      </c>
    </row>
    <row r="1754" spans="1:23" x14ac:dyDescent="0.25">
      <c r="A1754" t="s">
        <v>2400</v>
      </c>
      <c r="B1754" s="1">
        <v>45993</v>
      </c>
      <c r="C1754" t="s">
        <v>1238</v>
      </c>
      <c r="D1754" t="s">
        <v>154</v>
      </c>
      <c r="E1754" t="s">
        <v>46</v>
      </c>
      <c r="F1754" t="s">
        <v>27</v>
      </c>
      <c r="G1754" t="s">
        <v>76</v>
      </c>
      <c r="H1754">
        <v>2</v>
      </c>
      <c r="I1754" s="21">
        <v>21547</v>
      </c>
      <c r="J1754">
        <v>20</v>
      </c>
      <c r="K1754" s="21">
        <v>8618.7999999999993</v>
      </c>
      <c r="L1754" s="21">
        <v>34475.199999999997</v>
      </c>
      <c r="M1754" s="21">
        <v>27550.89</v>
      </c>
      <c r="N1754" s="21">
        <v>6924.31</v>
      </c>
      <c r="O1754" t="s">
        <v>60</v>
      </c>
      <c r="P1754" s="21">
        <v>575.4</v>
      </c>
      <c r="Q1754" t="s">
        <v>73</v>
      </c>
      <c r="R1754" t="s">
        <v>41</v>
      </c>
      <c r="S1754">
        <v>2</v>
      </c>
      <c r="T1754">
        <v>1</v>
      </c>
      <c r="U1754" t="s">
        <v>32</v>
      </c>
      <c r="V1754" t="s">
        <v>33</v>
      </c>
      <c r="W1754">
        <v>5</v>
      </c>
    </row>
    <row r="1755" spans="1:23" x14ac:dyDescent="0.25">
      <c r="A1755" t="s">
        <v>2401</v>
      </c>
      <c r="B1755" s="1">
        <v>45696</v>
      </c>
      <c r="C1755" t="s">
        <v>316</v>
      </c>
      <c r="D1755" t="s">
        <v>25</v>
      </c>
      <c r="E1755" t="s">
        <v>46</v>
      </c>
      <c r="F1755" t="s">
        <v>53</v>
      </c>
      <c r="G1755" t="s">
        <v>268</v>
      </c>
      <c r="H1755">
        <v>1</v>
      </c>
      <c r="I1755" s="21">
        <v>88119</v>
      </c>
      <c r="J1755">
        <v>20</v>
      </c>
      <c r="K1755" s="21">
        <v>17623.8</v>
      </c>
      <c r="L1755" s="21">
        <v>70495.199999999997</v>
      </c>
      <c r="M1755" s="21">
        <v>51129.78</v>
      </c>
      <c r="N1755" s="21">
        <v>19365.419999999998</v>
      </c>
      <c r="O1755" t="s">
        <v>39</v>
      </c>
      <c r="P1755" s="21">
        <v>1155.81</v>
      </c>
      <c r="Q1755" t="s">
        <v>40</v>
      </c>
      <c r="R1755" t="s">
        <v>31</v>
      </c>
      <c r="S1755">
        <v>5</v>
      </c>
      <c r="T1755">
        <v>1</v>
      </c>
      <c r="U1755" t="s">
        <v>32</v>
      </c>
      <c r="V1755" t="s">
        <v>33</v>
      </c>
      <c r="W1755">
        <v>1</v>
      </c>
    </row>
    <row r="1756" spans="1:23" x14ac:dyDescent="0.25">
      <c r="A1756" t="s">
        <v>2402</v>
      </c>
      <c r="B1756" s="1">
        <v>45748</v>
      </c>
      <c r="C1756" t="s">
        <v>1257</v>
      </c>
      <c r="D1756" t="s">
        <v>45</v>
      </c>
      <c r="E1756" t="s">
        <v>26</v>
      </c>
      <c r="F1756" t="s">
        <v>37</v>
      </c>
      <c r="G1756" t="s">
        <v>224</v>
      </c>
      <c r="H1756">
        <v>3</v>
      </c>
      <c r="I1756" s="21">
        <v>38579</v>
      </c>
      <c r="J1756">
        <v>15</v>
      </c>
      <c r="K1756" s="21">
        <v>17360.55</v>
      </c>
      <c r="L1756" s="21">
        <v>98376.45</v>
      </c>
      <c r="M1756" s="21">
        <v>76456.25</v>
      </c>
      <c r="N1756" s="21">
        <v>21920.2</v>
      </c>
      <c r="O1756" t="s">
        <v>60</v>
      </c>
      <c r="P1756" s="21">
        <v>223.37</v>
      </c>
      <c r="Q1756" t="s">
        <v>73</v>
      </c>
      <c r="R1756" t="s">
        <v>41</v>
      </c>
      <c r="S1756">
        <v>2</v>
      </c>
      <c r="T1756">
        <v>3</v>
      </c>
      <c r="U1756" t="s">
        <v>56</v>
      </c>
      <c r="V1756" t="s">
        <v>33</v>
      </c>
      <c r="W1756">
        <v>5</v>
      </c>
    </row>
    <row r="1757" spans="1:23" x14ac:dyDescent="0.25">
      <c r="A1757" t="s">
        <v>2403</v>
      </c>
      <c r="B1757" s="1">
        <v>45979</v>
      </c>
      <c r="C1757" t="s">
        <v>914</v>
      </c>
      <c r="D1757" t="s">
        <v>67</v>
      </c>
      <c r="E1757" t="s">
        <v>46</v>
      </c>
      <c r="F1757" t="s">
        <v>37</v>
      </c>
      <c r="G1757" t="s">
        <v>313</v>
      </c>
      <c r="H1757">
        <v>1</v>
      </c>
      <c r="I1757" s="21">
        <v>14684</v>
      </c>
      <c r="J1757">
        <v>10</v>
      </c>
      <c r="K1757" s="21">
        <v>1468.4</v>
      </c>
      <c r="L1757" s="21">
        <v>13215.6</v>
      </c>
      <c r="M1757" s="21">
        <v>9210.98</v>
      </c>
      <c r="N1757" s="21">
        <v>4004.62</v>
      </c>
      <c r="O1757" t="s">
        <v>49</v>
      </c>
      <c r="P1757" s="21">
        <v>259.36</v>
      </c>
      <c r="Q1757" t="s">
        <v>30</v>
      </c>
      <c r="R1757" t="s">
        <v>41</v>
      </c>
      <c r="S1757">
        <v>2</v>
      </c>
      <c r="T1757">
        <v>4</v>
      </c>
      <c r="U1757" t="s">
        <v>56</v>
      </c>
      <c r="V1757" t="s">
        <v>33</v>
      </c>
      <c r="W1757">
        <v>5</v>
      </c>
    </row>
    <row r="1758" spans="1:23" x14ac:dyDescent="0.25">
      <c r="A1758" t="s">
        <v>2404</v>
      </c>
      <c r="B1758" s="1">
        <v>45910</v>
      </c>
      <c r="C1758" t="s">
        <v>905</v>
      </c>
      <c r="D1758" t="s">
        <v>154</v>
      </c>
      <c r="E1758" t="s">
        <v>26</v>
      </c>
      <c r="F1758" t="s">
        <v>53</v>
      </c>
      <c r="G1758" t="s">
        <v>151</v>
      </c>
      <c r="H1758">
        <v>1</v>
      </c>
      <c r="I1758" s="21">
        <v>49997</v>
      </c>
      <c r="J1758">
        <v>0</v>
      </c>
      <c r="K1758" s="21">
        <v>0</v>
      </c>
      <c r="L1758" s="21">
        <v>49997</v>
      </c>
      <c r="M1758" s="21">
        <v>33191.58</v>
      </c>
      <c r="N1758" s="21">
        <v>16805.419999999998</v>
      </c>
      <c r="O1758" t="s">
        <v>91</v>
      </c>
      <c r="P1758" s="21">
        <v>255.27</v>
      </c>
      <c r="Q1758" t="s">
        <v>40</v>
      </c>
      <c r="R1758" t="s">
        <v>41</v>
      </c>
      <c r="S1758">
        <v>2</v>
      </c>
      <c r="T1758">
        <v>1</v>
      </c>
      <c r="U1758" t="s">
        <v>32</v>
      </c>
      <c r="V1758" t="s">
        <v>33</v>
      </c>
      <c r="W1758">
        <v>4</v>
      </c>
    </row>
    <row r="1759" spans="1:23" x14ac:dyDescent="0.25">
      <c r="A1759" t="s">
        <v>2405</v>
      </c>
      <c r="B1759" s="1">
        <v>45895</v>
      </c>
      <c r="C1759" t="s">
        <v>2406</v>
      </c>
      <c r="D1759" t="s">
        <v>90</v>
      </c>
      <c r="E1759" t="s">
        <v>46</v>
      </c>
      <c r="F1759" t="s">
        <v>37</v>
      </c>
      <c r="G1759" t="s">
        <v>313</v>
      </c>
      <c r="H1759">
        <v>2</v>
      </c>
      <c r="I1759" s="21">
        <v>5896</v>
      </c>
      <c r="J1759">
        <v>0</v>
      </c>
      <c r="K1759" s="21">
        <v>0</v>
      </c>
      <c r="L1759" s="21">
        <v>11792</v>
      </c>
      <c r="M1759" s="21">
        <v>7253.94</v>
      </c>
      <c r="N1759" s="21">
        <v>4538.0600000000004</v>
      </c>
      <c r="O1759" t="s">
        <v>55</v>
      </c>
      <c r="P1759" s="21">
        <v>2194.4299999999998</v>
      </c>
      <c r="Q1759" t="s">
        <v>30</v>
      </c>
      <c r="R1759" t="s">
        <v>41</v>
      </c>
      <c r="S1759">
        <v>2</v>
      </c>
      <c r="T1759">
        <v>0</v>
      </c>
      <c r="U1759" t="s">
        <v>32</v>
      </c>
      <c r="V1759" t="s">
        <v>42</v>
      </c>
    </row>
    <row r="1760" spans="1:23" x14ac:dyDescent="0.25">
      <c r="A1760" t="s">
        <v>2407</v>
      </c>
      <c r="B1760" s="1">
        <v>45946</v>
      </c>
      <c r="C1760" t="s">
        <v>538</v>
      </c>
      <c r="D1760" t="s">
        <v>124</v>
      </c>
      <c r="E1760" t="s">
        <v>46</v>
      </c>
      <c r="F1760" t="s">
        <v>47</v>
      </c>
      <c r="G1760" t="s">
        <v>64</v>
      </c>
      <c r="H1760">
        <v>2</v>
      </c>
      <c r="I1760" s="21">
        <v>42921</v>
      </c>
      <c r="J1760">
        <v>0</v>
      </c>
      <c r="K1760" s="21">
        <v>0</v>
      </c>
      <c r="L1760" s="21">
        <v>85842</v>
      </c>
      <c r="M1760" s="21">
        <v>69153.83</v>
      </c>
      <c r="N1760" s="21">
        <v>16688.169999999998</v>
      </c>
      <c r="P1760" s="21">
        <v>1251.18</v>
      </c>
      <c r="Q1760" t="s">
        <v>68</v>
      </c>
      <c r="R1760" t="s">
        <v>31</v>
      </c>
      <c r="S1760">
        <v>5</v>
      </c>
      <c r="T1760">
        <v>8</v>
      </c>
      <c r="U1760" t="s">
        <v>56</v>
      </c>
      <c r="V1760" t="s">
        <v>33</v>
      </c>
      <c r="W1760">
        <v>2</v>
      </c>
    </row>
    <row r="1761" spans="1:23" x14ac:dyDescent="0.25">
      <c r="A1761" t="s">
        <v>2408</v>
      </c>
      <c r="B1761" s="1">
        <v>45954</v>
      </c>
      <c r="C1761" t="s">
        <v>618</v>
      </c>
      <c r="D1761" t="s">
        <v>90</v>
      </c>
      <c r="E1761" t="s">
        <v>26</v>
      </c>
      <c r="F1761" t="s">
        <v>86</v>
      </c>
      <c r="G1761" t="s">
        <v>127</v>
      </c>
      <c r="H1761">
        <v>1</v>
      </c>
      <c r="I1761" s="21">
        <v>66398</v>
      </c>
      <c r="J1761">
        <v>15</v>
      </c>
      <c r="K1761" s="21">
        <v>9959.7000000000007</v>
      </c>
      <c r="L1761" s="21">
        <v>56438.3</v>
      </c>
      <c r="M1761" s="21">
        <v>36615.47</v>
      </c>
      <c r="N1761" s="21">
        <v>19822.830000000002</v>
      </c>
      <c r="O1761" t="s">
        <v>91</v>
      </c>
      <c r="P1761" s="21">
        <v>1802.73</v>
      </c>
      <c r="Q1761" t="s">
        <v>40</v>
      </c>
      <c r="R1761" t="s">
        <v>41</v>
      </c>
      <c r="S1761">
        <v>2</v>
      </c>
      <c r="T1761">
        <v>4</v>
      </c>
      <c r="U1761" t="s">
        <v>56</v>
      </c>
      <c r="V1761" t="s">
        <v>33</v>
      </c>
      <c r="W1761">
        <v>4</v>
      </c>
    </row>
    <row r="1762" spans="1:23" x14ac:dyDescent="0.25">
      <c r="A1762" t="s">
        <v>2409</v>
      </c>
      <c r="B1762" s="1">
        <v>45887</v>
      </c>
      <c r="C1762" t="s">
        <v>1230</v>
      </c>
      <c r="D1762" t="s">
        <v>25</v>
      </c>
      <c r="E1762" t="s">
        <v>46</v>
      </c>
      <c r="F1762" t="s">
        <v>86</v>
      </c>
      <c r="G1762" t="s">
        <v>94</v>
      </c>
      <c r="H1762">
        <v>2</v>
      </c>
      <c r="I1762" s="21">
        <v>50905</v>
      </c>
      <c r="J1762">
        <v>15</v>
      </c>
      <c r="K1762" s="21">
        <v>15271.5</v>
      </c>
      <c r="L1762" s="21">
        <v>86538.5</v>
      </c>
      <c r="M1762" s="21">
        <v>50727.23</v>
      </c>
      <c r="N1762" s="21">
        <v>35811.269999999997</v>
      </c>
      <c r="O1762" t="s">
        <v>29</v>
      </c>
      <c r="P1762" s="21">
        <v>890.83</v>
      </c>
      <c r="Q1762" t="s">
        <v>73</v>
      </c>
      <c r="R1762" t="s">
        <v>31</v>
      </c>
      <c r="S1762">
        <v>5</v>
      </c>
      <c r="T1762">
        <v>3</v>
      </c>
      <c r="U1762" t="s">
        <v>32</v>
      </c>
      <c r="V1762" t="s">
        <v>50</v>
      </c>
      <c r="W1762">
        <v>1</v>
      </c>
    </row>
    <row r="1763" spans="1:23" x14ac:dyDescent="0.25">
      <c r="A1763" t="s">
        <v>2410</v>
      </c>
      <c r="B1763" s="1">
        <v>46006</v>
      </c>
      <c r="C1763" t="s">
        <v>1903</v>
      </c>
      <c r="D1763" t="s">
        <v>124</v>
      </c>
      <c r="E1763" t="s">
        <v>46</v>
      </c>
      <c r="F1763" t="s">
        <v>86</v>
      </c>
      <c r="G1763" t="s">
        <v>180</v>
      </c>
      <c r="H1763">
        <v>1</v>
      </c>
      <c r="I1763" s="21">
        <v>54099</v>
      </c>
      <c r="J1763">
        <v>20</v>
      </c>
      <c r="K1763" s="21">
        <v>10819.8</v>
      </c>
      <c r="L1763" s="21">
        <v>43279.199999999997</v>
      </c>
      <c r="M1763" s="21">
        <v>34252.86</v>
      </c>
      <c r="N1763" s="21">
        <v>9026.34</v>
      </c>
      <c r="O1763" t="s">
        <v>29</v>
      </c>
      <c r="P1763" s="21">
        <v>1946.41</v>
      </c>
      <c r="Q1763" t="s">
        <v>30</v>
      </c>
      <c r="R1763" t="s">
        <v>31</v>
      </c>
      <c r="S1763">
        <v>5</v>
      </c>
      <c r="T1763">
        <v>6</v>
      </c>
      <c r="U1763" t="s">
        <v>32</v>
      </c>
      <c r="V1763" t="s">
        <v>42</v>
      </c>
    </row>
    <row r="1764" spans="1:23" x14ac:dyDescent="0.25">
      <c r="A1764" t="s">
        <v>2411</v>
      </c>
      <c r="B1764" s="1">
        <v>45947</v>
      </c>
      <c r="C1764" t="s">
        <v>172</v>
      </c>
      <c r="D1764" t="s">
        <v>45</v>
      </c>
      <c r="E1764" t="s">
        <v>26</v>
      </c>
      <c r="F1764" t="s">
        <v>86</v>
      </c>
      <c r="G1764" t="s">
        <v>180</v>
      </c>
      <c r="H1764">
        <v>1</v>
      </c>
      <c r="I1764" s="21">
        <v>70412</v>
      </c>
      <c r="J1764">
        <v>10</v>
      </c>
      <c r="K1764" s="21">
        <v>7041.2</v>
      </c>
      <c r="L1764" s="21">
        <v>63370.8</v>
      </c>
      <c r="M1764" s="21">
        <v>37402.28</v>
      </c>
      <c r="N1764" s="21">
        <v>25968.52</v>
      </c>
      <c r="O1764" t="s">
        <v>49</v>
      </c>
      <c r="P1764" s="21">
        <v>413.07</v>
      </c>
      <c r="Q1764" t="s">
        <v>68</v>
      </c>
      <c r="R1764" t="s">
        <v>31</v>
      </c>
      <c r="S1764">
        <v>5</v>
      </c>
      <c r="T1764">
        <v>5</v>
      </c>
      <c r="U1764" t="s">
        <v>32</v>
      </c>
      <c r="V1764" t="s">
        <v>33</v>
      </c>
      <c r="W1764">
        <v>5</v>
      </c>
    </row>
    <row r="1765" spans="1:23" x14ac:dyDescent="0.25">
      <c r="A1765" t="s">
        <v>2412</v>
      </c>
      <c r="B1765" s="1">
        <v>45987</v>
      </c>
      <c r="C1765" t="s">
        <v>1012</v>
      </c>
      <c r="D1765" t="s">
        <v>67</v>
      </c>
      <c r="E1765" t="s">
        <v>46</v>
      </c>
      <c r="F1765" t="s">
        <v>27</v>
      </c>
      <c r="G1765" t="s">
        <v>113</v>
      </c>
      <c r="H1765">
        <v>2</v>
      </c>
      <c r="I1765" s="21">
        <v>5357</v>
      </c>
      <c r="J1765">
        <v>10</v>
      </c>
      <c r="K1765" s="21">
        <v>1071.4000000000001</v>
      </c>
      <c r="L1765" s="21">
        <v>9642.6</v>
      </c>
      <c r="M1765" s="21">
        <v>7082.15</v>
      </c>
      <c r="N1765" s="21">
        <v>2560.4499999999998</v>
      </c>
      <c r="O1765" t="s">
        <v>91</v>
      </c>
      <c r="P1765" s="21">
        <v>2355.54</v>
      </c>
      <c r="Q1765" t="s">
        <v>68</v>
      </c>
      <c r="R1765" t="s">
        <v>31</v>
      </c>
      <c r="S1765">
        <v>5</v>
      </c>
      <c r="T1765">
        <v>1</v>
      </c>
      <c r="U1765" t="s">
        <v>32</v>
      </c>
      <c r="V1765" t="s">
        <v>33</v>
      </c>
      <c r="W1765">
        <v>5</v>
      </c>
    </row>
    <row r="1766" spans="1:23" x14ac:dyDescent="0.25">
      <c r="A1766" t="s">
        <v>2413</v>
      </c>
      <c r="B1766" s="1">
        <v>45983</v>
      </c>
      <c r="C1766" t="s">
        <v>1063</v>
      </c>
      <c r="D1766" t="s">
        <v>154</v>
      </c>
      <c r="E1766" t="s">
        <v>46</v>
      </c>
      <c r="F1766" t="s">
        <v>86</v>
      </c>
      <c r="G1766" t="s">
        <v>94</v>
      </c>
      <c r="H1766">
        <v>2</v>
      </c>
      <c r="I1766" s="21">
        <v>8890</v>
      </c>
      <c r="J1766">
        <v>0</v>
      </c>
      <c r="K1766" s="21">
        <v>0</v>
      </c>
      <c r="L1766" s="21">
        <v>17780</v>
      </c>
      <c r="M1766" s="21">
        <v>10624.04</v>
      </c>
      <c r="N1766" s="21">
        <v>7155.96</v>
      </c>
      <c r="O1766" t="s">
        <v>29</v>
      </c>
      <c r="P1766" s="21">
        <v>2272.71</v>
      </c>
      <c r="Q1766" t="s">
        <v>73</v>
      </c>
      <c r="R1766" t="s">
        <v>31</v>
      </c>
      <c r="S1766">
        <v>5</v>
      </c>
      <c r="T1766">
        <v>6</v>
      </c>
      <c r="U1766" t="s">
        <v>32</v>
      </c>
      <c r="V1766" t="s">
        <v>50</v>
      </c>
      <c r="W1766">
        <v>5</v>
      </c>
    </row>
    <row r="1767" spans="1:23" x14ac:dyDescent="0.25">
      <c r="A1767" t="s">
        <v>2414</v>
      </c>
      <c r="B1767" s="1">
        <v>45977</v>
      </c>
      <c r="C1767" t="s">
        <v>1162</v>
      </c>
      <c r="D1767" t="s">
        <v>45</v>
      </c>
      <c r="E1767" t="s">
        <v>26</v>
      </c>
      <c r="F1767" t="s">
        <v>47</v>
      </c>
      <c r="G1767" t="s">
        <v>48</v>
      </c>
      <c r="H1767">
        <v>1</v>
      </c>
      <c r="I1767" s="21">
        <v>25501</v>
      </c>
      <c r="J1767">
        <v>0</v>
      </c>
      <c r="K1767" s="21">
        <v>0</v>
      </c>
      <c r="L1767" s="21">
        <v>25501</v>
      </c>
      <c r="M1767" s="21">
        <v>14963.98</v>
      </c>
      <c r="N1767" s="21">
        <v>10537.02</v>
      </c>
      <c r="O1767" t="s">
        <v>39</v>
      </c>
      <c r="P1767" s="21">
        <v>895.72</v>
      </c>
      <c r="Q1767" t="s">
        <v>83</v>
      </c>
      <c r="R1767" t="s">
        <v>31</v>
      </c>
      <c r="S1767">
        <v>5</v>
      </c>
      <c r="T1767">
        <v>1</v>
      </c>
      <c r="U1767" t="s">
        <v>32</v>
      </c>
      <c r="V1767" t="s">
        <v>50</v>
      </c>
      <c r="W1767">
        <v>3</v>
      </c>
    </row>
    <row r="1768" spans="1:23" x14ac:dyDescent="0.25">
      <c r="A1768" t="s">
        <v>2415</v>
      </c>
      <c r="B1768" s="1">
        <v>45823</v>
      </c>
      <c r="C1768" t="s">
        <v>1288</v>
      </c>
      <c r="D1768" t="s">
        <v>79</v>
      </c>
      <c r="E1768" t="s">
        <v>26</v>
      </c>
      <c r="F1768" t="s">
        <v>53</v>
      </c>
      <c r="G1768" t="s">
        <v>82</v>
      </c>
      <c r="H1768">
        <v>2</v>
      </c>
      <c r="I1768" s="21">
        <v>104664</v>
      </c>
      <c r="J1768">
        <v>10</v>
      </c>
      <c r="K1768" s="21">
        <v>20932.8</v>
      </c>
      <c r="L1768" s="21">
        <v>188395.2</v>
      </c>
      <c r="M1768" s="21">
        <v>127676.88</v>
      </c>
      <c r="N1768" s="21">
        <v>60718.32</v>
      </c>
      <c r="O1768" t="s">
        <v>91</v>
      </c>
      <c r="P1768" s="21">
        <v>1964.42</v>
      </c>
      <c r="Q1768" t="s">
        <v>40</v>
      </c>
      <c r="R1768" t="s">
        <v>31</v>
      </c>
      <c r="S1768">
        <v>5</v>
      </c>
      <c r="T1768">
        <v>9</v>
      </c>
      <c r="U1768" t="s">
        <v>56</v>
      </c>
      <c r="V1768" t="s">
        <v>33</v>
      </c>
      <c r="W1768">
        <v>5</v>
      </c>
    </row>
    <row r="1769" spans="1:23" x14ac:dyDescent="0.25">
      <c r="A1769" t="s">
        <v>2416</v>
      </c>
      <c r="B1769" s="1">
        <v>45979</v>
      </c>
      <c r="C1769" t="s">
        <v>961</v>
      </c>
      <c r="D1769" t="s">
        <v>71</v>
      </c>
      <c r="E1769" t="s">
        <v>46</v>
      </c>
      <c r="F1769" t="s">
        <v>27</v>
      </c>
      <c r="G1769" t="s">
        <v>76</v>
      </c>
      <c r="H1769">
        <v>1</v>
      </c>
      <c r="I1769" s="21">
        <v>7300</v>
      </c>
      <c r="J1769">
        <v>0</v>
      </c>
      <c r="K1769" s="21">
        <v>0</v>
      </c>
      <c r="L1769" s="21">
        <v>7300</v>
      </c>
      <c r="M1769" s="21">
        <v>4066.09</v>
      </c>
      <c r="N1769" s="21">
        <v>3233.91</v>
      </c>
      <c r="O1769" t="s">
        <v>29</v>
      </c>
      <c r="P1769" s="21">
        <v>1827.82</v>
      </c>
      <c r="Q1769" t="s">
        <v>40</v>
      </c>
      <c r="R1769" t="s">
        <v>31</v>
      </c>
      <c r="S1769">
        <v>5</v>
      </c>
      <c r="T1769">
        <v>4</v>
      </c>
      <c r="U1769" t="s">
        <v>32</v>
      </c>
      <c r="V1769" t="s">
        <v>33</v>
      </c>
      <c r="W1769">
        <v>5</v>
      </c>
    </row>
    <row r="1770" spans="1:23" x14ac:dyDescent="0.25">
      <c r="A1770" t="s">
        <v>2417</v>
      </c>
      <c r="B1770" s="1">
        <v>45819</v>
      </c>
      <c r="C1770" t="s">
        <v>1037</v>
      </c>
      <c r="D1770" t="s">
        <v>79</v>
      </c>
      <c r="E1770" t="s">
        <v>26</v>
      </c>
      <c r="F1770" t="s">
        <v>53</v>
      </c>
      <c r="G1770" t="s">
        <v>268</v>
      </c>
      <c r="H1770">
        <v>1</v>
      </c>
      <c r="I1770" s="21">
        <v>13504</v>
      </c>
      <c r="J1770">
        <v>25</v>
      </c>
      <c r="K1770" s="21">
        <v>3376</v>
      </c>
      <c r="L1770" s="21">
        <v>10128</v>
      </c>
      <c r="M1770" s="21">
        <v>7060.83</v>
      </c>
      <c r="N1770" s="21">
        <v>3067.17</v>
      </c>
      <c r="O1770" t="s">
        <v>39</v>
      </c>
      <c r="P1770" s="21">
        <v>1073.6500000000001</v>
      </c>
      <c r="Q1770" t="s">
        <v>30</v>
      </c>
      <c r="R1770" t="s">
        <v>31</v>
      </c>
      <c r="S1770">
        <v>5</v>
      </c>
      <c r="T1770">
        <v>4</v>
      </c>
      <c r="U1770" t="s">
        <v>32</v>
      </c>
      <c r="V1770" t="s">
        <v>42</v>
      </c>
    </row>
    <row r="1771" spans="1:23" x14ac:dyDescent="0.25">
      <c r="A1771" t="s">
        <v>2418</v>
      </c>
      <c r="B1771" s="1">
        <v>45735</v>
      </c>
      <c r="C1771" t="s">
        <v>2294</v>
      </c>
      <c r="D1771" t="s">
        <v>124</v>
      </c>
      <c r="E1771" t="s">
        <v>36</v>
      </c>
      <c r="F1771" t="s">
        <v>86</v>
      </c>
      <c r="G1771" t="s">
        <v>94</v>
      </c>
      <c r="H1771">
        <v>1</v>
      </c>
      <c r="I1771" s="21">
        <v>10731</v>
      </c>
      <c r="J1771">
        <v>0</v>
      </c>
      <c r="K1771" s="21">
        <v>0</v>
      </c>
      <c r="L1771" s="21">
        <v>10731</v>
      </c>
      <c r="M1771" s="21">
        <v>7845.32</v>
      </c>
      <c r="N1771" s="21">
        <v>2885.68</v>
      </c>
      <c r="O1771" t="s">
        <v>55</v>
      </c>
      <c r="P1771" s="21">
        <v>2417.7199999999998</v>
      </c>
      <c r="Q1771" t="s">
        <v>68</v>
      </c>
      <c r="R1771" t="s">
        <v>41</v>
      </c>
      <c r="S1771">
        <v>2</v>
      </c>
      <c r="T1771">
        <v>3</v>
      </c>
      <c r="U1771" t="s">
        <v>56</v>
      </c>
      <c r="V1771" t="s">
        <v>33</v>
      </c>
      <c r="W1771">
        <v>4</v>
      </c>
    </row>
    <row r="1772" spans="1:23" x14ac:dyDescent="0.25">
      <c r="A1772" t="s">
        <v>2419</v>
      </c>
      <c r="B1772" s="1">
        <v>45883</v>
      </c>
      <c r="C1772" t="s">
        <v>1033</v>
      </c>
      <c r="D1772" t="s">
        <v>124</v>
      </c>
      <c r="E1772" t="s">
        <v>36</v>
      </c>
      <c r="F1772" t="s">
        <v>53</v>
      </c>
      <c r="G1772" t="s">
        <v>54</v>
      </c>
      <c r="H1772">
        <v>2</v>
      </c>
      <c r="I1772" s="21">
        <v>73101</v>
      </c>
      <c r="J1772">
        <v>20</v>
      </c>
      <c r="K1772" s="21">
        <v>29240.400000000001</v>
      </c>
      <c r="L1772" s="21">
        <v>116961.60000000001</v>
      </c>
      <c r="M1772" s="21">
        <v>67015.55</v>
      </c>
      <c r="N1772" s="21">
        <v>49946.05</v>
      </c>
      <c r="O1772" t="s">
        <v>60</v>
      </c>
      <c r="P1772" s="21">
        <v>2274.4</v>
      </c>
      <c r="Q1772" t="s">
        <v>83</v>
      </c>
      <c r="R1772" t="s">
        <v>31</v>
      </c>
      <c r="S1772">
        <v>5</v>
      </c>
      <c r="T1772">
        <v>5</v>
      </c>
      <c r="U1772" t="s">
        <v>32</v>
      </c>
      <c r="V1772" t="s">
        <v>50</v>
      </c>
      <c r="W1772">
        <v>5</v>
      </c>
    </row>
    <row r="1773" spans="1:23" x14ac:dyDescent="0.25">
      <c r="A1773" t="s">
        <v>2420</v>
      </c>
      <c r="B1773" s="1">
        <v>45692</v>
      </c>
      <c r="C1773" t="s">
        <v>1790</v>
      </c>
      <c r="D1773" t="s">
        <v>67</v>
      </c>
      <c r="E1773" t="s">
        <v>46</v>
      </c>
      <c r="F1773" t="s">
        <v>37</v>
      </c>
      <c r="G1773" t="s">
        <v>224</v>
      </c>
      <c r="H1773">
        <v>2</v>
      </c>
      <c r="I1773" s="21">
        <v>17496</v>
      </c>
      <c r="J1773">
        <v>0</v>
      </c>
      <c r="K1773" s="21">
        <v>0</v>
      </c>
      <c r="L1773" s="21">
        <v>34992</v>
      </c>
      <c r="M1773" s="21">
        <v>19462.2</v>
      </c>
      <c r="N1773" s="21">
        <v>15529.8</v>
      </c>
      <c r="O1773" t="s">
        <v>39</v>
      </c>
      <c r="P1773" s="21">
        <v>806.04</v>
      </c>
      <c r="Q1773" t="s">
        <v>73</v>
      </c>
      <c r="R1773" t="s">
        <v>41</v>
      </c>
      <c r="S1773">
        <v>2</v>
      </c>
      <c r="T1773">
        <v>5</v>
      </c>
      <c r="U1773" t="s">
        <v>56</v>
      </c>
      <c r="V1773" t="s">
        <v>33</v>
      </c>
      <c r="W1773">
        <v>5</v>
      </c>
    </row>
    <row r="1774" spans="1:23" x14ac:dyDescent="0.25">
      <c r="A1774" t="s">
        <v>2421</v>
      </c>
      <c r="B1774" s="1">
        <v>45898</v>
      </c>
      <c r="C1774" t="s">
        <v>1133</v>
      </c>
      <c r="D1774" t="s">
        <v>79</v>
      </c>
      <c r="E1774" t="s">
        <v>36</v>
      </c>
      <c r="F1774" t="s">
        <v>27</v>
      </c>
      <c r="G1774" t="s">
        <v>164</v>
      </c>
      <c r="H1774">
        <v>1</v>
      </c>
      <c r="I1774" s="21">
        <v>26947</v>
      </c>
      <c r="J1774">
        <v>20</v>
      </c>
      <c r="K1774" s="21">
        <v>5389.4</v>
      </c>
      <c r="L1774" s="21">
        <v>21557.599999999999</v>
      </c>
      <c r="M1774" s="21">
        <v>13874.97</v>
      </c>
      <c r="N1774" s="21">
        <v>7682.63</v>
      </c>
      <c r="O1774" t="s">
        <v>39</v>
      </c>
      <c r="P1774" s="21">
        <v>2177.23</v>
      </c>
      <c r="Q1774" t="s">
        <v>30</v>
      </c>
      <c r="R1774" t="s">
        <v>31</v>
      </c>
      <c r="S1774">
        <v>5</v>
      </c>
      <c r="T1774">
        <v>2</v>
      </c>
      <c r="U1774" t="s">
        <v>32</v>
      </c>
      <c r="V1774" t="s">
        <v>50</v>
      </c>
      <c r="W1774">
        <v>5</v>
      </c>
    </row>
    <row r="1775" spans="1:23" x14ac:dyDescent="0.25">
      <c r="A1775" t="s">
        <v>2422</v>
      </c>
      <c r="B1775" s="1">
        <v>45884</v>
      </c>
      <c r="C1775" t="s">
        <v>2423</v>
      </c>
      <c r="D1775" t="s">
        <v>71</v>
      </c>
      <c r="E1775" t="s">
        <v>46</v>
      </c>
      <c r="F1775" t="s">
        <v>47</v>
      </c>
      <c r="G1775" t="s">
        <v>146</v>
      </c>
      <c r="H1775">
        <v>1</v>
      </c>
      <c r="I1775" s="21">
        <v>19834</v>
      </c>
      <c r="J1775">
        <v>0</v>
      </c>
      <c r="K1775" s="21">
        <v>0</v>
      </c>
      <c r="L1775" s="21">
        <v>19834</v>
      </c>
      <c r="M1775" s="21">
        <v>11405.78</v>
      </c>
      <c r="N1775" s="21">
        <v>8428.2199999999993</v>
      </c>
      <c r="O1775" t="s">
        <v>49</v>
      </c>
      <c r="P1775" s="21">
        <v>449.97</v>
      </c>
      <c r="Q1775" t="s">
        <v>30</v>
      </c>
      <c r="R1775" t="s">
        <v>31</v>
      </c>
      <c r="S1775">
        <v>5</v>
      </c>
      <c r="T1775">
        <v>2</v>
      </c>
      <c r="U1775" t="s">
        <v>32</v>
      </c>
      <c r="V1775" t="s">
        <v>50</v>
      </c>
      <c r="W1775">
        <v>5</v>
      </c>
    </row>
    <row r="1776" spans="1:23" x14ac:dyDescent="0.25">
      <c r="A1776" t="s">
        <v>2424</v>
      </c>
      <c r="B1776" s="1">
        <v>45981</v>
      </c>
      <c r="C1776" t="s">
        <v>993</v>
      </c>
      <c r="D1776" t="s">
        <v>45</v>
      </c>
      <c r="E1776" t="s">
        <v>36</v>
      </c>
      <c r="F1776" t="s">
        <v>53</v>
      </c>
      <c r="G1776" t="s">
        <v>268</v>
      </c>
      <c r="H1776">
        <v>1</v>
      </c>
      <c r="I1776" s="21">
        <v>64643</v>
      </c>
      <c r="J1776">
        <v>10</v>
      </c>
      <c r="K1776" s="21">
        <v>6464.3</v>
      </c>
      <c r="L1776" s="21">
        <v>58178.7</v>
      </c>
      <c r="M1776" s="21">
        <v>41325.97</v>
      </c>
      <c r="N1776" s="21">
        <v>16852.73</v>
      </c>
      <c r="O1776" t="s">
        <v>60</v>
      </c>
      <c r="P1776" s="21">
        <v>2184.12</v>
      </c>
      <c r="Q1776" t="s">
        <v>30</v>
      </c>
      <c r="R1776" t="s">
        <v>41</v>
      </c>
      <c r="S1776">
        <v>2</v>
      </c>
      <c r="T1776">
        <v>1</v>
      </c>
      <c r="U1776" t="s">
        <v>32</v>
      </c>
      <c r="V1776" t="s">
        <v>33</v>
      </c>
      <c r="W1776">
        <v>5</v>
      </c>
    </row>
    <row r="1777" spans="1:23" x14ac:dyDescent="0.25">
      <c r="A1777" t="s">
        <v>2425</v>
      </c>
      <c r="B1777" s="1">
        <v>45813</v>
      </c>
      <c r="C1777" t="s">
        <v>948</v>
      </c>
      <c r="D1777" t="s">
        <v>154</v>
      </c>
      <c r="E1777" t="s">
        <v>46</v>
      </c>
      <c r="F1777" t="s">
        <v>27</v>
      </c>
      <c r="G1777" t="s">
        <v>28</v>
      </c>
      <c r="H1777">
        <v>1</v>
      </c>
      <c r="I1777" s="21">
        <v>27820</v>
      </c>
      <c r="J1777">
        <v>25</v>
      </c>
      <c r="K1777" s="21">
        <v>6955</v>
      </c>
      <c r="L1777" s="21">
        <v>20865</v>
      </c>
      <c r="M1777" s="21">
        <v>16088.46</v>
      </c>
      <c r="N1777" s="21">
        <v>4776.54</v>
      </c>
      <c r="O1777" t="s">
        <v>91</v>
      </c>
      <c r="P1777" s="21">
        <v>2300.06</v>
      </c>
      <c r="Q1777" t="s">
        <v>73</v>
      </c>
      <c r="R1777" t="s">
        <v>41</v>
      </c>
      <c r="S1777">
        <v>2</v>
      </c>
      <c r="T1777">
        <v>1</v>
      </c>
      <c r="U1777" t="s">
        <v>32</v>
      </c>
      <c r="V1777" t="s">
        <v>33</v>
      </c>
      <c r="W1777">
        <v>5</v>
      </c>
    </row>
    <row r="1778" spans="1:23" x14ac:dyDescent="0.25">
      <c r="A1778" t="s">
        <v>2426</v>
      </c>
      <c r="B1778" s="1">
        <v>45798</v>
      </c>
      <c r="C1778" t="s">
        <v>332</v>
      </c>
      <c r="D1778" t="s">
        <v>124</v>
      </c>
      <c r="E1778" t="s">
        <v>46</v>
      </c>
      <c r="F1778" t="s">
        <v>53</v>
      </c>
      <c r="G1778" t="s">
        <v>82</v>
      </c>
      <c r="H1778">
        <v>1</v>
      </c>
      <c r="I1778" s="21">
        <v>119674</v>
      </c>
      <c r="J1778">
        <v>20</v>
      </c>
      <c r="K1778" s="21">
        <v>23934.799999999999</v>
      </c>
      <c r="L1778" s="21">
        <v>95739.199999999997</v>
      </c>
      <c r="M1778" s="21">
        <v>60234.43</v>
      </c>
      <c r="N1778" s="21">
        <v>35504.769999999997</v>
      </c>
      <c r="O1778" t="s">
        <v>91</v>
      </c>
      <c r="P1778" s="21">
        <v>593.53</v>
      </c>
      <c r="Q1778" t="s">
        <v>30</v>
      </c>
      <c r="R1778" t="s">
        <v>31</v>
      </c>
      <c r="S1778">
        <v>5</v>
      </c>
      <c r="T1778">
        <v>4</v>
      </c>
      <c r="U1778" t="s">
        <v>32</v>
      </c>
      <c r="V1778" t="s">
        <v>50</v>
      </c>
      <c r="W1778">
        <v>5</v>
      </c>
    </row>
    <row r="1779" spans="1:23" x14ac:dyDescent="0.25">
      <c r="A1779" t="s">
        <v>2427</v>
      </c>
      <c r="B1779" s="1">
        <v>45960</v>
      </c>
      <c r="C1779" t="s">
        <v>1060</v>
      </c>
      <c r="D1779" t="s">
        <v>45</v>
      </c>
      <c r="E1779" t="s">
        <v>46</v>
      </c>
      <c r="F1779" t="s">
        <v>86</v>
      </c>
      <c r="G1779" t="s">
        <v>110</v>
      </c>
      <c r="H1779">
        <v>1</v>
      </c>
      <c r="I1779" s="21">
        <v>24530</v>
      </c>
      <c r="J1779">
        <v>25</v>
      </c>
      <c r="K1779" s="21">
        <v>6132.5</v>
      </c>
      <c r="L1779" s="21">
        <v>18397.5</v>
      </c>
      <c r="M1779" s="21">
        <v>14815.48</v>
      </c>
      <c r="N1779" s="21">
        <v>3582.02</v>
      </c>
      <c r="O1779" t="s">
        <v>60</v>
      </c>
      <c r="P1779" s="21">
        <v>2497.5500000000002</v>
      </c>
      <c r="Q1779" t="s">
        <v>83</v>
      </c>
      <c r="R1779" t="s">
        <v>41</v>
      </c>
      <c r="S1779">
        <v>2</v>
      </c>
      <c r="T1779">
        <v>2</v>
      </c>
      <c r="U1779" t="s">
        <v>32</v>
      </c>
      <c r="V1779" t="s">
        <v>50</v>
      </c>
      <c r="W1779">
        <v>3</v>
      </c>
    </row>
    <row r="1780" spans="1:23" x14ac:dyDescent="0.25">
      <c r="A1780" t="s">
        <v>2428</v>
      </c>
      <c r="B1780" s="1">
        <v>45686</v>
      </c>
      <c r="C1780" t="s">
        <v>2429</v>
      </c>
      <c r="D1780" t="s">
        <v>45</v>
      </c>
      <c r="E1780" t="s">
        <v>26</v>
      </c>
      <c r="F1780" t="s">
        <v>47</v>
      </c>
      <c r="G1780" t="s">
        <v>64</v>
      </c>
      <c r="H1780">
        <v>3</v>
      </c>
      <c r="I1780" s="21">
        <v>41038</v>
      </c>
      <c r="J1780">
        <v>15</v>
      </c>
      <c r="K1780" s="21">
        <v>18467.099999999999</v>
      </c>
      <c r="L1780" s="21">
        <v>104646.9</v>
      </c>
      <c r="M1780" s="21">
        <v>71559.06</v>
      </c>
      <c r="N1780" s="21">
        <v>33087.839999999997</v>
      </c>
      <c r="O1780" t="s">
        <v>60</v>
      </c>
      <c r="P1780" s="21">
        <v>1834</v>
      </c>
      <c r="Q1780" t="s">
        <v>68</v>
      </c>
      <c r="R1780" t="s">
        <v>31</v>
      </c>
      <c r="S1780">
        <v>5</v>
      </c>
      <c r="T1780">
        <v>4</v>
      </c>
      <c r="U1780" t="s">
        <v>32</v>
      </c>
      <c r="V1780" t="s">
        <v>42</v>
      </c>
    </row>
    <row r="1781" spans="1:23" x14ac:dyDescent="0.25">
      <c r="A1781" t="s">
        <v>2430</v>
      </c>
      <c r="B1781" s="1">
        <v>45838</v>
      </c>
      <c r="C1781" t="s">
        <v>533</v>
      </c>
      <c r="D1781" t="s">
        <v>154</v>
      </c>
      <c r="E1781" t="s">
        <v>26</v>
      </c>
      <c r="F1781" t="s">
        <v>27</v>
      </c>
      <c r="G1781" t="s">
        <v>28</v>
      </c>
      <c r="H1781">
        <v>1</v>
      </c>
      <c r="I1781" s="21">
        <v>11866</v>
      </c>
      <c r="J1781">
        <v>10</v>
      </c>
      <c r="K1781" s="21">
        <v>1186.5999999999999</v>
      </c>
      <c r="L1781" s="21">
        <v>10679.4</v>
      </c>
      <c r="M1781" s="21">
        <v>7369.83</v>
      </c>
      <c r="N1781" s="21">
        <v>3309.57</v>
      </c>
      <c r="O1781" t="s">
        <v>91</v>
      </c>
      <c r="P1781" s="21">
        <v>828.98</v>
      </c>
      <c r="Q1781" t="s">
        <v>30</v>
      </c>
      <c r="R1781" t="s">
        <v>41</v>
      </c>
      <c r="S1781">
        <v>2</v>
      </c>
      <c r="T1781">
        <v>1</v>
      </c>
      <c r="U1781" t="s">
        <v>32</v>
      </c>
      <c r="V1781" t="s">
        <v>33</v>
      </c>
      <c r="W1781">
        <v>5</v>
      </c>
    </row>
    <row r="1782" spans="1:23" x14ac:dyDescent="0.25">
      <c r="A1782" t="s">
        <v>2431</v>
      </c>
      <c r="B1782" s="1">
        <v>45917</v>
      </c>
      <c r="C1782" t="s">
        <v>852</v>
      </c>
      <c r="D1782" t="s">
        <v>71</v>
      </c>
      <c r="E1782" t="s">
        <v>26</v>
      </c>
      <c r="F1782" t="s">
        <v>27</v>
      </c>
      <c r="G1782" t="s">
        <v>72</v>
      </c>
      <c r="H1782">
        <v>1</v>
      </c>
      <c r="I1782" s="21">
        <v>6961</v>
      </c>
      <c r="J1782">
        <v>10</v>
      </c>
      <c r="K1782" s="21">
        <v>696.1</v>
      </c>
      <c r="L1782" s="21">
        <v>6264.9</v>
      </c>
      <c r="M1782" s="21">
        <v>4029.62</v>
      </c>
      <c r="N1782" s="21">
        <v>2235.2800000000002</v>
      </c>
      <c r="O1782" t="s">
        <v>91</v>
      </c>
      <c r="P1782" s="21">
        <v>1119.1600000000001</v>
      </c>
      <c r="Q1782" t="s">
        <v>83</v>
      </c>
      <c r="R1782" t="s">
        <v>41</v>
      </c>
      <c r="S1782">
        <v>2</v>
      </c>
      <c r="T1782">
        <v>1</v>
      </c>
      <c r="U1782" t="s">
        <v>32</v>
      </c>
      <c r="V1782" t="s">
        <v>33</v>
      </c>
      <c r="W1782">
        <v>4</v>
      </c>
    </row>
    <row r="1783" spans="1:23" x14ac:dyDescent="0.25">
      <c r="A1783" t="s">
        <v>2432</v>
      </c>
      <c r="B1783" s="1">
        <v>45695</v>
      </c>
      <c r="C1783" t="s">
        <v>2433</v>
      </c>
      <c r="D1783" t="s">
        <v>63</v>
      </c>
      <c r="E1783" t="s">
        <v>26</v>
      </c>
      <c r="F1783" t="s">
        <v>86</v>
      </c>
      <c r="G1783" t="s">
        <v>94</v>
      </c>
      <c r="H1783">
        <v>1</v>
      </c>
      <c r="I1783" s="21">
        <v>39169</v>
      </c>
      <c r="J1783">
        <v>10</v>
      </c>
      <c r="K1783" s="21">
        <v>3916.9</v>
      </c>
      <c r="L1783" s="21">
        <v>35252.1</v>
      </c>
      <c r="M1783" s="21">
        <v>23571.01</v>
      </c>
      <c r="N1783" s="21">
        <v>11681.09</v>
      </c>
      <c r="O1783" t="s">
        <v>55</v>
      </c>
      <c r="P1783" s="21">
        <v>916.69</v>
      </c>
      <c r="Q1783" t="s">
        <v>68</v>
      </c>
      <c r="R1783" t="s">
        <v>31</v>
      </c>
      <c r="S1783">
        <v>5</v>
      </c>
      <c r="T1783">
        <v>5</v>
      </c>
      <c r="U1783" t="s">
        <v>32</v>
      </c>
      <c r="V1783" t="s">
        <v>42</v>
      </c>
    </row>
    <row r="1784" spans="1:23" x14ac:dyDescent="0.25">
      <c r="A1784" t="s">
        <v>2434</v>
      </c>
      <c r="B1784" s="1">
        <v>45816</v>
      </c>
      <c r="C1784" t="s">
        <v>386</v>
      </c>
      <c r="D1784" t="s">
        <v>71</v>
      </c>
      <c r="E1784" t="s">
        <v>46</v>
      </c>
      <c r="F1784" t="s">
        <v>27</v>
      </c>
      <c r="G1784" t="s">
        <v>164</v>
      </c>
      <c r="H1784">
        <v>1</v>
      </c>
      <c r="I1784" s="21">
        <v>15789</v>
      </c>
      <c r="J1784">
        <v>0</v>
      </c>
      <c r="K1784" s="21">
        <v>0</v>
      </c>
      <c r="L1784" s="21">
        <v>15789</v>
      </c>
      <c r="M1784" s="21">
        <v>10885.37</v>
      </c>
      <c r="N1784" s="21">
        <v>4903.63</v>
      </c>
      <c r="O1784" t="s">
        <v>29</v>
      </c>
      <c r="P1784" s="21">
        <v>1921.19</v>
      </c>
      <c r="Q1784" t="s">
        <v>73</v>
      </c>
      <c r="R1784" t="s">
        <v>41</v>
      </c>
      <c r="S1784">
        <v>2</v>
      </c>
      <c r="T1784">
        <v>1</v>
      </c>
      <c r="U1784" t="s">
        <v>32</v>
      </c>
      <c r="V1784" t="s">
        <v>33</v>
      </c>
      <c r="W1784">
        <v>5</v>
      </c>
    </row>
    <row r="1785" spans="1:23" x14ac:dyDescent="0.25">
      <c r="A1785" t="s">
        <v>2435</v>
      </c>
      <c r="B1785" s="1">
        <v>45894</v>
      </c>
      <c r="C1785" t="s">
        <v>908</v>
      </c>
      <c r="D1785" t="s">
        <v>71</v>
      </c>
      <c r="E1785" t="s">
        <v>36</v>
      </c>
      <c r="F1785" t="s">
        <v>86</v>
      </c>
      <c r="G1785" t="s">
        <v>94</v>
      </c>
      <c r="H1785">
        <v>1</v>
      </c>
      <c r="I1785" s="21">
        <v>38348</v>
      </c>
      <c r="J1785">
        <v>10</v>
      </c>
      <c r="K1785" s="21">
        <v>3834.8</v>
      </c>
      <c r="L1785" s="21">
        <v>34513.199999999997</v>
      </c>
      <c r="M1785" s="21">
        <v>27600.99</v>
      </c>
      <c r="N1785" s="21">
        <v>6912.21</v>
      </c>
      <c r="O1785" t="s">
        <v>39</v>
      </c>
      <c r="P1785" s="21">
        <v>405.86</v>
      </c>
      <c r="Q1785" t="s">
        <v>73</v>
      </c>
      <c r="R1785" t="s">
        <v>41</v>
      </c>
      <c r="S1785">
        <v>2</v>
      </c>
      <c r="T1785">
        <v>3</v>
      </c>
      <c r="U1785" t="s">
        <v>56</v>
      </c>
      <c r="V1785" t="s">
        <v>33</v>
      </c>
      <c r="W1785">
        <v>4</v>
      </c>
    </row>
    <row r="1786" spans="1:23" x14ac:dyDescent="0.25">
      <c r="A1786" t="s">
        <v>2436</v>
      </c>
      <c r="B1786" s="1">
        <v>45889</v>
      </c>
      <c r="C1786" t="s">
        <v>912</v>
      </c>
      <c r="D1786" t="s">
        <v>63</v>
      </c>
      <c r="E1786" t="s">
        <v>26</v>
      </c>
      <c r="F1786" t="s">
        <v>53</v>
      </c>
      <c r="G1786" t="s">
        <v>268</v>
      </c>
      <c r="H1786">
        <v>1</v>
      </c>
      <c r="I1786" s="21">
        <v>53297</v>
      </c>
      <c r="J1786">
        <v>15</v>
      </c>
      <c r="K1786" s="21">
        <v>7994.55</v>
      </c>
      <c r="L1786" s="21">
        <v>45302.45</v>
      </c>
      <c r="M1786" s="21">
        <v>25266.93</v>
      </c>
      <c r="N1786" s="21">
        <v>20035.52</v>
      </c>
      <c r="O1786" t="s">
        <v>49</v>
      </c>
      <c r="P1786" s="21">
        <v>88.8</v>
      </c>
      <c r="Q1786" t="s">
        <v>40</v>
      </c>
      <c r="R1786" t="s">
        <v>31</v>
      </c>
      <c r="S1786">
        <v>5</v>
      </c>
      <c r="T1786">
        <v>5</v>
      </c>
      <c r="U1786" t="s">
        <v>32</v>
      </c>
      <c r="V1786" t="s">
        <v>33</v>
      </c>
      <c r="W1786">
        <v>5</v>
      </c>
    </row>
    <row r="1787" spans="1:23" x14ac:dyDescent="0.25">
      <c r="A1787" t="s">
        <v>2437</v>
      </c>
      <c r="B1787" s="1">
        <v>45677</v>
      </c>
      <c r="C1787" t="s">
        <v>1033</v>
      </c>
      <c r="D1787" t="s">
        <v>67</v>
      </c>
      <c r="E1787" t="s">
        <v>36</v>
      </c>
      <c r="F1787" t="s">
        <v>27</v>
      </c>
      <c r="G1787" t="s">
        <v>76</v>
      </c>
      <c r="H1787">
        <v>3</v>
      </c>
      <c r="I1787" s="21">
        <v>12250</v>
      </c>
      <c r="J1787">
        <v>0</v>
      </c>
      <c r="K1787" s="21">
        <v>0</v>
      </c>
      <c r="L1787" s="21">
        <v>36750</v>
      </c>
      <c r="M1787" s="21">
        <v>26678.33</v>
      </c>
      <c r="N1787" s="21">
        <v>10071.67</v>
      </c>
      <c r="O1787" t="s">
        <v>91</v>
      </c>
      <c r="P1787" s="21">
        <v>2046.72</v>
      </c>
      <c r="Q1787" t="s">
        <v>30</v>
      </c>
      <c r="R1787" t="s">
        <v>41</v>
      </c>
      <c r="S1787">
        <v>2</v>
      </c>
      <c r="T1787">
        <v>5</v>
      </c>
      <c r="U1787" t="s">
        <v>32</v>
      </c>
      <c r="V1787" t="s">
        <v>50</v>
      </c>
      <c r="W1787">
        <v>5</v>
      </c>
    </row>
    <row r="1788" spans="1:23" x14ac:dyDescent="0.25">
      <c r="A1788" t="s">
        <v>2438</v>
      </c>
      <c r="B1788" s="1">
        <v>45687</v>
      </c>
      <c r="C1788" t="s">
        <v>1926</v>
      </c>
      <c r="D1788" t="s">
        <v>25</v>
      </c>
      <c r="E1788" t="s">
        <v>26</v>
      </c>
      <c r="F1788" t="s">
        <v>37</v>
      </c>
      <c r="G1788" t="s">
        <v>161</v>
      </c>
      <c r="H1788">
        <v>1</v>
      </c>
      <c r="I1788" s="21">
        <v>16692</v>
      </c>
      <c r="J1788">
        <v>10</v>
      </c>
      <c r="K1788" s="21">
        <v>1669.2</v>
      </c>
      <c r="L1788" s="21">
        <v>15022.8</v>
      </c>
      <c r="M1788" s="21">
        <v>8381.7000000000007</v>
      </c>
      <c r="N1788" s="21">
        <v>6641.1</v>
      </c>
      <c r="O1788" t="s">
        <v>49</v>
      </c>
      <c r="P1788" s="21">
        <v>463.42</v>
      </c>
      <c r="Q1788" t="s">
        <v>73</v>
      </c>
      <c r="R1788" t="s">
        <v>31</v>
      </c>
      <c r="S1788">
        <v>5</v>
      </c>
      <c r="T1788">
        <v>3</v>
      </c>
      <c r="U1788" t="s">
        <v>32</v>
      </c>
      <c r="V1788" t="s">
        <v>50</v>
      </c>
      <c r="W1788">
        <v>5</v>
      </c>
    </row>
    <row r="1789" spans="1:23" x14ac:dyDescent="0.25">
      <c r="A1789" t="s">
        <v>2439</v>
      </c>
      <c r="B1789" s="1">
        <v>45846</v>
      </c>
      <c r="C1789" t="s">
        <v>925</v>
      </c>
      <c r="D1789" t="s">
        <v>79</v>
      </c>
      <c r="E1789" t="s">
        <v>46</v>
      </c>
      <c r="F1789" t="s">
        <v>53</v>
      </c>
      <c r="G1789" t="s">
        <v>82</v>
      </c>
      <c r="H1789">
        <v>2</v>
      </c>
      <c r="I1789" s="21">
        <v>43029</v>
      </c>
      <c r="J1789">
        <v>10</v>
      </c>
      <c r="K1789" s="21">
        <v>8605.7999999999993</v>
      </c>
      <c r="L1789" s="21">
        <v>77452.2</v>
      </c>
      <c r="M1789" s="21">
        <v>54350.74</v>
      </c>
      <c r="N1789" s="21">
        <v>23101.46</v>
      </c>
      <c r="O1789" t="s">
        <v>91</v>
      </c>
      <c r="P1789" s="21">
        <v>1265.82</v>
      </c>
      <c r="Q1789" t="s">
        <v>83</v>
      </c>
      <c r="R1789" t="s">
        <v>41</v>
      </c>
      <c r="S1789">
        <v>2</v>
      </c>
      <c r="T1789">
        <v>1</v>
      </c>
      <c r="U1789" t="s">
        <v>32</v>
      </c>
      <c r="V1789" t="s">
        <v>33</v>
      </c>
      <c r="W1789">
        <v>5</v>
      </c>
    </row>
    <row r="1790" spans="1:23" x14ac:dyDescent="0.25">
      <c r="A1790" t="s">
        <v>2440</v>
      </c>
      <c r="B1790" s="1">
        <v>45804</v>
      </c>
      <c r="C1790" t="s">
        <v>2441</v>
      </c>
      <c r="D1790" t="s">
        <v>45</v>
      </c>
      <c r="E1790" t="s">
        <v>26</v>
      </c>
      <c r="F1790" t="s">
        <v>27</v>
      </c>
      <c r="G1790" t="s">
        <v>76</v>
      </c>
      <c r="H1790">
        <v>2</v>
      </c>
      <c r="I1790" s="21">
        <v>9438</v>
      </c>
      <c r="J1790">
        <v>10</v>
      </c>
      <c r="K1790" s="21">
        <v>1887.6</v>
      </c>
      <c r="L1790" s="21">
        <v>16988.400000000001</v>
      </c>
      <c r="M1790" s="21">
        <v>10651.26</v>
      </c>
      <c r="N1790" s="21">
        <v>6337.14</v>
      </c>
      <c r="O1790" t="s">
        <v>39</v>
      </c>
      <c r="P1790" s="21">
        <v>957.4</v>
      </c>
      <c r="Q1790" t="s">
        <v>68</v>
      </c>
      <c r="R1790" t="s">
        <v>41</v>
      </c>
      <c r="S1790">
        <v>2</v>
      </c>
      <c r="T1790">
        <v>3</v>
      </c>
      <c r="U1790" t="s">
        <v>32</v>
      </c>
      <c r="V1790" t="s">
        <v>50</v>
      </c>
      <c r="W1790">
        <v>5</v>
      </c>
    </row>
    <row r="1791" spans="1:23" x14ac:dyDescent="0.25">
      <c r="A1791" t="s">
        <v>2442</v>
      </c>
      <c r="B1791" s="1">
        <v>45697</v>
      </c>
      <c r="C1791" t="s">
        <v>526</v>
      </c>
      <c r="D1791" t="s">
        <v>71</v>
      </c>
      <c r="E1791" t="s">
        <v>26</v>
      </c>
      <c r="F1791" t="s">
        <v>53</v>
      </c>
      <c r="G1791" t="s">
        <v>54</v>
      </c>
      <c r="H1791">
        <v>1</v>
      </c>
      <c r="I1791" s="21">
        <v>10016</v>
      </c>
      <c r="J1791">
        <v>20</v>
      </c>
      <c r="K1791" s="21">
        <v>2003.2</v>
      </c>
      <c r="L1791" s="21">
        <v>8012.8</v>
      </c>
      <c r="M1791" s="21">
        <v>4849.8900000000003</v>
      </c>
      <c r="N1791" s="21">
        <v>3162.91</v>
      </c>
      <c r="O1791" t="s">
        <v>91</v>
      </c>
      <c r="P1791" s="21">
        <v>1723.21</v>
      </c>
      <c r="Q1791" t="s">
        <v>73</v>
      </c>
      <c r="R1791" t="s">
        <v>41</v>
      </c>
      <c r="S1791">
        <v>2</v>
      </c>
      <c r="T1791">
        <v>4</v>
      </c>
      <c r="U1791" t="s">
        <v>56</v>
      </c>
      <c r="V1791" t="s">
        <v>33</v>
      </c>
      <c r="W1791">
        <v>5</v>
      </c>
    </row>
    <row r="1792" spans="1:23" x14ac:dyDescent="0.25">
      <c r="A1792" t="s">
        <v>2443</v>
      </c>
      <c r="B1792" s="1">
        <v>45988</v>
      </c>
      <c r="C1792" t="s">
        <v>221</v>
      </c>
      <c r="D1792" t="s">
        <v>124</v>
      </c>
      <c r="E1792" t="s">
        <v>26</v>
      </c>
      <c r="F1792" t="s">
        <v>86</v>
      </c>
      <c r="G1792" t="s">
        <v>110</v>
      </c>
      <c r="H1792">
        <v>2</v>
      </c>
      <c r="I1792" s="21">
        <v>78194</v>
      </c>
      <c r="J1792">
        <v>15</v>
      </c>
      <c r="K1792" s="21">
        <v>23458.2</v>
      </c>
      <c r="L1792" s="21">
        <v>132929.79999999999</v>
      </c>
      <c r="M1792" s="21">
        <v>83106.97</v>
      </c>
      <c r="N1792" s="21">
        <v>49822.83</v>
      </c>
      <c r="O1792" t="s">
        <v>39</v>
      </c>
      <c r="P1792" s="21">
        <v>1779.76</v>
      </c>
      <c r="Q1792" t="s">
        <v>83</v>
      </c>
      <c r="R1792" t="s">
        <v>41</v>
      </c>
      <c r="S1792">
        <v>2</v>
      </c>
      <c r="T1792">
        <v>5</v>
      </c>
      <c r="U1792" t="s">
        <v>32</v>
      </c>
      <c r="V1792" t="s">
        <v>50</v>
      </c>
      <c r="W1792">
        <v>1</v>
      </c>
    </row>
    <row r="1793" spans="1:23" x14ac:dyDescent="0.25">
      <c r="A1793" t="s">
        <v>2444</v>
      </c>
      <c r="B1793" s="1">
        <v>45704</v>
      </c>
      <c r="C1793" t="s">
        <v>1227</v>
      </c>
      <c r="D1793" t="s">
        <v>90</v>
      </c>
      <c r="E1793" t="s">
        <v>26</v>
      </c>
      <c r="F1793" t="s">
        <v>53</v>
      </c>
      <c r="G1793" t="s">
        <v>151</v>
      </c>
      <c r="H1793">
        <v>3</v>
      </c>
      <c r="I1793" s="21">
        <v>25442</v>
      </c>
      <c r="J1793">
        <v>20</v>
      </c>
      <c r="K1793" s="21">
        <v>15265.2</v>
      </c>
      <c r="L1793" s="21">
        <v>61060.800000000003</v>
      </c>
      <c r="M1793" s="21">
        <v>40261.03</v>
      </c>
      <c r="N1793" s="21">
        <v>20799.77</v>
      </c>
      <c r="O1793" t="s">
        <v>60</v>
      </c>
      <c r="P1793" s="21">
        <v>2169.8000000000002</v>
      </c>
      <c r="Q1793" t="s">
        <v>40</v>
      </c>
      <c r="R1793" t="s">
        <v>31</v>
      </c>
      <c r="S1793">
        <v>5</v>
      </c>
      <c r="T1793">
        <v>5</v>
      </c>
      <c r="U1793" t="s">
        <v>32</v>
      </c>
      <c r="V1793" t="s">
        <v>33</v>
      </c>
      <c r="W1793">
        <v>1</v>
      </c>
    </row>
    <row r="1794" spans="1:23" x14ac:dyDescent="0.25">
      <c r="A1794" t="s">
        <v>2445</v>
      </c>
      <c r="B1794" s="1">
        <v>45972</v>
      </c>
      <c r="C1794" t="s">
        <v>1234</v>
      </c>
      <c r="D1794" t="s">
        <v>79</v>
      </c>
      <c r="E1794" t="s">
        <v>36</v>
      </c>
      <c r="F1794" t="s">
        <v>86</v>
      </c>
      <c r="G1794" t="s">
        <v>110</v>
      </c>
      <c r="H1794">
        <v>1</v>
      </c>
      <c r="I1794" s="21">
        <v>38141</v>
      </c>
      <c r="J1794">
        <v>0</v>
      </c>
      <c r="K1794" s="21">
        <v>0</v>
      </c>
      <c r="L1794" s="21">
        <v>38141</v>
      </c>
      <c r="M1794" s="21">
        <v>29083.94</v>
      </c>
      <c r="N1794" s="21">
        <v>9057.06</v>
      </c>
      <c r="O1794" t="s">
        <v>49</v>
      </c>
      <c r="P1794" s="21">
        <v>145.97</v>
      </c>
      <c r="Q1794" t="s">
        <v>68</v>
      </c>
      <c r="R1794" t="s">
        <v>31</v>
      </c>
      <c r="S1794">
        <v>5</v>
      </c>
      <c r="T1794">
        <v>5</v>
      </c>
      <c r="U1794" t="s">
        <v>32</v>
      </c>
      <c r="V1794" t="s">
        <v>42</v>
      </c>
    </row>
    <row r="1795" spans="1:23" x14ac:dyDescent="0.25">
      <c r="A1795" t="s">
        <v>2446</v>
      </c>
      <c r="B1795" s="1">
        <v>45962</v>
      </c>
      <c r="C1795" t="s">
        <v>578</v>
      </c>
      <c r="D1795" t="s">
        <v>71</v>
      </c>
      <c r="E1795" t="s">
        <v>26</v>
      </c>
      <c r="F1795" t="s">
        <v>37</v>
      </c>
      <c r="G1795" t="s">
        <v>100</v>
      </c>
      <c r="H1795">
        <v>4</v>
      </c>
      <c r="I1795" s="21">
        <v>13078</v>
      </c>
      <c r="J1795">
        <v>15</v>
      </c>
      <c r="K1795" s="21">
        <v>7846.8</v>
      </c>
      <c r="L1795" s="21">
        <v>44465.2</v>
      </c>
      <c r="M1795" s="21">
        <v>35083.94</v>
      </c>
      <c r="N1795" s="21">
        <v>9381.26</v>
      </c>
      <c r="O1795" t="s">
        <v>49</v>
      </c>
      <c r="P1795" s="21">
        <v>255.36</v>
      </c>
      <c r="Q1795" t="s">
        <v>30</v>
      </c>
      <c r="R1795" t="s">
        <v>41</v>
      </c>
      <c r="S1795">
        <v>2</v>
      </c>
      <c r="T1795">
        <v>3</v>
      </c>
      <c r="U1795" t="s">
        <v>56</v>
      </c>
      <c r="V1795" t="s">
        <v>33</v>
      </c>
      <c r="W1795">
        <v>5</v>
      </c>
    </row>
    <row r="1796" spans="1:23" x14ac:dyDescent="0.25">
      <c r="A1796" t="s">
        <v>2447</v>
      </c>
      <c r="B1796" s="1">
        <v>45917</v>
      </c>
      <c r="C1796" t="s">
        <v>1618</v>
      </c>
      <c r="D1796" t="s">
        <v>97</v>
      </c>
      <c r="E1796" t="s">
        <v>46</v>
      </c>
      <c r="F1796" t="s">
        <v>53</v>
      </c>
      <c r="G1796" t="s">
        <v>151</v>
      </c>
      <c r="H1796">
        <v>2</v>
      </c>
      <c r="I1796" s="21">
        <v>17486</v>
      </c>
      <c r="J1796">
        <v>10</v>
      </c>
      <c r="K1796" s="21">
        <v>3497.2</v>
      </c>
      <c r="L1796" s="21">
        <v>31474.799999999999</v>
      </c>
      <c r="M1796" s="21">
        <v>17931.38</v>
      </c>
      <c r="N1796" s="21">
        <v>13543.42</v>
      </c>
      <c r="O1796" t="s">
        <v>29</v>
      </c>
      <c r="P1796" s="21">
        <v>1526.77</v>
      </c>
      <c r="Q1796" t="s">
        <v>83</v>
      </c>
      <c r="R1796" t="s">
        <v>31</v>
      </c>
      <c r="S1796">
        <v>5</v>
      </c>
      <c r="T1796">
        <v>3</v>
      </c>
      <c r="U1796" t="s">
        <v>32</v>
      </c>
      <c r="V1796" t="s">
        <v>50</v>
      </c>
      <c r="W1796">
        <v>5</v>
      </c>
    </row>
    <row r="1797" spans="1:23" x14ac:dyDescent="0.25">
      <c r="A1797" t="s">
        <v>2448</v>
      </c>
      <c r="B1797" s="1">
        <v>45854</v>
      </c>
      <c r="C1797" t="s">
        <v>2423</v>
      </c>
      <c r="D1797" t="s">
        <v>63</v>
      </c>
      <c r="E1797" t="s">
        <v>46</v>
      </c>
      <c r="F1797" t="s">
        <v>27</v>
      </c>
      <c r="G1797" t="s">
        <v>164</v>
      </c>
      <c r="H1797">
        <v>1</v>
      </c>
      <c r="I1797" s="21">
        <v>22588</v>
      </c>
      <c r="J1797">
        <v>5</v>
      </c>
      <c r="K1797" s="21">
        <v>1129.4000000000001</v>
      </c>
      <c r="L1797" s="21">
        <v>21458.6</v>
      </c>
      <c r="M1797" s="21">
        <v>12151.89</v>
      </c>
      <c r="N1797" s="21">
        <v>9306.7099999999991</v>
      </c>
      <c r="O1797" t="s">
        <v>60</v>
      </c>
      <c r="P1797" s="21">
        <v>2040.56</v>
      </c>
      <c r="Q1797" t="s">
        <v>68</v>
      </c>
      <c r="R1797" t="s">
        <v>41</v>
      </c>
      <c r="S1797">
        <v>2</v>
      </c>
      <c r="T1797">
        <v>2</v>
      </c>
      <c r="U1797" t="s">
        <v>32</v>
      </c>
      <c r="V1797" t="s">
        <v>42</v>
      </c>
    </row>
    <row r="1798" spans="1:23" x14ac:dyDescent="0.25">
      <c r="A1798" t="s">
        <v>2449</v>
      </c>
      <c r="B1798" s="1">
        <v>45894</v>
      </c>
      <c r="C1798" t="s">
        <v>691</v>
      </c>
      <c r="D1798" t="s">
        <v>97</v>
      </c>
      <c r="E1798" t="s">
        <v>36</v>
      </c>
      <c r="F1798" t="s">
        <v>86</v>
      </c>
      <c r="G1798" t="s">
        <v>127</v>
      </c>
      <c r="H1798">
        <v>2</v>
      </c>
      <c r="I1798" s="21">
        <v>37611</v>
      </c>
      <c r="J1798">
        <v>10</v>
      </c>
      <c r="K1798" s="21">
        <v>7522.2</v>
      </c>
      <c r="L1798" s="21">
        <v>67699.8</v>
      </c>
      <c r="M1798" s="21">
        <v>47463.199999999997</v>
      </c>
      <c r="N1798" s="21">
        <v>20236.599999999999</v>
      </c>
      <c r="O1798" t="s">
        <v>29</v>
      </c>
      <c r="P1798" s="21">
        <v>329.96</v>
      </c>
      <c r="Q1798" t="s">
        <v>40</v>
      </c>
      <c r="R1798" t="s">
        <v>41</v>
      </c>
      <c r="S1798">
        <v>2</v>
      </c>
      <c r="T1798">
        <v>3</v>
      </c>
      <c r="U1798" t="s">
        <v>32</v>
      </c>
      <c r="V1798" t="s">
        <v>50</v>
      </c>
      <c r="W1798">
        <v>1</v>
      </c>
    </row>
    <row r="1799" spans="1:23" x14ac:dyDescent="0.25">
      <c r="A1799" t="s">
        <v>2450</v>
      </c>
      <c r="B1799" s="1">
        <v>45955</v>
      </c>
      <c r="C1799" t="s">
        <v>1017</v>
      </c>
      <c r="D1799" t="s">
        <v>25</v>
      </c>
      <c r="E1799" t="s">
        <v>46</v>
      </c>
      <c r="F1799" t="s">
        <v>37</v>
      </c>
      <c r="G1799" t="s">
        <v>224</v>
      </c>
      <c r="H1799">
        <v>3</v>
      </c>
      <c r="I1799" s="21">
        <v>14710</v>
      </c>
      <c r="J1799">
        <v>0</v>
      </c>
      <c r="K1799" s="21">
        <v>0</v>
      </c>
      <c r="L1799" s="21">
        <v>44130</v>
      </c>
      <c r="M1799" s="21">
        <v>29111.16</v>
      </c>
      <c r="N1799" s="21">
        <v>15018.84</v>
      </c>
      <c r="O1799" t="s">
        <v>91</v>
      </c>
      <c r="P1799" s="21">
        <v>1140.93</v>
      </c>
      <c r="Q1799" t="s">
        <v>30</v>
      </c>
      <c r="R1799" t="s">
        <v>31</v>
      </c>
      <c r="S1799">
        <v>5</v>
      </c>
      <c r="T1799">
        <v>4</v>
      </c>
      <c r="U1799" t="s">
        <v>32</v>
      </c>
      <c r="V1799" t="s">
        <v>42</v>
      </c>
    </row>
    <row r="1800" spans="1:23" x14ac:dyDescent="0.25">
      <c r="A1800" t="s">
        <v>2451</v>
      </c>
      <c r="B1800" s="1">
        <v>45941</v>
      </c>
      <c r="C1800" t="s">
        <v>895</v>
      </c>
      <c r="D1800" t="s">
        <v>97</v>
      </c>
      <c r="E1800" t="s">
        <v>46</v>
      </c>
      <c r="F1800" t="s">
        <v>27</v>
      </c>
      <c r="G1800" t="s">
        <v>164</v>
      </c>
      <c r="H1800">
        <v>2</v>
      </c>
      <c r="I1800" s="21">
        <v>22213</v>
      </c>
      <c r="J1800">
        <v>20</v>
      </c>
      <c r="K1800" s="21">
        <v>8885.2000000000007</v>
      </c>
      <c r="L1800" s="21">
        <v>35540.800000000003</v>
      </c>
      <c r="M1800" s="21">
        <v>20153.689999999999</v>
      </c>
      <c r="N1800" s="21">
        <v>15387.11</v>
      </c>
      <c r="O1800" t="s">
        <v>60</v>
      </c>
      <c r="P1800" s="21">
        <v>2098.13</v>
      </c>
      <c r="Q1800" t="s">
        <v>40</v>
      </c>
      <c r="R1800" t="s">
        <v>41</v>
      </c>
      <c r="S1800">
        <v>2</v>
      </c>
      <c r="T1800">
        <v>4</v>
      </c>
      <c r="U1800" t="s">
        <v>56</v>
      </c>
      <c r="V1800" t="s">
        <v>33</v>
      </c>
      <c r="W1800">
        <v>5</v>
      </c>
    </row>
    <row r="1801" spans="1:23" x14ac:dyDescent="0.25">
      <c r="A1801" t="s">
        <v>2452</v>
      </c>
      <c r="B1801" s="1">
        <v>45679</v>
      </c>
      <c r="C1801" t="s">
        <v>1492</v>
      </c>
      <c r="D1801" t="s">
        <v>90</v>
      </c>
      <c r="E1801" t="s">
        <v>26</v>
      </c>
      <c r="F1801" t="s">
        <v>47</v>
      </c>
      <c r="G1801" t="s">
        <v>138</v>
      </c>
      <c r="H1801">
        <v>2</v>
      </c>
      <c r="I1801" s="21">
        <v>45910</v>
      </c>
      <c r="J1801">
        <v>5</v>
      </c>
      <c r="K1801" s="21">
        <v>4591</v>
      </c>
      <c r="L1801" s="21">
        <v>87229</v>
      </c>
      <c r="M1801" s="21">
        <v>59455.54</v>
      </c>
      <c r="N1801" s="21">
        <v>27773.46</v>
      </c>
      <c r="O1801" t="s">
        <v>91</v>
      </c>
      <c r="P1801" s="21">
        <v>1821.61</v>
      </c>
      <c r="Q1801" t="s">
        <v>30</v>
      </c>
      <c r="R1801" t="s">
        <v>41</v>
      </c>
      <c r="S1801">
        <v>2</v>
      </c>
      <c r="T1801">
        <v>2</v>
      </c>
      <c r="U1801" t="s">
        <v>32</v>
      </c>
      <c r="V1801" t="s">
        <v>33</v>
      </c>
      <c r="W1801">
        <v>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9326-CF3A-4BBC-B2B0-24FC54970D01}">
  <dimension ref="A1:G23"/>
  <sheetViews>
    <sheetView showGridLines="0" tabSelected="1" zoomScale="90" zoomScaleNormal="90" workbookViewId="0">
      <selection activeCell="J15" sqref="J15"/>
    </sheetView>
  </sheetViews>
  <sheetFormatPr defaultRowHeight="15" x14ac:dyDescent="0.25"/>
  <cols>
    <col min="1" max="1" width="30" style="26" customWidth="1"/>
    <col min="4" max="4" width="23.140625" customWidth="1"/>
    <col min="7" max="7" width="24.42578125" customWidth="1"/>
    <col min="9" max="9" width="18" customWidth="1"/>
  </cols>
  <sheetData>
    <row r="1" spans="1:7" x14ac:dyDescent="0.25">
      <c r="A1" s="26" t="s">
        <v>0</v>
      </c>
    </row>
    <row r="2" spans="1:7" x14ac:dyDescent="0.25">
      <c r="A2" s="26" t="s">
        <v>1</v>
      </c>
      <c r="G2" s="32" t="s">
        <v>2546</v>
      </c>
    </row>
    <row r="3" spans="1:7" x14ac:dyDescent="0.25">
      <c r="A3" s="26" t="s">
        <v>2</v>
      </c>
      <c r="D3" s="32" t="s">
        <v>2545</v>
      </c>
      <c r="G3" s="26" t="s">
        <v>2553</v>
      </c>
    </row>
    <row r="4" spans="1:7" x14ac:dyDescent="0.25">
      <c r="A4" s="26" t="s">
        <v>3</v>
      </c>
      <c r="D4" s="26" t="s">
        <v>2558</v>
      </c>
      <c r="G4" s="26" t="s">
        <v>4</v>
      </c>
    </row>
    <row r="5" spans="1:7" x14ac:dyDescent="0.25">
      <c r="A5" s="26" t="s">
        <v>4</v>
      </c>
      <c r="D5" s="26" t="s">
        <v>21</v>
      </c>
      <c r="G5" s="26" t="s">
        <v>22</v>
      </c>
    </row>
    <row r="6" spans="1:7" x14ac:dyDescent="0.25">
      <c r="A6" s="26" t="s">
        <v>5</v>
      </c>
      <c r="D6" s="26" t="s">
        <v>7</v>
      </c>
      <c r="G6" s="26" t="s">
        <v>3</v>
      </c>
    </row>
    <row r="7" spans="1:7" x14ac:dyDescent="0.25">
      <c r="A7" s="26" t="s">
        <v>6</v>
      </c>
      <c r="D7" s="26" t="s">
        <v>8</v>
      </c>
    </row>
    <row r="8" spans="1:7" x14ac:dyDescent="0.25">
      <c r="A8" s="26" t="s">
        <v>7</v>
      </c>
      <c r="D8" s="26" t="s">
        <v>9</v>
      </c>
      <c r="G8" s="32" t="s">
        <v>2547</v>
      </c>
    </row>
    <row r="9" spans="1:7" x14ac:dyDescent="0.25">
      <c r="A9" s="26" t="s">
        <v>8</v>
      </c>
      <c r="D9" s="26" t="s">
        <v>10</v>
      </c>
      <c r="G9" s="26" t="s">
        <v>2555</v>
      </c>
    </row>
    <row r="10" spans="1:7" x14ac:dyDescent="0.25">
      <c r="A10" s="26" t="s">
        <v>9</v>
      </c>
      <c r="D10" s="26" t="s">
        <v>11</v>
      </c>
      <c r="G10" s="26" t="s">
        <v>5</v>
      </c>
    </row>
    <row r="11" spans="1:7" x14ac:dyDescent="0.25">
      <c r="A11" s="26" t="s">
        <v>10</v>
      </c>
      <c r="D11" s="26" t="s">
        <v>12</v>
      </c>
    </row>
    <row r="12" spans="1:7" x14ac:dyDescent="0.25">
      <c r="A12" s="26" t="s">
        <v>11</v>
      </c>
      <c r="D12" s="26" t="s">
        <v>13</v>
      </c>
      <c r="G12" s="32" t="s">
        <v>2551</v>
      </c>
    </row>
    <row r="13" spans="1:7" x14ac:dyDescent="0.25">
      <c r="A13" s="26" t="s">
        <v>12</v>
      </c>
      <c r="D13" s="26" t="s">
        <v>14</v>
      </c>
      <c r="G13" s="26" t="s">
        <v>2556</v>
      </c>
    </row>
    <row r="14" spans="1:7" x14ac:dyDescent="0.25">
      <c r="A14" s="26" t="s">
        <v>13</v>
      </c>
      <c r="D14" s="26" t="s">
        <v>15</v>
      </c>
      <c r="G14" s="26" t="s">
        <v>2548</v>
      </c>
    </row>
    <row r="15" spans="1:7" x14ac:dyDescent="0.25">
      <c r="A15" s="26" t="s">
        <v>14</v>
      </c>
      <c r="D15" s="26" t="s">
        <v>16</v>
      </c>
      <c r="G15" s="26" t="s">
        <v>2549</v>
      </c>
    </row>
    <row r="16" spans="1:7" x14ac:dyDescent="0.25">
      <c r="A16" s="26" t="s">
        <v>15</v>
      </c>
      <c r="D16" s="26" t="s">
        <v>2561</v>
      </c>
      <c r="G16" s="26" t="s">
        <v>2550</v>
      </c>
    </row>
    <row r="17" spans="1:7" x14ac:dyDescent="0.25">
      <c r="A17" s="26" t="s">
        <v>16</v>
      </c>
      <c r="D17" s="26" t="s">
        <v>2559</v>
      </c>
    </row>
    <row r="18" spans="1:7" x14ac:dyDescent="0.25">
      <c r="A18" s="26" t="s">
        <v>17</v>
      </c>
      <c r="D18" s="26" t="s">
        <v>2560</v>
      </c>
      <c r="G18" s="32" t="s">
        <v>2552</v>
      </c>
    </row>
    <row r="19" spans="1:7" x14ac:dyDescent="0.25">
      <c r="A19" s="26" t="s">
        <v>18</v>
      </c>
      <c r="D19" s="26" t="s">
        <v>2554</v>
      </c>
      <c r="G19" s="26" t="s">
        <v>2557</v>
      </c>
    </row>
    <row r="20" spans="1:7" x14ac:dyDescent="0.25">
      <c r="A20" s="26" t="s">
        <v>19</v>
      </c>
      <c r="G20" s="26" t="s">
        <v>18</v>
      </c>
    </row>
    <row r="21" spans="1:7" x14ac:dyDescent="0.25">
      <c r="A21" s="26" t="s">
        <v>20</v>
      </c>
      <c r="G21" s="26" t="s">
        <v>19</v>
      </c>
    </row>
    <row r="22" spans="1:7" x14ac:dyDescent="0.25">
      <c r="A22" s="26" t="s">
        <v>21</v>
      </c>
      <c r="G22" s="26" t="s">
        <v>20</v>
      </c>
    </row>
    <row r="23" spans="1:7" x14ac:dyDescent="0.25">
      <c r="A23" s="26" t="s">
        <v>22</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C53332-1672-43E8-A5D5-5B38E290AE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Segment Revenue and Profit</vt:lpstr>
      <vt:lpstr>Dashboard</vt:lpstr>
      <vt:lpstr>Case Study</vt:lpstr>
      <vt:lpstr>Data Cleaning Log</vt:lpstr>
      <vt:lpstr>Customer Summary</vt:lpstr>
      <vt:lpstr>Customer By Value</vt:lpstr>
      <vt:lpstr>Repeat Rate and AOV</vt:lpstr>
      <vt:lpstr>BoyCodeAfrica Ecommerce_Dataset</vt:lpstr>
      <vt:lpstr>Cleaned Data 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2026-08-26T22:53:33Z</cp:lastPrinted>
  <dcterms:created xsi:type="dcterms:W3CDTF">2026-08-24T13:06:07Z</dcterms:created>
  <dcterms:modified xsi:type="dcterms:W3CDTF">2026-09-18T15:06:23Z</dcterms:modified>
</cp:coreProperties>
</file>